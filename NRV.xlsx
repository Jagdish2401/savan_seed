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gdi\Downloads\"/>
    </mc:Choice>
  </mc:AlternateContent>
  <xr:revisionPtr revIDLastSave="0" documentId="13_ncr:1_{C44732EB-63E7-4408-B538-91EDBD7CDC8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NARSINHBHAI" sheetId="1" r:id="rId1"/>
    <sheet name="jaydeepbhai " sheetId="2" r:id="rId2"/>
    <sheet name="Dharmendrabhai" sheetId="3" r:id="rId3"/>
    <sheet name="Ashokbhai" sheetId="4" r:id="rId4"/>
    <sheet name="Sandipbhai" sheetId="5" r:id="rId5"/>
    <sheet name="kutch" sheetId="6" r:id="rId6"/>
    <sheet name="north" sheetId="7" r:id="rId7"/>
  </sheets>
  <definedNames>
    <definedName name="_xlnm._FilterDatabase" localSheetId="1" hidden="1">'jaydeepbhai '!$A$2:$CC$119</definedName>
    <definedName name="_xlnm._FilterDatabase" localSheetId="0" hidden="1">NARSINHBHAI!$A$2:$BU$116</definedName>
    <definedName name="_xlnm._FilterDatabase" localSheetId="4" hidden="1">Sandipbhai!$A$2:$AA$114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PAg8Nw/dPxYl/JTbrY1koj6/1NT+0fhKla0WbbhvZgg="/>
    </ext>
  </extLst>
</workbook>
</file>

<file path=xl/calcChain.xml><?xml version="1.0" encoding="utf-8"?>
<calcChain xmlns="http://schemas.openxmlformats.org/spreadsheetml/2006/main">
  <c r="BH116" i="1" l="1"/>
  <c r="BH115" i="1"/>
  <c r="BH114" i="1"/>
  <c r="BH113" i="1"/>
  <c r="BH112" i="1"/>
  <c r="BH111" i="1"/>
  <c r="BH110" i="1"/>
  <c r="BH109" i="1"/>
  <c r="BL109" i="1" s="1"/>
  <c r="BH108" i="1"/>
  <c r="BH107" i="1"/>
  <c r="BH106" i="1"/>
  <c r="BH105" i="1"/>
  <c r="BL105" i="1" s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L93" i="1" s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L81" i="1" s="1"/>
  <c r="BH80" i="1"/>
  <c r="BH79" i="1"/>
  <c r="BH78" i="1"/>
  <c r="BH77" i="1"/>
  <c r="BL77" i="1" s="1"/>
  <c r="BH76" i="1"/>
  <c r="BH75" i="1"/>
  <c r="BH74" i="1"/>
  <c r="BH73" i="1"/>
  <c r="BH72" i="1"/>
  <c r="BH71" i="1"/>
  <c r="BH70" i="1"/>
  <c r="BH69" i="1"/>
  <c r="BL69" i="1" s="1"/>
  <c r="BH68" i="1"/>
  <c r="BH67" i="1"/>
  <c r="BH66" i="1"/>
  <c r="BH65" i="1"/>
  <c r="BL65" i="1" s="1"/>
  <c r="BH64" i="1"/>
  <c r="BH63" i="1"/>
  <c r="BH62" i="1"/>
  <c r="BH61" i="1"/>
  <c r="BL61" i="1" s="1"/>
  <c r="BH60" i="1"/>
  <c r="BH59" i="1"/>
  <c r="BH58" i="1"/>
  <c r="BH57" i="1"/>
  <c r="BH56" i="1"/>
  <c r="BH55" i="1"/>
  <c r="BH54" i="1"/>
  <c r="BH53" i="1"/>
  <c r="BL53" i="1" s="1"/>
  <c r="BH52" i="1"/>
  <c r="BH51" i="1"/>
  <c r="BH50" i="1"/>
  <c r="BH49" i="1"/>
  <c r="BL49" i="1" s="1"/>
  <c r="BH48" i="1"/>
  <c r="BH47" i="1"/>
  <c r="BH46" i="1"/>
  <c r="BH45" i="1"/>
  <c r="BH44" i="1"/>
  <c r="BH43" i="1"/>
  <c r="BH42" i="1"/>
  <c r="BH41" i="1"/>
  <c r="BL41" i="1" s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H5" i="1"/>
  <c r="BH4" i="1"/>
  <c r="AA117" i="7"/>
  <c r="AB117" i="7" s="1"/>
  <c r="V117" i="7"/>
  <c r="W117" i="7" s="1"/>
  <c r="Q117" i="7"/>
  <c r="R117" i="7" s="1"/>
  <c r="M117" i="7"/>
  <c r="L117" i="7"/>
  <c r="G117" i="7"/>
  <c r="H117" i="7" s="1"/>
  <c r="AA116" i="7"/>
  <c r="AB116" i="7" s="1"/>
  <c r="V116" i="7"/>
  <c r="W116" i="7" s="1"/>
  <c r="Q116" i="7"/>
  <c r="R116" i="7" s="1"/>
  <c r="L116" i="7"/>
  <c r="M116" i="7" s="1"/>
  <c r="G116" i="7"/>
  <c r="H116" i="7" s="1"/>
  <c r="AA115" i="7"/>
  <c r="AB115" i="7" s="1"/>
  <c r="W115" i="7"/>
  <c r="V115" i="7"/>
  <c r="Q115" i="7"/>
  <c r="R115" i="7" s="1"/>
  <c r="M115" i="7"/>
  <c r="L115" i="7"/>
  <c r="G115" i="7"/>
  <c r="H115" i="7" s="1"/>
  <c r="AA114" i="7"/>
  <c r="AB114" i="7" s="1"/>
  <c r="V114" i="7"/>
  <c r="W114" i="7" s="1"/>
  <c r="Q114" i="7"/>
  <c r="R114" i="7" s="1"/>
  <c r="L114" i="7"/>
  <c r="M114" i="7" s="1"/>
  <c r="H114" i="7"/>
  <c r="G114" i="7"/>
  <c r="AA113" i="7"/>
  <c r="AB113" i="7" s="1"/>
  <c r="V113" i="7"/>
  <c r="W113" i="7" s="1"/>
  <c r="Q113" i="7"/>
  <c r="R113" i="7" s="1"/>
  <c r="L113" i="7"/>
  <c r="M113" i="7" s="1"/>
  <c r="G113" i="7"/>
  <c r="H113" i="7" s="1"/>
  <c r="AA112" i="7"/>
  <c r="AB112" i="7" s="1"/>
  <c r="V112" i="7"/>
  <c r="W112" i="7" s="1"/>
  <c r="R112" i="7"/>
  <c r="Q112" i="7"/>
  <c r="L112" i="7"/>
  <c r="M112" i="7" s="1"/>
  <c r="H112" i="7"/>
  <c r="G112" i="7"/>
  <c r="AA111" i="7"/>
  <c r="AB111" i="7" s="1"/>
  <c r="V111" i="7"/>
  <c r="W111" i="7" s="1"/>
  <c r="Q111" i="7"/>
  <c r="R111" i="7" s="1"/>
  <c r="L111" i="7"/>
  <c r="M111" i="7" s="1"/>
  <c r="G111" i="7"/>
  <c r="H111" i="7" s="1"/>
  <c r="AB110" i="7"/>
  <c r="AA110" i="7"/>
  <c r="V110" i="7"/>
  <c r="W110" i="7" s="1"/>
  <c r="Q110" i="7"/>
  <c r="R110" i="7" s="1"/>
  <c r="L110" i="7"/>
  <c r="M110" i="7" s="1"/>
  <c r="G110" i="7"/>
  <c r="H110" i="7" s="1"/>
  <c r="AA109" i="7"/>
  <c r="AB109" i="7" s="1"/>
  <c r="V109" i="7"/>
  <c r="W109" i="7" s="1"/>
  <c r="Q109" i="7"/>
  <c r="R109" i="7" s="1"/>
  <c r="M109" i="7"/>
  <c r="L109" i="7"/>
  <c r="G109" i="7"/>
  <c r="H109" i="7" s="1"/>
  <c r="AB108" i="7"/>
  <c r="AA108" i="7"/>
  <c r="V108" i="7"/>
  <c r="W108" i="7" s="1"/>
  <c r="Q108" i="7"/>
  <c r="R108" i="7" s="1"/>
  <c r="L108" i="7"/>
  <c r="M108" i="7" s="1"/>
  <c r="H108" i="7"/>
  <c r="G108" i="7"/>
  <c r="AA107" i="7"/>
  <c r="AB107" i="7" s="1"/>
  <c r="W107" i="7"/>
  <c r="V107" i="7"/>
  <c r="Q107" i="7"/>
  <c r="R107" i="7" s="1"/>
  <c r="L107" i="7"/>
  <c r="M107" i="7" s="1"/>
  <c r="G107" i="7"/>
  <c r="H107" i="7" s="1"/>
  <c r="AA106" i="7"/>
  <c r="AB106" i="7" s="1"/>
  <c r="V106" i="7"/>
  <c r="W106" i="7" s="1"/>
  <c r="R106" i="7"/>
  <c r="Q106" i="7"/>
  <c r="L106" i="7"/>
  <c r="M106" i="7" s="1"/>
  <c r="H106" i="7"/>
  <c r="G106" i="7"/>
  <c r="AA105" i="7"/>
  <c r="AB105" i="7" s="1"/>
  <c r="V105" i="7"/>
  <c r="W105" i="7" s="1"/>
  <c r="Q105" i="7"/>
  <c r="R105" i="7" s="1"/>
  <c r="L105" i="7"/>
  <c r="M105" i="7" s="1"/>
  <c r="G105" i="7"/>
  <c r="H105" i="7" s="1"/>
  <c r="AB104" i="7"/>
  <c r="AA104" i="7"/>
  <c r="V104" i="7"/>
  <c r="W104" i="7" s="1"/>
  <c r="R104" i="7"/>
  <c r="Q104" i="7"/>
  <c r="L104" i="7"/>
  <c r="M104" i="7" s="1"/>
  <c r="H104" i="7"/>
  <c r="G104" i="7"/>
  <c r="AA103" i="7"/>
  <c r="AB103" i="7" s="1"/>
  <c r="V103" i="7"/>
  <c r="W103" i="7" s="1"/>
  <c r="Q103" i="7"/>
  <c r="R103" i="7" s="1"/>
  <c r="M103" i="7"/>
  <c r="L103" i="7"/>
  <c r="G103" i="7"/>
  <c r="H103" i="7" s="1"/>
  <c r="AB102" i="7"/>
  <c r="AA102" i="7"/>
  <c r="V102" i="7"/>
  <c r="W102" i="7" s="1"/>
  <c r="R102" i="7"/>
  <c r="Q102" i="7"/>
  <c r="L102" i="7"/>
  <c r="M102" i="7" s="1"/>
  <c r="G102" i="7"/>
  <c r="H102" i="7" s="1"/>
  <c r="AA101" i="7"/>
  <c r="AB101" i="7" s="1"/>
  <c r="W101" i="7"/>
  <c r="V101" i="7"/>
  <c r="Q101" i="7"/>
  <c r="R101" i="7" s="1"/>
  <c r="M101" i="7"/>
  <c r="L101" i="7"/>
  <c r="G101" i="7"/>
  <c r="H101" i="7" s="1"/>
  <c r="AA100" i="7"/>
  <c r="AB100" i="7" s="1"/>
  <c r="V100" i="7"/>
  <c r="W100" i="7" s="1"/>
  <c r="Q100" i="7"/>
  <c r="R100" i="7" s="1"/>
  <c r="L100" i="7"/>
  <c r="M100" i="7" s="1"/>
  <c r="H100" i="7"/>
  <c r="G100" i="7"/>
  <c r="AA99" i="7"/>
  <c r="AB99" i="7" s="1"/>
  <c r="W99" i="7"/>
  <c r="V99" i="7"/>
  <c r="Q99" i="7"/>
  <c r="R99" i="7" s="1"/>
  <c r="L99" i="7"/>
  <c r="M99" i="7" s="1"/>
  <c r="G99" i="7"/>
  <c r="H99" i="7" s="1"/>
  <c r="AA98" i="7"/>
  <c r="AB98" i="7" s="1"/>
  <c r="V98" i="7"/>
  <c r="W98" i="7" s="1"/>
  <c r="R98" i="7"/>
  <c r="Q98" i="7"/>
  <c r="L98" i="7"/>
  <c r="M98" i="7" s="1"/>
  <c r="H98" i="7"/>
  <c r="G98" i="7"/>
  <c r="AA97" i="7"/>
  <c r="AB97" i="7" s="1"/>
  <c r="W97" i="7"/>
  <c r="V97" i="7"/>
  <c r="Q97" i="7"/>
  <c r="R97" i="7" s="1"/>
  <c r="L97" i="7"/>
  <c r="M97" i="7" s="1"/>
  <c r="G97" i="7"/>
  <c r="H97" i="7" s="1"/>
  <c r="AB96" i="7"/>
  <c r="AA96" i="7"/>
  <c r="V96" i="7"/>
  <c r="W96" i="7" s="1"/>
  <c r="R96" i="7"/>
  <c r="Q96" i="7"/>
  <c r="L96" i="7"/>
  <c r="M96" i="7" s="1"/>
  <c r="H96" i="7"/>
  <c r="G96" i="7"/>
  <c r="AA95" i="7"/>
  <c r="AB95" i="7" s="1"/>
  <c r="V95" i="7"/>
  <c r="W95" i="7" s="1"/>
  <c r="Q95" i="7"/>
  <c r="R95" i="7" s="1"/>
  <c r="M95" i="7"/>
  <c r="L95" i="7"/>
  <c r="G95" i="7"/>
  <c r="H95" i="7" s="1"/>
  <c r="AB94" i="7"/>
  <c r="AA94" i="7"/>
  <c r="V94" i="7"/>
  <c r="W94" i="7" s="1"/>
  <c r="Q94" i="7"/>
  <c r="R94" i="7" s="1"/>
  <c r="L94" i="7"/>
  <c r="M94" i="7" s="1"/>
  <c r="G94" i="7"/>
  <c r="H94" i="7" s="1"/>
  <c r="AA93" i="7"/>
  <c r="AB93" i="7" s="1"/>
  <c r="W93" i="7"/>
  <c r="V93" i="7"/>
  <c r="Q93" i="7"/>
  <c r="R93" i="7" s="1"/>
  <c r="M93" i="7"/>
  <c r="L93" i="7"/>
  <c r="G93" i="7"/>
  <c r="H93" i="7" s="1"/>
  <c r="AA92" i="7"/>
  <c r="AB92" i="7" s="1"/>
  <c r="V92" i="7"/>
  <c r="W92" i="7" s="1"/>
  <c r="Q92" i="7"/>
  <c r="R92" i="7" s="1"/>
  <c r="L92" i="7"/>
  <c r="M92" i="7" s="1"/>
  <c r="H92" i="7"/>
  <c r="G92" i="7"/>
  <c r="AA91" i="7"/>
  <c r="AB91" i="7" s="1"/>
  <c r="W91" i="7"/>
  <c r="V91" i="7"/>
  <c r="Q91" i="7"/>
  <c r="R91" i="7" s="1"/>
  <c r="M91" i="7"/>
  <c r="L91" i="7"/>
  <c r="G91" i="7"/>
  <c r="H91" i="7" s="1"/>
  <c r="AA90" i="7"/>
  <c r="AB90" i="7" s="1"/>
  <c r="V90" i="7"/>
  <c r="W90" i="7" s="1"/>
  <c r="R90" i="7"/>
  <c r="Q90" i="7"/>
  <c r="L90" i="7"/>
  <c r="M90" i="7" s="1"/>
  <c r="H90" i="7"/>
  <c r="G90" i="7"/>
  <c r="AA89" i="7"/>
  <c r="AB89" i="7" s="1"/>
  <c r="W89" i="7"/>
  <c r="V89" i="7"/>
  <c r="Q89" i="7"/>
  <c r="R89" i="7" s="1"/>
  <c r="L89" i="7"/>
  <c r="M89" i="7" s="1"/>
  <c r="G89" i="7"/>
  <c r="H89" i="7" s="1"/>
  <c r="AB88" i="7"/>
  <c r="AA88" i="7"/>
  <c r="V88" i="7"/>
  <c r="W88" i="7" s="1"/>
  <c r="R88" i="7"/>
  <c r="Q88" i="7"/>
  <c r="L88" i="7"/>
  <c r="M88" i="7" s="1"/>
  <c r="G88" i="7"/>
  <c r="H88" i="7" s="1"/>
  <c r="AA87" i="7"/>
  <c r="AB87" i="7" s="1"/>
  <c r="V87" i="7"/>
  <c r="W87" i="7" s="1"/>
  <c r="Q87" i="7"/>
  <c r="R87" i="7" s="1"/>
  <c r="M87" i="7"/>
  <c r="L87" i="7"/>
  <c r="G87" i="7"/>
  <c r="H87" i="7" s="1"/>
  <c r="AB86" i="7"/>
  <c r="AA86" i="7"/>
  <c r="V86" i="7"/>
  <c r="W86" i="7" s="1"/>
  <c r="Q86" i="7"/>
  <c r="R86" i="7" s="1"/>
  <c r="L86" i="7"/>
  <c r="M86" i="7" s="1"/>
  <c r="G86" i="7"/>
  <c r="H86" i="7" s="1"/>
  <c r="AA85" i="7"/>
  <c r="AB85" i="7" s="1"/>
  <c r="W85" i="7"/>
  <c r="V85" i="7"/>
  <c r="R85" i="7"/>
  <c r="Q85" i="7"/>
  <c r="M85" i="7"/>
  <c r="L85" i="7"/>
  <c r="H85" i="7"/>
  <c r="G85" i="7"/>
  <c r="AB84" i="7"/>
  <c r="AA84" i="7"/>
  <c r="W84" i="7"/>
  <c r="V84" i="7"/>
  <c r="R84" i="7"/>
  <c r="Q84" i="7"/>
  <c r="M84" i="7"/>
  <c r="L84" i="7"/>
  <c r="H84" i="7"/>
  <c r="G84" i="7"/>
  <c r="AB83" i="7"/>
  <c r="AA83" i="7"/>
  <c r="W83" i="7"/>
  <c r="V83" i="7"/>
  <c r="R83" i="7"/>
  <c r="Q83" i="7"/>
  <c r="M83" i="7"/>
  <c r="L83" i="7"/>
  <c r="H83" i="7"/>
  <c r="G83" i="7"/>
  <c r="AB82" i="7"/>
  <c r="AA82" i="7"/>
  <c r="W82" i="7"/>
  <c r="V82" i="7"/>
  <c r="R82" i="7"/>
  <c r="Q82" i="7"/>
  <c r="M82" i="7"/>
  <c r="L82" i="7"/>
  <c r="H82" i="7"/>
  <c r="G82" i="7"/>
  <c r="AB81" i="7"/>
  <c r="AA81" i="7"/>
  <c r="W81" i="7"/>
  <c r="V81" i="7"/>
  <c r="R81" i="7"/>
  <c r="Q81" i="7"/>
  <c r="M81" i="7"/>
  <c r="L81" i="7"/>
  <c r="H81" i="7"/>
  <c r="G81" i="7"/>
  <c r="AB80" i="7"/>
  <c r="AA80" i="7"/>
  <c r="W80" i="7"/>
  <c r="V80" i="7"/>
  <c r="R80" i="7"/>
  <c r="Q80" i="7"/>
  <c r="M80" i="7"/>
  <c r="L80" i="7"/>
  <c r="H80" i="7"/>
  <c r="G80" i="7"/>
  <c r="AB79" i="7"/>
  <c r="AA79" i="7"/>
  <c r="W79" i="7"/>
  <c r="V79" i="7"/>
  <c r="R79" i="7"/>
  <c r="Q79" i="7"/>
  <c r="M79" i="7"/>
  <c r="L79" i="7"/>
  <c r="H79" i="7"/>
  <c r="G79" i="7"/>
  <c r="AB78" i="7"/>
  <c r="AA78" i="7"/>
  <c r="W78" i="7"/>
  <c r="V78" i="7"/>
  <c r="R78" i="7"/>
  <c r="Q78" i="7"/>
  <c r="M78" i="7"/>
  <c r="L78" i="7"/>
  <c r="H78" i="7"/>
  <c r="G78" i="7"/>
  <c r="AB77" i="7"/>
  <c r="AA77" i="7"/>
  <c r="W77" i="7"/>
  <c r="V77" i="7"/>
  <c r="R77" i="7"/>
  <c r="Q77" i="7"/>
  <c r="M77" i="7"/>
  <c r="L77" i="7"/>
  <c r="H77" i="7"/>
  <c r="G77" i="7"/>
  <c r="AB76" i="7"/>
  <c r="AA76" i="7"/>
  <c r="W76" i="7"/>
  <c r="V76" i="7"/>
  <c r="R76" i="7"/>
  <c r="Q76" i="7"/>
  <c r="M76" i="7"/>
  <c r="L76" i="7"/>
  <c r="H76" i="7"/>
  <c r="G76" i="7"/>
  <c r="AB75" i="7"/>
  <c r="AA75" i="7"/>
  <c r="W75" i="7"/>
  <c r="V75" i="7"/>
  <c r="R75" i="7"/>
  <c r="Q75" i="7"/>
  <c r="M75" i="7"/>
  <c r="L75" i="7"/>
  <c r="H75" i="7"/>
  <c r="G75" i="7"/>
  <c r="AB74" i="7"/>
  <c r="AA74" i="7"/>
  <c r="W74" i="7"/>
  <c r="V74" i="7"/>
  <c r="R74" i="7"/>
  <c r="Q74" i="7"/>
  <c r="M74" i="7"/>
  <c r="L74" i="7"/>
  <c r="H74" i="7"/>
  <c r="G74" i="7"/>
  <c r="AB73" i="7"/>
  <c r="AA73" i="7"/>
  <c r="W73" i="7"/>
  <c r="V73" i="7"/>
  <c r="R73" i="7"/>
  <c r="Q73" i="7"/>
  <c r="M73" i="7"/>
  <c r="L73" i="7"/>
  <c r="H73" i="7"/>
  <c r="G73" i="7"/>
  <c r="AB72" i="7"/>
  <c r="AA72" i="7"/>
  <c r="W72" i="7"/>
  <c r="V72" i="7"/>
  <c r="R72" i="7"/>
  <c r="Q72" i="7"/>
  <c r="M72" i="7"/>
  <c r="L72" i="7"/>
  <c r="H72" i="7"/>
  <c r="G72" i="7"/>
  <c r="AB71" i="7"/>
  <c r="AA71" i="7"/>
  <c r="W71" i="7"/>
  <c r="V71" i="7"/>
  <c r="R71" i="7"/>
  <c r="Q71" i="7"/>
  <c r="M71" i="7"/>
  <c r="L71" i="7"/>
  <c r="H71" i="7"/>
  <c r="G71" i="7"/>
  <c r="AB70" i="7"/>
  <c r="AA70" i="7"/>
  <c r="W70" i="7"/>
  <c r="V70" i="7"/>
  <c r="R70" i="7"/>
  <c r="Q70" i="7"/>
  <c r="M70" i="7"/>
  <c r="L70" i="7"/>
  <c r="H70" i="7"/>
  <c r="G70" i="7"/>
  <c r="AB69" i="7"/>
  <c r="AA69" i="7"/>
  <c r="W69" i="7"/>
  <c r="V69" i="7"/>
  <c r="R69" i="7"/>
  <c r="Q69" i="7"/>
  <c r="M69" i="7"/>
  <c r="L69" i="7"/>
  <c r="H69" i="7"/>
  <c r="G69" i="7"/>
  <c r="AB68" i="7"/>
  <c r="AA68" i="7"/>
  <c r="W68" i="7"/>
  <c r="V68" i="7"/>
  <c r="R68" i="7"/>
  <c r="Q68" i="7"/>
  <c r="M68" i="7"/>
  <c r="L68" i="7"/>
  <c r="H68" i="7"/>
  <c r="G68" i="7"/>
  <c r="AB67" i="7"/>
  <c r="AA67" i="7"/>
  <c r="W67" i="7"/>
  <c r="V67" i="7"/>
  <c r="R67" i="7"/>
  <c r="Q67" i="7"/>
  <c r="M67" i="7"/>
  <c r="L67" i="7"/>
  <c r="H67" i="7"/>
  <c r="G67" i="7"/>
  <c r="AB66" i="7"/>
  <c r="AA66" i="7"/>
  <c r="W66" i="7"/>
  <c r="V66" i="7"/>
  <c r="R66" i="7"/>
  <c r="Q66" i="7"/>
  <c r="M66" i="7"/>
  <c r="L66" i="7"/>
  <c r="H66" i="7"/>
  <c r="G66" i="7"/>
  <c r="AB65" i="7"/>
  <c r="AA65" i="7"/>
  <c r="W65" i="7"/>
  <c r="V65" i="7"/>
  <c r="R65" i="7"/>
  <c r="Q65" i="7"/>
  <c r="M65" i="7"/>
  <c r="L65" i="7"/>
  <c r="H65" i="7"/>
  <c r="G65" i="7"/>
  <c r="AB64" i="7"/>
  <c r="AA64" i="7"/>
  <c r="W64" i="7"/>
  <c r="V64" i="7"/>
  <c r="R64" i="7"/>
  <c r="Q64" i="7"/>
  <c r="M64" i="7"/>
  <c r="L64" i="7"/>
  <c r="H64" i="7"/>
  <c r="G64" i="7"/>
  <c r="AB63" i="7"/>
  <c r="AA63" i="7"/>
  <c r="W63" i="7"/>
  <c r="V63" i="7"/>
  <c r="R63" i="7"/>
  <c r="Q63" i="7"/>
  <c r="M63" i="7"/>
  <c r="L63" i="7"/>
  <c r="H63" i="7"/>
  <c r="G63" i="7"/>
  <c r="AB62" i="7"/>
  <c r="AA62" i="7"/>
  <c r="W62" i="7"/>
  <c r="V62" i="7"/>
  <c r="R62" i="7"/>
  <c r="Q62" i="7"/>
  <c r="M62" i="7"/>
  <c r="L62" i="7"/>
  <c r="H62" i="7"/>
  <c r="G62" i="7"/>
  <c r="AB61" i="7"/>
  <c r="AA61" i="7"/>
  <c r="W61" i="7"/>
  <c r="V61" i="7"/>
  <c r="R61" i="7"/>
  <c r="Q61" i="7"/>
  <c r="M61" i="7"/>
  <c r="L61" i="7"/>
  <c r="H61" i="7"/>
  <c r="G61" i="7"/>
  <c r="AB60" i="7"/>
  <c r="AA60" i="7"/>
  <c r="W60" i="7"/>
  <c r="V60" i="7"/>
  <c r="R60" i="7"/>
  <c r="Q60" i="7"/>
  <c r="M60" i="7"/>
  <c r="L60" i="7"/>
  <c r="H60" i="7"/>
  <c r="G60" i="7"/>
  <c r="AB59" i="7"/>
  <c r="AA59" i="7"/>
  <c r="W59" i="7"/>
  <c r="V59" i="7"/>
  <c r="R59" i="7"/>
  <c r="Q59" i="7"/>
  <c r="M59" i="7"/>
  <c r="L59" i="7"/>
  <c r="H59" i="7"/>
  <c r="G59" i="7"/>
  <c r="AB58" i="7"/>
  <c r="AA58" i="7"/>
  <c r="W58" i="7"/>
  <c r="V58" i="7"/>
  <c r="R58" i="7"/>
  <c r="Q58" i="7"/>
  <c r="M58" i="7"/>
  <c r="L58" i="7"/>
  <c r="H58" i="7"/>
  <c r="G58" i="7"/>
  <c r="AB57" i="7"/>
  <c r="AA57" i="7"/>
  <c r="W57" i="7"/>
  <c r="V57" i="7"/>
  <c r="R57" i="7"/>
  <c r="Q57" i="7"/>
  <c r="M57" i="7"/>
  <c r="L57" i="7"/>
  <c r="H57" i="7"/>
  <c r="G57" i="7"/>
  <c r="AB56" i="7"/>
  <c r="AA56" i="7"/>
  <c r="W56" i="7"/>
  <c r="V56" i="7"/>
  <c r="R56" i="7"/>
  <c r="Q56" i="7"/>
  <c r="M56" i="7"/>
  <c r="L56" i="7"/>
  <c r="H56" i="7"/>
  <c r="G56" i="7"/>
  <c r="AB55" i="7"/>
  <c r="AA55" i="7"/>
  <c r="W55" i="7"/>
  <c r="V55" i="7"/>
  <c r="R55" i="7"/>
  <c r="Q55" i="7"/>
  <c r="M55" i="7"/>
  <c r="L55" i="7"/>
  <c r="H55" i="7"/>
  <c r="G55" i="7"/>
  <c r="AB54" i="7"/>
  <c r="AA54" i="7"/>
  <c r="W54" i="7"/>
  <c r="V54" i="7"/>
  <c r="R54" i="7"/>
  <c r="Q54" i="7"/>
  <c r="M54" i="7"/>
  <c r="L54" i="7"/>
  <c r="H54" i="7"/>
  <c r="G54" i="7"/>
  <c r="AB53" i="7"/>
  <c r="AA53" i="7"/>
  <c r="W53" i="7"/>
  <c r="V53" i="7"/>
  <c r="R53" i="7"/>
  <c r="Q53" i="7"/>
  <c r="M53" i="7"/>
  <c r="L53" i="7"/>
  <c r="H53" i="7"/>
  <c r="G53" i="7"/>
  <c r="AB52" i="7"/>
  <c r="AA52" i="7"/>
  <c r="W52" i="7"/>
  <c r="V52" i="7"/>
  <c r="R52" i="7"/>
  <c r="Q52" i="7"/>
  <c r="M52" i="7"/>
  <c r="L52" i="7"/>
  <c r="H52" i="7"/>
  <c r="G52" i="7"/>
  <c r="AB51" i="7"/>
  <c r="AA51" i="7"/>
  <c r="W51" i="7"/>
  <c r="V51" i="7"/>
  <c r="R51" i="7"/>
  <c r="Q51" i="7"/>
  <c r="M51" i="7"/>
  <c r="L51" i="7"/>
  <c r="H51" i="7"/>
  <c r="G51" i="7"/>
  <c r="AB50" i="7"/>
  <c r="AA50" i="7"/>
  <c r="W50" i="7"/>
  <c r="V50" i="7"/>
  <c r="R50" i="7"/>
  <c r="Q50" i="7"/>
  <c r="M50" i="7"/>
  <c r="L50" i="7"/>
  <c r="H50" i="7"/>
  <c r="G50" i="7"/>
  <c r="AB49" i="7"/>
  <c r="AA49" i="7"/>
  <c r="W49" i="7"/>
  <c r="V49" i="7"/>
  <c r="R49" i="7"/>
  <c r="Q49" i="7"/>
  <c r="M49" i="7"/>
  <c r="L49" i="7"/>
  <c r="H49" i="7"/>
  <c r="G49" i="7"/>
  <c r="AB48" i="7"/>
  <c r="AA48" i="7"/>
  <c r="W48" i="7"/>
  <c r="V48" i="7"/>
  <c r="R48" i="7"/>
  <c r="Q48" i="7"/>
  <c r="M48" i="7"/>
  <c r="L48" i="7"/>
  <c r="H48" i="7"/>
  <c r="G48" i="7"/>
  <c r="AB47" i="7"/>
  <c r="AA47" i="7"/>
  <c r="W47" i="7"/>
  <c r="V47" i="7"/>
  <c r="R47" i="7"/>
  <c r="Q47" i="7"/>
  <c r="M47" i="7"/>
  <c r="L47" i="7"/>
  <c r="H47" i="7"/>
  <c r="G47" i="7"/>
  <c r="AB46" i="7"/>
  <c r="AA46" i="7"/>
  <c r="W46" i="7"/>
  <c r="V46" i="7"/>
  <c r="R46" i="7"/>
  <c r="Q46" i="7"/>
  <c r="M46" i="7"/>
  <c r="L46" i="7"/>
  <c r="H46" i="7"/>
  <c r="G46" i="7"/>
  <c r="AB45" i="7"/>
  <c r="AA45" i="7"/>
  <c r="W45" i="7"/>
  <c r="V45" i="7"/>
  <c r="R45" i="7"/>
  <c r="Q45" i="7"/>
  <c r="M45" i="7"/>
  <c r="L45" i="7"/>
  <c r="H45" i="7"/>
  <c r="G45" i="7"/>
  <c r="AB44" i="7"/>
  <c r="AA44" i="7"/>
  <c r="W44" i="7"/>
  <c r="V44" i="7"/>
  <c r="R44" i="7"/>
  <c r="Q44" i="7"/>
  <c r="M44" i="7"/>
  <c r="L44" i="7"/>
  <c r="H44" i="7"/>
  <c r="G44" i="7"/>
  <c r="AB43" i="7"/>
  <c r="AA43" i="7"/>
  <c r="W43" i="7"/>
  <c r="V43" i="7"/>
  <c r="R43" i="7"/>
  <c r="Q43" i="7"/>
  <c r="L43" i="7"/>
  <c r="M43" i="7" s="1"/>
  <c r="H43" i="7"/>
  <c r="G43" i="7"/>
  <c r="AB42" i="7"/>
  <c r="AA42" i="7"/>
  <c r="W42" i="7"/>
  <c r="V42" i="7"/>
  <c r="R42" i="7"/>
  <c r="Q42" i="7"/>
  <c r="M42" i="7"/>
  <c r="L42" i="7"/>
  <c r="H42" i="7"/>
  <c r="G42" i="7"/>
  <c r="AB41" i="7"/>
  <c r="AA41" i="7"/>
  <c r="W41" i="7"/>
  <c r="V41" i="7"/>
  <c r="R41" i="7"/>
  <c r="Q41" i="7"/>
  <c r="M41" i="7"/>
  <c r="L41" i="7"/>
  <c r="H41" i="7"/>
  <c r="G41" i="7"/>
  <c r="AB40" i="7"/>
  <c r="AA40" i="7"/>
  <c r="W40" i="7"/>
  <c r="V40" i="7"/>
  <c r="Q40" i="7"/>
  <c r="R40" i="7" s="1"/>
  <c r="L40" i="7"/>
  <c r="M40" i="7" s="1"/>
  <c r="G40" i="7"/>
  <c r="H40" i="7" s="1"/>
  <c r="AB39" i="7"/>
  <c r="AA39" i="7"/>
  <c r="V39" i="7"/>
  <c r="W39" i="7" s="1"/>
  <c r="R39" i="7"/>
  <c r="Q39" i="7"/>
  <c r="L39" i="7"/>
  <c r="M39" i="7" s="1"/>
  <c r="H39" i="7"/>
  <c r="G39" i="7"/>
  <c r="AA38" i="7"/>
  <c r="AB38" i="7" s="1"/>
  <c r="V38" i="7"/>
  <c r="W38" i="7" s="1"/>
  <c r="Q38" i="7"/>
  <c r="R38" i="7" s="1"/>
  <c r="M38" i="7"/>
  <c r="L38" i="7"/>
  <c r="G38" i="7"/>
  <c r="H38" i="7" s="1"/>
  <c r="AB37" i="7"/>
  <c r="AA37" i="7"/>
  <c r="V37" i="7"/>
  <c r="W37" i="7" s="1"/>
  <c r="R37" i="7"/>
  <c r="Q37" i="7"/>
  <c r="L37" i="7"/>
  <c r="M37" i="7" s="1"/>
  <c r="G37" i="7"/>
  <c r="H37" i="7" s="1"/>
  <c r="AA36" i="7"/>
  <c r="AB36" i="7" s="1"/>
  <c r="W36" i="7"/>
  <c r="V36" i="7"/>
  <c r="Q36" i="7"/>
  <c r="R36" i="7" s="1"/>
  <c r="M36" i="7"/>
  <c r="L36" i="7"/>
  <c r="G36" i="7"/>
  <c r="H36" i="7" s="1"/>
  <c r="AB35" i="7"/>
  <c r="AA35" i="7"/>
  <c r="V35" i="7"/>
  <c r="W35" i="7" s="1"/>
  <c r="Q35" i="7"/>
  <c r="R35" i="7" s="1"/>
  <c r="L35" i="7"/>
  <c r="M35" i="7" s="1"/>
  <c r="H35" i="7"/>
  <c r="G35" i="7"/>
  <c r="AA34" i="7"/>
  <c r="AB34" i="7" s="1"/>
  <c r="W34" i="7"/>
  <c r="V34" i="7"/>
  <c r="Q34" i="7"/>
  <c r="R34" i="7" s="1"/>
  <c r="M34" i="7"/>
  <c r="L34" i="7"/>
  <c r="G34" i="7"/>
  <c r="H34" i="7" s="1"/>
  <c r="AA33" i="7"/>
  <c r="AB33" i="7" s="1"/>
  <c r="V33" i="7"/>
  <c r="W33" i="7" s="1"/>
  <c r="R33" i="7"/>
  <c r="Q33" i="7"/>
  <c r="L33" i="7"/>
  <c r="M33" i="7" s="1"/>
  <c r="H33" i="7"/>
  <c r="G33" i="7"/>
  <c r="AA32" i="7"/>
  <c r="AB32" i="7" s="1"/>
  <c r="W32" i="7"/>
  <c r="V32" i="7"/>
  <c r="Q32" i="7"/>
  <c r="R32" i="7" s="1"/>
  <c r="L32" i="7"/>
  <c r="M32" i="7" s="1"/>
  <c r="G32" i="7"/>
  <c r="H32" i="7" s="1"/>
  <c r="AB31" i="7"/>
  <c r="AA31" i="7"/>
  <c r="V31" i="7"/>
  <c r="W31" i="7" s="1"/>
  <c r="R31" i="7"/>
  <c r="Q31" i="7"/>
  <c r="L31" i="7"/>
  <c r="M31" i="7" s="1"/>
  <c r="H31" i="7"/>
  <c r="G31" i="7"/>
  <c r="AA30" i="7"/>
  <c r="AB30" i="7" s="1"/>
  <c r="V30" i="7"/>
  <c r="W30" i="7" s="1"/>
  <c r="Q30" i="7"/>
  <c r="R30" i="7" s="1"/>
  <c r="M30" i="7"/>
  <c r="L30" i="7"/>
  <c r="G30" i="7"/>
  <c r="H30" i="7" s="1"/>
  <c r="AB29" i="7"/>
  <c r="AA29" i="7"/>
  <c r="V29" i="7"/>
  <c r="W29" i="7" s="1"/>
  <c r="R29" i="7"/>
  <c r="Q29" i="7"/>
  <c r="L29" i="7"/>
  <c r="M29" i="7" s="1"/>
  <c r="G29" i="7"/>
  <c r="H29" i="7" s="1"/>
  <c r="AA28" i="7"/>
  <c r="AB28" i="7" s="1"/>
  <c r="W28" i="7"/>
  <c r="V28" i="7"/>
  <c r="Q28" i="7"/>
  <c r="R28" i="7" s="1"/>
  <c r="M28" i="7"/>
  <c r="L28" i="7"/>
  <c r="G28" i="7"/>
  <c r="H28" i="7" s="1"/>
  <c r="AB27" i="7"/>
  <c r="AA27" i="7"/>
  <c r="V27" i="7"/>
  <c r="W27" i="7" s="1"/>
  <c r="Q27" i="7"/>
  <c r="R27" i="7" s="1"/>
  <c r="L27" i="7"/>
  <c r="M27" i="7" s="1"/>
  <c r="H27" i="7"/>
  <c r="G27" i="7"/>
  <c r="AA26" i="7"/>
  <c r="AB26" i="7" s="1"/>
  <c r="W26" i="7"/>
  <c r="V26" i="7"/>
  <c r="Q26" i="7"/>
  <c r="R26" i="7" s="1"/>
  <c r="M26" i="7"/>
  <c r="L26" i="7"/>
  <c r="G26" i="7"/>
  <c r="H26" i="7" s="1"/>
  <c r="AA25" i="7"/>
  <c r="AB25" i="7" s="1"/>
  <c r="W25" i="7"/>
  <c r="V25" i="7"/>
  <c r="Q25" i="7"/>
  <c r="R25" i="7" s="1"/>
  <c r="M25" i="7"/>
  <c r="L25" i="7"/>
  <c r="G25" i="7"/>
  <c r="H25" i="7" s="1"/>
  <c r="AB24" i="7"/>
  <c r="AA24" i="7"/>
  <c r="V24" i="7"/>
  <c r="W24" i="7" s="1"/>
  <c r="R24" i="7"/>
  <c r="Q24" i="7"/>
  <c r="L24" i="7"/>
  <c r="M24" i="7" s="1"/>
  <c r="H24" i="7"/>
  <c r="G24" i="7"/>
  <c r="AA23" i="7"/>
  <c r="AB23" i="7" s="1"/>
  <c r="W23" i="7"/>
  <c r="V23" i="7"/>
  <c r="Q23" i="7"/>
  <c r="R23" i="7" s="1"/>
  <c r="M23" i="7"/>
  <c r="L23" i="7"/>
  <c r="G23" i="7"/>
  <c r="H23" i="7" s="1"/>
  <c r="AB22" i="7"/>
  <c r="AA22" i="7"/>
  <c r="V22" i="7"/>
  <c r="W22" i="7" s="1"/>
  <c r="R22" i="7"/>
  <c r="Q22" i="7"/>
  <c r="L22" i="7"/>
  <c r="M22" i="7" s="1"/>
  <c r="H22" i="7"/>
  <c r="G22" i="7"/>
  <c r="AA21" i="7"/>
  <c r="AB21" i="7" s="1"/>
  <c r="W21" i="7"/>
  <c r="V21" i="7"/>
  <c r="Q21" i="7"/>
  <c r="R21" i="7" s="1"/>
  <c r="M21" i="7"/>
  <c r="L21" i="7"/>
  <c r="G21" i="7"/>
  <c r="H21" i="7" s="1"/>
  <c r="AB20" i="7"/>
  <c r="AA20" i="7"/>
  <c r="V20" i="7"/>
  <c r="W20" i="7" s="1"/>
  <c r="R20" i="7"/>
  <c r="Q20" i="7"/>
  <c r="L20" i="7"/>
  <c r="M20" i="7" s="1"/>
  <c r="H20" i="7"/>
  <c r="G20" i="7"/>
  <c r="AA19" i="7"/>
  <c r="AB19" i="7" s="1"/>
  <c r="W19" i="7"/>
  <c r="V19" i="7"/>
  <c r="Q19" i="7"/>
  <c r="R19" i="7" s="1"/>
  <c r="M19" i="7"/>
  <c r="L19" i="7"/>
  <c r="G19" i="7"/>
  <c r="H19" i="7" s="1"/>
  <c r="AB18" i="7"/>
  <c r="AA18" i="7"/>
  <c r="V18" i="7"/>
  <c r="W18" i="7" s="1"/>
  <c r="R18" i="7"/>
  <c r="Q18" i="7"/>
  <c r="L18" i="7"/>
  <c r="M18" i="7" s="1"/>
  <c r="H18" i="7"/>
  <c r="G18" i="7"/>
  <c r="AA17" i="7"/>
  <c r="AB17" i="7" s="1"/>
  <c r="W17" i="7"/>
  <c r="V17" i="7"/>
  <c r="Q17" i="7"/>
  <c r="R17" i="7" s="1"/>
  <c r="M17" i="7"/>
  <c r="L17" i="7"/>
  <c r="G17" i="7"/>
  <c r="H17" i="7" s="1"/>
  <c r="AB16" i="7"/>
  <c r="AA16" i="7"/>
  <c r="V16" i="7"/>
  <c r="W16" i="7" s="1"/>
  <c r="R16" i="7"/>
  <c r="Q16" i="7"/>
  <c r="L16" i="7"/>
  <c r="M16" i="7" s="1"/>
  <c r="H16" i="7"/>
  <c r="G16" i="7"/>
  <c r="AA15" i="7"/>
  <c r="AB15" i="7" s="1"/>
  <c r="W15" i="7"/>
  <c r="V15" i="7"/>
  <c r="Q15" i="7"/>
  <c r="R15" i="7" s="1"/>
  <c r="M15" i="7"/>
  <c r="L15" i="7"/>
  <c r="G15" i="7"/>
  <c r="H15" i="7" s="1"/>
  <c r="AB14" i="7"/>
  <c r="AA14" i="7"/>
  <c r="V14" i="7"/>
  <c r="W14" i="7" s="1"/>
  <c r="R14" i="7"/>
  <c r="Q14" i="7"/>
  <c r="L14" i="7"/>
  <c r="M14" i="7" s="1"/>
  <c r="H14" i="7"/>
  <c r="G14" i="7"/>
  <c r="AA13" i="7"/>
  <c r="AB13" i="7" s="1"/>
  <c r="W13" i="7"/>
  <c r="V13" i="7"/>
  <c r="Q13" i="7"/>
  <c r="R13" i="7" s="1"/>
  <c r="M13" i="7"/>
  <c r="L13" i="7"/>
  <c r="G13" i="7"/>
  <c r="H13" i="7" s="1"/>
  <c r="AB12" i="7"/>
  <c r="AA12" i="7"/>
  <c r="V12" i="7"/>
  <c r="W12" i="7" s="1"/>
  <c r="R12" i="7"/>
  <c r="Q12" i="7"/>
  <c r="L12" i="7"/>
  <c r="M12" i="7" s="1"/>
  <c r="H12" i="7"/>
  <c r="G12" i="7"/>
  <c r="AA11" i="7"/>
  <c r="AB11" i="7" s="1"/>
  <c r="W11" i="7"/>
  <c r="V11" i="7"/>
  <c r="Q11" i="7"/>
  <c r="R11" i="7" s="1"/>
  <c r="M11" i="7"/>
  <c r="L11" i="7"/>
  <c r="G11" i="7"/>
  <c r="H11" i="7" s="1"/>
  <c r="AB10" i="7"/>
  <c r="AA10" i="7"/>
  <c r="V10" i="7"/>
  <c r="W10" i="7" s="1"/>
  <c r="R10" i="7"/>
  <c r="Q10" i="7"/>
  <c r="L10" i="7"/>
  <c r="M10" i="7" s="1"/>
  <c r="H10" i="7"/>
  <c r="G10" i="7"/>
  <c r="AA9" i="7"/>
  <c r="AB9" i="7" s="1"/>
  <c r="W9" i="7"/>
  <c r="V9" i="7"/>
  <c r="Q9" i="7"/>
  <c r="R9" i="7" s="1"/>
  <c r="M9" i="7"/>
  <c r="L9" i="7"/>
  <c r="G9" i="7"/>
  <c r="H9" i="7" s="1"/>
  <c r="AB8" i="7"/>
  <c r="AA8" i="7"/>
  <c r="V8" i="7"/>
  <c r="W8" i="7" s="1"/>
  <c r="R8" i="7"/>
  <c r="Q8" i="7"/>
  <c r="L8" i="7"/>
  <c r="M8" i="7" s="1"/>
  <c r="H8" i="7"/>
  <c r="G8" i="7"/>
  <c r="AA7" i="7"/>
  <c r="AB7" i="7" s="1"/>
  <c r="W7" i="7"/>
  <c r="V7" i="7"/>
  <c r="Q7" i="7"/>
  <c r="R7" i="7" s="1"/>
  <c r="M7" i="7"/>
  <c r="L7" i="7"/>
  <c r="G7" i="7"/>
  <c r="H7" i="7" s="1"/>
  <c r="AB6" i="7"/>
  <c r="AA6" i="7"/>
  <c r="V6" i="7"/>
  <c r="W6" i="7" s="1"/>
  <c r="R6" i="7"/>
  <c r="Q6" i="7"/>
  <c r="L6" i="7"/>
  <c r="M6" i="7" s="1"/>
  <c r="H6" i="7"/>
  <c r="G6" i="7"/>
  <c r="AA5" i="7"/>
  <c r="AB5" i="7" s="1"/>
  <c r="W5" i="7"/>
  <c r="V5" i="7"/>
  <c r="Q5" i="7"/>
  <c r="R5" i="7" s="1"/>
  <c r="M5" i="7"/>
  <c r="L5" i="7"/>
  <c r="G5" i="7"/>
  <c r="H5" i="7" s="1"/>
  <c r="AB4" i="7"/>
  <c r="AA4" i="7"/>
  <c r="V4" i="7"/>
  <c r="W4" i="7" s="1"/>
  <c r="R4" i="7"/>
  <c r="Q4" i="7"/>
  <c r="L4" i="7"/>
  <c r="M4" i="7" s="1"/>
  <c r="H4" i="7"/>
  <c r="G4" i="7"/>
  <c r="AA3" i="7"/>
  <c r="W3" i="7"/>
  <c r="V3" i="7"/>
  <c r="Q3" i="7"/>
  <c r="M3" i="7"/>
  <c r="L3" i="7"/>
  <c r="G3" i="7"/>
  <c r="Z117" i="6"/>
  <c r="AA117" i="6" s="1"/>
  <c r="V117" i="6"/>
  <c r="U117" i="6"/>
  <c r="P117" i="6"/>
  <c r="Q117" i="6" s="1"/>
  <c r="L117" i="6"/>
  <c r="K117" i="6"/>
  <c r="F117" i="6"/>
  <c r="G117" i="6" s="1"/>
  <c r="AA116" i="6"/>
  <c r="Z116" i="6"/>
  <c r="U116" i="6"/>
  <c r="V116" i="6" s="1"/>
  <c r="Q116" i="6"/>
  <c r="P116" i="6"/>
  <c r="K116" i="6"/>
  <c r="L116" i="6" s="1"/>
  <c r="F116" i="6"/>
  <c r="G116" i="6" s="1"/>
  <c r="AA115" i="6"/>
  <c r="Z115" i="6"/>
  <c r="U115" i="6"/>
  <c r="V115" i="6" s="1"/>
  <c r="Q115" i="6"/>
  <c r="P115" i="6"/>
  <c r="K115" i="6"/>
  <c r="L115" i="6" s="1"/>
  <c r="G115" i="6"/>
  <c r="F115" i="6"/>
  <c r="Z114" i="6"/>
  <c r="AA114" i="6" s="1"/>
  <c r="U114" i="6"/>
  <c r="V114" i="6" s="1"/>
  <c r="P114" i="6"/>
  <c r="Q114" i="6" s="1"/>
  <c r="L114" i="6"/>
  <c r="K114" i="6"/>
  <c r="F114" i="6"/>
  <c r="G114" i="6" s="1"/>
  <c r="AA113" i="6"/>
  <c r="Z113" i="6"/>
  <c r="U113" i="6"/>
  <c r="V113" i="6" s="1"/>
  <c r="Q113" i="6"/>
  <c r="P113" i="6"/>
  <c r="K113" i="6"/>
  <c r="L113" i="6" s="1"/>
  <c r="F113" i="6"/>
  <c r="G113" i="6" s="1"/>
  <c r="Z112" i="6"/>
  <c r="AA112" i="6" s="1"/>
  <c r="V112" i="6"/>
  <c r="U112" i="6"/>
  <c r="P112" i="6"/>
  <c r="Q112" i="6" s="1"/>
  <c r="L112" i="6"/>
  <c r="K112" i="6"/>
  <c r="F112" i="6"/>
  <c r="G112" i="6" s="1"/>
  <c r="AA111" i="6"/>
  <c r="Z111" i="6"/>
  <c r="U111" i="6"/>
  <c r="V111" i="6" s="1"/>
  <c r="P111" i="6"/>
  <c r="Q111" i="6" s="1"/>
  <c r="K111" i="6"/>
  <c r="L111" i="6" s="1"/>
  <c r="G111" i="6"/>
  <c r="F111" i="6"/>
  <c r="Z110" i="6"/>
  <c r="AA110" i="6" s="1"/>
  <c r="V110" i="6"/>
  <c r="U110" i="6"/>
  <c r="P110" i="6"/>
  <c r="Q110" i="6" s="1"/>
  <c r="L110" i="6"/>
  <c r="K110" i="6"/>
  <c r="F110" i="6"/>
  <c r="G110" i="6" s="1"/>
  <c r="Z109" i="6"/>
  <c r="AA109" i="6" s="1"/>
  <c r="U109" i="6"/>
  <c r="V109" i="6" s="1"/>
  <c r="Q109" i="6"/>
  <c r="P109" i="6"/>
  <c r="K109" i="6"/>
  <c r="L109" i="6" s="1"/>
  <c r="G109" i="6"/>
  <c r="F109" i="6"/>
  <c r="Z108" i="6"/>
  <c r="AA108" i="6" s="1"/>
  <c r="V108" i="6"/>
  <c r="U108" i="6"/>
  <c r="P108" i="6"/>
  <c r="Q108" i="6" s="1"/>
  <c r="K108" i="6"/>
  <c r="L108" i="6" s="1"/>
  <c r="F108" i="6"/>
  <c r="G108" i="6" s="1"/>
  <c r="AA107" i="6"/>
  <c r="Z107" i="6"/>
  <c r="U107" i="6"/>
  <c r="V107" i="6" s="1"/>
  <c r="Q107" i="6"/>
  <c r="P107" i="6"/>
  <c r="K107" i="6"/>
  <c r="L107" i="6" s="1"/>
  <c r="G107" i="6"/>
  <c r="F107" i="6"/>
  <c r="Z106" i="6"/>
  <c r="AA106" i="6" s="1"/>
  <c r="U106" i="6"/>
  <c r="V106" i="6" s="1"/>
  <c r="P106" i="6"/>
  <c r="Q106" i="6" s="1"/>
  <c r="L106" i="6"/>
  <c r="K106" i="6"/>
  <c r="F106" i="6"/>
  <c r="G106" i="6" s="1"/>
  <c r="AA105" i="6"/>
  <c r="Z105" i="6"/>
  <c r="U105" i="6"/>
  <c r="V105" i="6" s="1"/>
  <c r="Q105" i="6"/>
  <c r="P105" i="6"/>
  <c r="K105" i="6"/>
  <c r="L105" i="6" s="1"/>
  <c r="F105" i="6"/>
  <c r="G105" i="6" s="1"/>
  <c r="Z104" i="6"/>
  <c r="AA104" i="6" s="1"/>
  <c r="V104" i="6"/>
  <c r="U104" i="6"/>
  <c r="P104" i="6"/>
  <c r="Q104" i="6" s="1"/>
  <c r="L104" i="6"/>
  <c r="K104" i="6"/>
  <c r="F104" i="6"/>
  <c r="G104" i="6" s="1"/>
  <c r="AA103" i="6"/>
  <c r="Z103" i="6"/>
  <c r="U103" i="6"/>
  <c r="V103" i="6" s="1"/>
  <c r="P103" i="6"/>
  <c r="Q103" i="6" s="1"/>
  <c r="K103" i="6"/>
  <c r="L103" i="6" s="1"/>
  <c r="G103" i="6"/>
  <c r="F103" i="6"/>
  <c r="Z102" i="6"/>
  <c r="AA102" i="6" s="1"/>
  <c r="V102" i="6"/>
  <c r="U102" i="6"/>
  <c r="P102" i="6"/>
  <c r="Q102" i="6" s="1"/>
  <c r="L102" i="6"/>
  <c r="K102" i="6"/>
  <c r="F102" i="6"/>
  <c r="G102" i="6" s="1"/>
  <c r="Z101" i="6"/>
  <c r="AA101" i="6" s="1"/>
  <c r="V101" i="6"/>
  <c r="U101" i="6"/>
  <c r="P101" i="6"/>
  <c r="Q101" i="6" s="1"/>
  <c r="L101" i="6"/>
  <c r="K101" i="6"/>
  <c r="F101" i="6"/>
  <c r="G101" i="6" s="1"/>
  <c r="AA100" i="6"/>
  <c r="Z100" i="6"/>
  <c r="U100" i="6"/>
  <c r="V100" i="6" s="1"/>
  <c r="Q100" i="6"/>
  <c r="P100" i="6"/>
  <c r="K100" i="6"/>
  <c r="L100" i="6" s="1"/>
  <c r="G100" i="6"/>
  <c r="F100" i="6"/>
  <c r="Z99" i="6"/>
  <c r="AA99" i="6" s="1"/>
  <c r="V99" i="6"/>
  <c r="U99" i="6"/>
  <c r="P99" i="6"/>
  <c r="Q99" i="6" s="1"/>
  <c r="L99" i="6"/>
  <c r="K99" i="6"/>
  <c r="F99" i="6"/>
  <c r="G99" i="6" s="1"/>
  <c r="AA98" i="6"/>
  <c r="Z98" i="6"/>
  <c r="U98" i="6"/>
  <c r="V98" i="6" s="1"/>
  <c r="Q98" i="6"/>
  <c r="P98" i="6"/>
  <c r="K98" i="6"/>
  <c r="L98" i="6" s="1"/>
  <c r="G98" i="6"/>
  <c r="F98" i="6"/>
  <c r="Z97" i="6"/>
  <c r="AA97" i="6" s="1"/>
  <c r="V97" i="6"/>
  <c r="U97" i="6"/>
  <c r="P97" i="6"/>
  <c r="Q97" i="6" s="1"/>
  <c r="L97" i="6"/>
  <c r="K97" i="6"/>
  <c r="F97" i="6"/>
  <c r="G97" i="6" s="1"/>
  <c r="AA96" i="6"/>
  <c r="Z96" i="6"/>
  <c r="U96" i="6"/>
  <c r="V96" i="6" s="1"/>
  <c r="Q96" i="6"/>
  <c r="P96" i="6"/>
  <c r="K96" i="6"/>
  <c r="L96" i="6" s="1"/>
  <c r="G96" i="6"/>
  <c r="F96" i="6"/>
  <c r="Z95" i="6"/>
  <c r="AA95" i="6" s="1"/>
  <c r="V95" i="6"/>
  <c r="U95" i="6"/>
  <c r="P95" i="6"/>
  <c r="Q95" i="6" s="1"/>
  <c r="L95" i="6"/>
  <c r="K95" i="6"/>
  <c r="F95" i="6"/>
  <c r="G95" i="6" s="1"/>
  <c r="AA94" i="6"/>
  <c r="Z94" i="6"/>
  <c r="U94" i="6"/>
  <c r="V94" i="6" s="1"/>
  <c r="Q94" i="6"/>
  <c r="P94" i="6"/>
  <c r="K94" i="6"/>
  <c r="L94" i="6" s="1"/>
  <c r="G94" i="6"/>
  <c r="F94" i="6"/>
  <c r="Z93" i="6"/>
  <c r="AA93" i="6" s="1"/>
  <c r="V93" i="6"/>
  <c r="U93" i="6"/>
  <c r="P93" i="6"/>
  <c r="Q93" i="6" s="1"/>
  <c r="L93" i="6"/>
  <c r="K93" i="6"/>
  <c r="F93" i="6"/>
  <c r="G93" i="6" s="1"/>
  <c r="AA92" i="6"/>
  <c r="Z92" i="6"/>
  <c r="U92" i="6"/>
  <c r="V92" i="6" s="1"/>
  <c r="Q92" i="6"/>
  <c r="P92" i="6"/>
  <c r="K92" i="6"/>
  <c r="L92" i="6" s="1"/>
  <c r="G92" i="6"/>
  <c r="F92" i="6"/>
  <c r="Z91" i="6"/>
  <c r="AA91" i="6" s="1"/>
  <c r="V91" i="6"/>
  <c r="U91" i="6"/>
  <c r="P91" i="6"/>
  <c r="Q91" i="6" s="1"/>
  <c r="L91" i="6"/>
  <c r="K91" i="6"/>
  <c r="F91" i="6"/>
  <c r="G91" i="6" s="1"/>
  <c r="AA90" i="6"/>
  <c r="Z90" i="6"/>
  <c r="U90" i="6"/>
  <c r="V90" i="6" s="1"/>
  <c r="Q90" i="6"/>
  <c r="P90" i="6"/>
  <c r="K90" i="6"/>
  <c r="L90" i="6" s="1"/>
  <c r="G90" i="6"/>
  <c r="F90" i="6"/>
  <c r="Z89" i="6"/>
  <c r="AA89" i="6" s="1"/>
  <c r="V89" i="6"/>
  <c r="U89" i="6"/>
  <c r="P89" i="6"/>
  <c r="Q89" i="6" s="1"/>
  <c r="L89" i="6"/>
  <c r="K89" i="6"/>
  <c r="F89" i="6"/>
  <c r="G89" i="6" s="1"/>
  <c r="Z88" i="6"/>
  <c r="AA88" i="6" s="1"/>
  <c r="U88" i="6"/>
  <c r="V88" i="6" s="1"/>
  <c r="Q88" i="6"/>
  <c r="P88" i="6"/>
  <c r="K88" i="6"/>
  <c r="L88" i="6" s="1"/>
  <c r="G88" i="6"/>
  <c r="F88" i="6"/>
  <c r="Z87" i="6"/>
  <c r="AA87" i="6" s="1"/>
  <c r="U87" i="6"/>
  <c r="V87" i="6" s="1"/>
  <c r="P87" i="6"/>
  <c r="Q87" i="6" s="1"/>
  <c r="K87" i="6"/>
  <c r="L87" i="6" s="1"/>
  <c r="F87" i="6"/>
  <c r="G87" i="6" s="1"/>
  <c r="AA86" i="6"/>
  <c r="Z86" i="6"/>
  <c r="U86" i="6"/>
  <c r="V86" i="6" s="1"/>
  <c r="Q86" i="6"/>
  <c r="P86" i="6"/>
  <c r="K86" i="6"/>
  <c r="L86" i="6" s="1"/>
  <c r="F86" i="6"/>
  <c r="G86" i="6" s="1"/>
  <c r="Z85" i="6"/>
  <c r="AA85" i="6" s="1"/>
  <c r="U85" i="6"/>
  <c r="V85" i="6" s="1"/>
  <c r="P85" i="6"/>
  <c r="Q85" i="6" s="1"/>
  <c r="L85" i="6"/>
  <c r="K85" i="6"/>
  <c r="F85" i="6"/>
  <c r="G85" i="6" s="1"/>
  <c r="AA84" i="6"/>
  <c r="Z84" i="6"/>
  <c r="U84" i="6"/>
  <c r="V84" i="6" s="1"/>
  <c r="P84" i="6"/>
  <c r="Q84" i="6" s="1"/>
  <c r="K84" i="6"/>
  <c r="L84" i="6" s="1"/>
  <c r="F84" i="6"/>
  <c r="G84" i="6" s="1"/>
  <c r="Z83" i="6"/>
  <c r="AA83" i="6" s="1"/>
  <c r="V83" i="6"/>
  <c r="U83" i="6"/>
  <c r="P83" i="6"/>
  <c r="Q83" i="6" s="1"/>
  <c r="L83" i="6"/>
  <c r="K83" i="6"/>
  <c r="F83" i="6"/>
  <c r="G83" i="6" s="1"/>
  <c r="Z82" i="6"/>
  <c r="AA82" i="6" s="1"/>
  <c r="U82" i="6"/>
  <c r="V82" i="6" s="1"/>
  <c r="P82" i="6"/>
  <c r="Q82" i="6" s="1"/>
  <c r="K82" i="6"/>
  <c r="L82" i="6" s="1"/>
  <c r="G82" i="6"/>
  <c r="F82" i="6"/>
  <c r="Z81" i="6"/>
  <c r="AA81" i="6" s="1"/>
  <c r="V81" i="6"/>
  <c r="U81" i="6"/>
  <c r="P81" i="6"/>
  <c r="Q81" i="6" s="1"/>
  <c r="K81" i="6"/>
  <c r="L81" i="6" s="1"/>
  <c r="F81" i="6"/>
  <c r="G81" i="6" s="1"/>
  <c r="Z80" i="6"/>
  <c r="AA80" i="6" s="1"/>
  <c r="U80" i="6"/>
  <c r="V80" i="6" s="1"/>
  <c r="Q80" i="6"/>
  <c r="P80" i="6"/>
  <c r="K80" i="6"/>
  <c r="L80" i="6" s="1"/>
  <c r="G80" i="6"/>
  <c r="F80" i="6"/>
  <c r="Z79" i="6"/>
  <c r="AA79" i="6" s="1"/>
  <c r="U79" i="6"/>
  <c r="V79" i="6" s="1"/>
  <c r="P79" i="6"/>
  <c r="Q79" i="6" s="1"/>
  <c r="K79" i="6"/>
  <c r="L79" i="6" s="1"/>
  <c r="F79" i="6"/>
  <c r="G79" i="6" s="1"/>
  <c r="AA78" i="6"/>
  <c r="Z78" i="6"/>
  <c r="U78" i="6"/>
  <c r="V78" i="6" s="1"/>
  <c r="Q78" i="6"/>
  <c r="P78" i="6"/>
  <c r="K78" i="6"/>
  <c r="L78" i="6" s="1"/>
  <c r="F78" i="6"/>
  <c r="G78" i="6" s="1"/>
  <c r="Z77" i="6"/>
  <c r="AA77" i="6" s="1"/>
  <c r="U77" i="6"/>
  <c r="V77" i="6" s="1"/>
  <c r="P77" i="6"/>
  <c r="Q77" i="6" s="1"/>
  <c r="L77" i="6"/>
  <c r="K77" i="6"/>
  <c r="F77" i="6"/>
  <c r="G77" i="6" s="1"/>
  <c r="AA76" i="6"/>
  <c r="Z76" i="6"/>
  <c r="U76" i="6"/>
  <c r="V76" i="6" s="1"/>
  <c r="P76" i="6"/>
  <c r="Q76" i="6" s="1"/>
  <c r="K76" i="6"/>
  <c r="L76" i="6" s="1"/>
  <c r="F76" i="6"/>
  <c r="G76" i="6" s="1"/>
  <c r="Z75" i="6"/>
  <c r="AA75" i="6" s="1"/>
  <c r="V75" i="6"/>
  <c r="U75" i="6"/>
  <c r="P75" i="6"/>
  <c r="Q75" i="6" s="1"/>
  <c r="L75" i="6"/>
  <c r="K75" i="6"/>
  <c r="F75" i="6"/>
  <c r="G75" i="6" s="1"/>
  <c r="AA74" i="6"/>
  <c r="Z74" i="6"/>
  <c r="U74" i="6"/>
  <c r="V74" i="6" s="1"/>
  <c r="P74" i="6"/>
  <c r="Q74" i="6" s="1"/>
  <c r="K74" i="6"/>
  <c r="L74" i="6" s="1"/>
  <c r="G74" i="6"/>
  <c r="F74" i="6"/>
  <c r="Z73" i="6"/>
  <c r="AA73" i="6" s="1"/>
  <c r="V73" i="6"/>
  <c r="U73" i="6"/>
  <c r="P73" i="6"/>
  <c r="Q73" i="6" s="1"/>
  <c r="K73" i="6"/>
  <c r="L73" i="6" s="1"/>
  <c r="F73" i="6"/>
  <c r="G73" i="6" s="1"/>
  <c r="Z72" i="6"/>
  <c r="AA72" i="6" s="1"/>
  <c r="U72" i="6"/>
  <c r="V72" i="6" s="1"/>
  <c r="Q72" i="6"/>
  <c r="P72" i="6"/>
  <c r="K72" i="6"/>
  <c r="L72" i="6" s="1"/>
  <c r="G72" i="6"/>
  <c r="F72" i="6"/>
  <c r="Z71" i="6"/>
  <c r="AA71" i="6" s="1"/>
  <c r="U71" i="6"/>
  <c r="V71" i="6" s="1"/>
  <c r="P71" i="6"/>
  <c r="Q71" i="6" s="1"/>
  <c r="K71" i="6"/>
  <c r="L71" i="6" s="1"/>
  <c r="F71" i="6"/>
  <c r="G71" i="6" s="1"/>
  <c r="AA70" i="6"/>
  <c r="Z70" i="6"/>
  <c r="U70" i="6"/>
  <c r="V70" i="6" s="1"/>
  <c r="Q70" i="6"/>
  <c r="P70" i="6"/>
  <c r="K70" i="6"/>
  <c r="L70" i="6" s="1"/>
  <c r="F70" i="6"/>
  <c r="G70" i="6" s="1"/>
  <c r="Z69" i="6"/>
  <c r="AA69" i="6" s="1"/>
  <c r="U69" i="6"/>
  <c r="V69" i="6" s="1"/>
  <c r="Q69" i="6"/>
  <c r="P69" i="6"/>
  <c r="K69" i="6"/>
  <c r="L69" i="6" s="1"/>
  <c r="G69" i="6"/>
  <c r="F69" i="6"/>
  <c r="Z68" i="6"/>
  <c r="AA68" i="6" s="1"/>
  <c r="V68" i="6"/>
  <c r="U68" i="6"/>
  <c r="P68" i="6"/>
  <c r="Q68" i="6" s="1"/>
  <c r="L68" i="6"/>
  <c r="K68" i="6"/>
  <c r="F68" i="6"/>
  <c r="G68" i="6" s="1"/>
  <c r="AA67" i="6"/>
  <c r="Z67" i="6"/>
  <c r="U67" i="6"/>
  <c r="V67" i="6" s="1"/>
  <c r="Q67" i="6"/>
  <c r="P67" i="6"/>
  <c r="K67" i="6"/>
  <c r="L67" i="6" s="1"/>
  <c r="G67" i="6"/>
  <c r="F67" i="6"/>
  <c r="Z66" i="6"/>
  <c r="AA66" i="6" s="1"/>
  <c r="V66" i="6"/>
  <c r="U66" i="6"/>
  <c r="P66" i="6"/>
  <c r="Q66" i="6" s="1"/>
  <c r="L66" i="6"/>
  <c r="K66" i="6"/>
  <c r="F66" i="6"/>
  <c r="G66" i="6" s="1"/>
  <c r="AA65" i="6"/>
  <c r="Z65" i="6"/>
  <c r="U65" i="6"/>
  <c r="V65" i="6" s="1"/>
  <c r="Q65" i="6"/>
  <c r="P65" i="6"/>
  <c r="K65" i="6"/>
  <c r="L65" i="6" s="1"/>
  <c r="G65" i="6"/>
  <c r="F65" i="6"/>
  <c r="Z64" i="6"/>
  <c r="AA64" i="6" s="1"/>
  <c r="V64" i="6"/>
  <c r="U64" i="6"/>
  <c r="P64" i="6"/>
  <c r="Q64" i="6" s="1"/>
  <c r="L64" i="6"/>
  <c r="K64" i="6"/>
  <c r="F64" i="6"/>
  <c r="G64" i="6" s="1"/>
  <c r="AA63" i="6"/>
  <c r="Z63" i="6"/>
  <c r="U63" i="6"/>
  <c r="V63" i="6" s="1"/>
  <c r="Q63" i="6"/>
  <c r="P63" i="6"/>
  <c r="K63" i="6"/>
  <c r="L63" i="6" s="1"/>
  <c r="G63" i="6"/>
  <c r="F63" i="6"/>
  <c r="Z62" i="6"/>
  <c r="AA62" i="6" s="1"/>
  <c r="V62" i="6"/>
  <c r="U62" i="6"/>
  <c r="P62" i="6"/>
  <c r="Q62" i="6" s="1"/>
  <c r="L62" i="6"/>
  <c r="K62" i="6"/>
  <c r="F62" i="6"/>
  <c r="G62" i="6" s="1"/>
  <c r="AA61" i="6"/>
  <c r="Z61" i="6"/>
  <c r="U61" i="6"/>
  <c r="V61" i="6" s="1"/>
  <c r="Q61" i="6"/>
  <c r="P61" i="6"/>
  <c r="K61" i="6"/>
  <c r="L61" i="6" s="1"/>
  <c r="G61" i="6"/>
  <c r="F61" i="6"/>
  <c r="Z60" i="6"/>
  <c r="AA60" i="6" s="1"/>
  <c r="V60" i="6"/>
  <c r="U60" i="6"/>
  <c r="P60" i="6"/>
  <c r="Q60" i="6" s="1"/>
  <c r="L60" i="6"/>
  <c r="K60" i="6"/>
  <c r="F60" i="6"/>
  <c r="G60" i="6" s="1"/>
  <c r="AA59" i="6"/>
  <c r="Z59" i="6"/>
  <c r="U59" i="6"/>
  <c r="V59" i="6" s="1"/>
  <c r="Q59" i="6"/>
  <c r="P59" i="6"/>
  <c r="K59" i="6"/>
  <c r="L59" i="6" s="1"/>
  <c r="G59" i="6"/>
  <c r="F59" i="6"/>
  <c r="Z58" i="6"/>
  <c r="AA58" i="6" s="1"/>
  <c r="V58" i="6"/>
  <c r="U58" i="6"/>
  <c r="P58" i="6"/>
  <c r="Q58" i="6" s="1"/>
  <c r="L58" i="6"/>
  <c r="K58" i="6"/>
  <c r="F58" i="6"/>
  <c r="G58" i="6" s="1"/>
  <c r="AA57" i="6"/>
  <c r="Z57" i="6"/>
  <c r="U57" i="6"/>
  <c r="V57" i="6" s="1"/>
  <c r="Q57" i="6"/>
  <c r="P57" i="6"/>
  <c r="K57" i="6"/>
  <c r="L57" i="6" s="1"/>
  <c r="G57" i="6"/>
  <c r="F57" i="6"/>
  <c r="Z56" i="6"/>
  <c r="AA56" i="6" s="1"/>
  <c r="V56" i="6"/>
  <c r="U56" i="6"/>
  <c r="P56" i="6"/>
  <c r="Q56" i="6" s="1"/>
  <c r="L56" i="6"/>
  <c r="K56" i="6"/>
  <c r="F56" i="6"/>
  <c r="G56" i="6" s="1"/>
  <c r="Z55" i="6"/>
  <c r="AA55" i="6" s="1"/>
  <c r="U55" i="6"/>
  <c r="V55" i="6" s="1"/>
  <c r="P55" i="6"/>
  <c r="Q55" i="6" s="1"/>
  <c r="K55" i="6"/>
  <c r="L55" i="6" s="1"/>
  <c r="F55" i="6"/>
  <c r="G55" i="6" s="1"/>
  <c r="Z54" i="6"/>
  <c r="AA54" i="6" s="1"/>
  <c r="V54" i="6"/>
  <c r="U54" i="6"/>
  <c r="P54" i="6"/>
  <c r="Q54" i="6" s="1"/>
  <c r="K54" i="6"/>
  <c r="L54" i="6" s="1"/>
  <c r="F54" i="6"/>
  <c r="G54" i="6" s="1"/>
  <c r="Z53" i="6"/>
  <c r="AA53" i="6" s="1"/>
  <c r="U53" i="6"/>
  <c r="V53" i="6" s="1"/>
  <c r="P53" i="6"/>
  <c r="Q53" i="6" s="1"/>
  <c r="K53" i="6"/>
  <c r="L53" i="6" s="1"/>
  <c r="G53" i="6"/>
  <c r="F53" i="6"/>
  <c r="Z52" i="6"/>
  <c r="AA52" i="6" s="1"/>
  <c r="U52" i="6"/>
  <c r="V52" i="6" s="1"/>
  <c r="P52" i="6"/>
  <c r="Q52" i="6" s="1"/>
  <c r="K52" i="6"/>
  <c r="L52" i="6" s="1"/>
  <c r="F52" i="6"/>
  <c r="G52" i="6" s="1"/>
  <c r="Z51" i="6"/>
  <c r="AA51" i="6" s="1"/>
  <c r="U51" i="6"/>
  <c r="V51" i="6" s="1"/>
  <c r="Q51" i="6"/>
  <c r="P51" i="6"/>
  <c r="K51" i="6"/>
  <c r="L51" i="6" s="1"/>
  <c r="F51" i="6"/>
  <c r="G51" i="6" s="1"/>
  <c r="Z50" i="6"/>
  <c r="AA50" i="6" s="1"/>
  <c r="U50" i="6"/>
  <c r="V50" i="6" s="1"/>
  <c r="P50" i="6"/>
  <c r="Q50" i="6" s="1"/>
  <c r="K50" i="6"/>
  <c r="L50" i="6" s="1"/>
  <c r="F50" i="6"/>
  <c r="G50" i="6" s="1"/>
  <c r="AA49" i="6"/>
  <c r="Z49" i="6"/>
  <c r="U49" i="6"/>
  <c r="V49" i="6" s="1"/>
  <c r="P49" i="6"/>
  <c r="Q49" i="6" s="1"/>
  <c r="K49" i="6"/>
  <c r="L49" i="6" s="1"/>
  <c r="F49" i="6"/>
  <c r="G49" i="6" s="1"/>
  <c r="Z48" i="6"/>
  <c r="AA48" i="6" s="1"/>
  <c r="U48" i="6"/>
  <c r="V48" i="6" s="1"/>
  <c r="P48" i="6"/>
  <c r="Q48" i="6" s="1"/>
  <c r="L48" i="6"/>
  <c r="K48" i="6"/>
  <c r="F48" i="6"/>
  <c r="G48" i="6" s="1"/>
  <c r="Z47" i="6"/>
  <c r="AA47" i="6" s="1"/>
  <c r="U47" i="6"/>
  <c r="V47" i="6" s="1"/>
  <c r="P47" i="6"/>
  <c r="Q47" i="6" s="1"/>
  <c r="K47" i="6"/>
  <c r="L47" i="6" s="1"/>
  <c r="F47" i="6"/>
  <c r="G47" i="6" s="1"/>
  <c r="Z46" i="6"/>
  <c r="AA46" i="6" s="1"/>
  <c r="V46" i="6"/>
  <c r="U46" i="6"/>
  <c r="P46" i="6"/>
  <c r="Q46" i="6" s="1"/>
  <c r="K46" i="6"/>
  <c r="L46" i="6" s="1"/>
  <c r="F46" i="6"/>
  <c r="G46" i="6" s="1"/>
  <c r="Z45" i="6"/>
  <c r="AA45" i="6" s="1"/>
  <c r="U45" i="6"/>
  <c r="V45" i="6" s="1"/>
  <c r="P45" i="6"/>
  <c r="Q45" i="6" s="1"/>
  <c r="K45" i="6"/>
  <c r="L45" i="6" s="1"/>
  <c r="G45" i="6"/>
  <c r="F45" i="6"/>
  <c r="Z44" i="6"/>
  <c r="AA44" i="6" s="1"/>
  <c r="U44" i="6"/>
  <c r="V44" i="6" s="1"/>
  <c r="P44" i="6"/>
  <c r="Q44" i="6" s="1"/>
  <c r="K44" i="6"/>
  <c r="L44" i="6" s="1"/>
  <c r="F44" i="6"/>
  <c r="G44" i="6" s="1"/>
  <c r="Z43" i="6"/>
  <c r="AA43" i="6" s="1"/>
  <c r="U43" i="6"/>
  <c r="V43" i="6" s="1"/>
  <c r="Q43" i="6"/>
  <c r="P43" i="6"/>
  <c r="K43" i="6"/>
  <c r="L43" i="6" s="1"/>
  <c r="F43" i="6"/>
  <c r="G43" i="6" s="1"/>
  <c r="Z42" i="6"/>
  <c r="AA42" i="6" s="1"/>
  <c r="U42" i="6"/>
  <c r="V42" i="6" s="1"/>
  <c r="P42" i="6"/>
  <c r="Q42" i="6" s="1"/>
  <c r="K42" i="6"/>
  <c r="L42" i="6" s="1"/>
  <c r="F42" i="6"/>
  <c r="G42" i="6" s="1"/>
  <c r="AA41" i="6"/>
  <c r="Z41" i="6"/>
  <c r="U41" i="6"/>
  <c r="V41" i="6" s="1"/>
  <c r="P41" i="6"/>
  <c r="Q41" i="6" s="1"/>
  <c r="K41" i="6"/>
  <c r="L41" i="6" s="1"/>
  <c r="F41" i="6"/>
  <c r="G41" i="6" s="1"/>
  <c r="Z40" i="6"/>
  <c r="AA40" i="6" s="1"/>
  <c r="U40" i="6"/>
  <c r="V40" i="6" s="1"/>
  <c r="P40" i="6"/>
  <c r="Q40" i="6" s="1"/>
  <c r="K40" i="6"/>
  <c r="L40" i="6" s="1"/>
  <c r="F40" i="6"/>
  <c r="G40" i="6" s="1"/>
  <c r="Z39" i="6"/>
  <c r="AA39" i="6" s="1"/>
  <c r="U39" i="6"/>
  <c r="V39" i="6" s="1"/>
  <c r="P39" i="6"/>
  <c r="Q39" i="6" s="1"/>
  <c r="K39" i="6"/>
  <c r="L39" i="6" s="1"/>
  <c r="F39" i="6"/>
  <c r="G39" i="6" s="1"/>
  <c r="Z38" i="6"/>
  <c r="AA38" i="6" s="1"/>
  <c r="U38" i="6"/>
  <c r="V38" i="6" s="1"/>
  <c r="P38" i="6"/>
  <c r="Q38" i="6" s="1"/>
  <c r="K38" i="6"/>
  <c r="L38" i="6" s="1"/>
  <c r="F38" i="6"/>
  <c r="G38" i="6" s="1"/>
  <c r="Z37" i="6"/>
  <c r="AA37" i="6" s="1"/>
  <c r="U37" i="6"/>
  <c r="V37" i="6" s="1"/>
  <c r="P37" i="6"/>
  <c r="Q37" i="6" s="1"/>
  <c r="K37" i="6"/>
  <c r="L37" i="6" s="1"/>
  <c r="F37" i="6"/>
  <c r="G37" i="6" s="1"/>
  <c r="Z36" i="6"/>
  <c r="AA36" i="6" s="1"/>
  <c r="U36" i="6"/>
  <c r="V36" i="6" s="1"/>
  <c r="P36" i="6"/>
  <c r="Q36" i="6" s="1"/>
  <c r="K36" i="6"/>
  <c r="L36" i="6" s="1"/>
  <c r="F36" i="6"/>
  <c r="G36" i="6" s="1"/>
  <c r="Z35" i="6"/>
  <c r="AA35" i="6" s="1"/>
  <c r="U35" i="6"/>
  <c r="V35" i="6" s="1"/>
  <c r="P35" i="6"/>
  <c r="Q35" i="6" s="1"/>
  <c r="K35" i="6"/>
  <c r="L35" i="6" s="1"/>
  <c r="F35" i="6"/>
  <c r="G35" i="6" s="1"/>
  <c r="Z34" i="6"/>
  <c r="AA34" i="6" s="1"/>
  <c r="U34" i="6"/>
  <c r="V34" i="6" s="1"/>
  <c r="P34" i="6"/>
  <c r="Q34" i="6" s="1"/>
  <c r="K34" i="6"/>
  <c r="L34" i="6" s="1"/>
  <c r="F34" i="6"/>
  <c r="G34" i="6" s="1"/>
  <c r="Z33" i="6"/>
  <c r="AA33" i="6" s="1"/>
  <c r="U33" i="6"/>
  <c r="V33" i="6" s="1"/>
  <c r="P33" i="6"/>
  <c r="Q33" i="6" s="1"/>
  <c r="K33" i="6"/>
  <c r="L33" i="6" s="1"/>
  <c r="F33" i="6"/>
  <c r="G33" i="6" s="1"/>
  <c r="Z32" i="6"/>
  <c r="AA32" i="6" s="1"/>
  <c r="U32" i="6"/>
  <c r="V32" i="6" s="1"/>
  <c r="P32" i="6"/>
  <c r="Q32" i="6" s="1"/>
  <c r="K32" i="6"/>
  <c r="L32" i="6" s="1"/>
  <c r="F32" i="6"/>
  <c r="G32" i="6" s="1"/>
  <c r="Z31" i="6"/>
  <c r="AA31" i="6" s="1"/>
  <c r="U31" i="6"/>
  <c r="V31" i="6" s="1"/>
  <c r="P31" i="6"/>
  <c r="Q31" i="6" s="1"/>
  <c r="K31" i="6"/>
  <c r="L31" i="6" s="1"/>
  <c r="F31" i="6"/>
  <c r="G31" i="6" s="1"/>
  <c r="Z30" i="6"/>
  <c r="AA30" i="6" s="1"/>
  <c r="U30" i="6"/>
  <c r="V30" i="6" s="1"/>
  <c r="P30" i="6"/>
  <c r="Q30" i="6" s="1"/>
  <c r="K30" i="6"/>
  <c r="L30" i="6" s="1"/>
  <c r="F30" i="6"/>
  <c r="G30" i="6" s="1"/>
  <c r="Z29" i="6"/>
  <c r="AA29" i="6" s="1"/>
  <c r="U29" i="6"/>
  <c r="V29" i="6" s="1"/>
  <c r="P29" i="6"/>
  <c r="Q29" i="6" s="1"/>
  <c r="K29" i="6"/>
  <c r="L29" i="6" s="1"/>
  <c r="F29" i="6"/>
  <c r="G29" i="6" s="1"/>
  <c r="Z28" i="6"/>
  <c r="AA28" i="6" s="1"/>
  <c r="U28" i="6"/>
  <c r="V28" i="6" s="1"/>
  <c r="P28" i="6"/>
  <c r="Q28" i="6" s="1"/>
  <c r="K28" i="6"/>
  <c r="L28" i="6" s="1"/>
  <c r="F28" i="6"/>
  <c r="G28" i="6" s="1"/>
  <c r="Z27" i="6"/>
  <c r="AA27" i="6" s="1"/>
  <c r="U27" i="6"/>
  <c r="V27" i="6" s="1"/>
  <c r="P27" i="6"/>
  <c r="Q27" i="6" s="1"/>
  <c r="K27" i="6"/>
  <c r="L27" i="6" s="1"/>
  <c r="F27" i="6"/>
  <c r="G27" i="6" s="1"/>
  <c r="Z26" i="6"/>
  <c r="AA26" i="6" s="1"/>
  <c r="U26" i="6"/>
  <c r="V26" i="6" s="1"/>
  <c r="P26" i="6"/>
  <c r="Q26" i="6" s="1"/>
  <c r="K26" i="6"/>
  <c r="L26" i="6" s="1"/>
  <c r="F26" i="6"/>
  <c r="G26" i="6" s="1"/>
  <c r="Z25" i="6"/>
  <c r="AA25" i="6" s="1"/>
  <c r="U25" i="6"/>
  <c r="V25" i="6" s="1"/>
  <c r="P25" i="6"/>
  <c r="Q25" i="6" s="1"/>
  <c r="K25" i="6"/>
  <c r="L25" i="6" s="1"/>
  <c r="F25" i="6"/>
  <c r="G25" i="6" s="1"/>
  <c r="Z24" i="6"/>
  <c r="AA24" i="6" s="1"/>
  <c r="U24" i="6"/>
  <c r="V24" i="6" s="1"/>
  <c r="P24" i="6"/>
  <c r="Q24" i="6" s="1"/>
  <c r="K24" i="6"/>
  <c r="L24" i="6" s="1"/>
  <c r="F24" i="6"/>
  <c r="G24" i="6" s="1"/>
  <c r="Z23" i="6"/>
  <c r="AA23" i="6" s="1"/>
  <c r="U23" i="6"/>
  <c r="V23" i="6" s="1"/>
  <c r="P23" i="6"/>
  <c r="Q23" i="6" s="1"/>
  <c r="K23" i="6"/>
  <c r="L23" i="6" s="1"/>
  <c r="F23" i="6"/>
  <c r="G23" i="6" s="1"/>
  <c r="Z22" i="6"/>
  <c r="AA22" i="6" s="1"/>
  <c r="U22" i="6"/>
  <c r="V22" i="6" s="1"/>
  <c r="P22" i="6"/>
  <c r="Q22" i="6" s="1"/>
  <c r="K22" i="6"/>
  <c r="L22" i="6" s="1"/>
  <c r="F22" i="6"/>
  <c r="G22" i="6" s="1"/>
  <c r="Z21" i="6"/>
  <c r="AA21" i="6" s="1"/>
  <c r="U21" i="6"/>
  <c r="V21" i="6" s="1"/>
  <c r="P21" i="6"/>
  <c r="Q21" i="6" s="1"/>
  <c r="K21" i="6"/>
  <c r="L21" i="6" s="1"/>
  <c r="F21" i="6"/>
  <c r="G21" i="6" s="1"/>
  <c r="Z20" i="6"/>
  <c r="AA20" i="6" s="1"/>
  <c r="U20" i="6"/>
  <c r="V20" i="6" s="1"/>
  <c r="P20" i="6"/>
  <c r="Q20" i="6" s="1"/>
  <c r="K20" i="6"/>
  <c r="L20" i="6" s="1"/>
  <c r="F20" i="6"/>
  <c r="G20" i="6" s="1"/>
  <c r="Z19" i="6"/>
  <c r="AA19" i="6" s="1"/>
  <c r="U19" i="6"/>
  <c r="V19" i="6" s="1"/>
  <c r="P19" i="6"/>
  <c r="Q19" i="6" s="1"/>
  <c r="K19" i="6"/>
  <c r="L19" i="6" s="1"/>
  <c r="F19" i="6"/>
  <c r="G19" i="6" s="1"/>
  <c r="Z18" i="6"/>
  <c r="AA18" i="6" s="1"/>
  <c r="U18" i="6"/>
  <c r="V18" i="6" s="1"/>
  <c r="P18" i="6"/>
  <c r="Q18" i="6" s="1"/>
  <c r="K18" i="6"/>
  <c r="L18" i="6" s="1"/>
  <c r="F18" i="6"/>
  <c r="G18" i="6" s="1"/>
  <c r="Z17" i="6"/>
  <c r="AA17" i="6" s="1"/>
  <c r="U17" i="6"/>
  <c r="V17" i="6" s="1"/>
  <c r="P17" i="6"/>
  <c r="Q17" i="6" s="1"/>
  <c r="K17" i="6"/>
  <c r="L17" i="6" s="1"/>
  <c r="F17" i="6"/>
  <c r="G17" i="6" s="1"/>
  <c r="Z16" i="6"/>
  <c r="AA16" i="6" s="1"/>
  <c r="U16" i="6"/>
  <c r="V16" i="6" s="1"/>
  <c r="P16" i="6"/>
  <c r="Q16" i="6" s="1"/>
  <c r="K16" i="6"/>
  <c r="L16" i="6" s="1"/>
  <c r="F16" i="6"/>
  <c r="G16" i="6" s="1"/>
  <c r="Z15" i="6"/>
  <c r="AA15" i="6" s="1"/>
  <c r="U15" i="6"/>
  <c r="V15" i="6" s="1"/>
  <c r="P15" i="6"/>
  <c r="Q15" i="6" s="1"/>
  <c r="K15" i="6"/>
  <c r="L15" i="6" s="1"/>
  <c r="F15" i="6"/>
  <c r="G15" i="6" s="1"/>
  <c r="Z14" i="6"/>
  <c r="AA14" i="6" s="1"/>
  <c r="U14" i="6"/>
  <c r="V14" i="6" s="1"/>
  <c r="P14" i="6"/>
  <c r="Q14" i="6" s="1"/>
  <c r="K14" i="6"/>
  <c r="L14" i="6" s="1"/>
  <c r="F14" i="6"/>
  <c r="G14" i="6" s="1"/>
  <c r="Z13" i="6"/>
  <c r="AA13" i="6" s="1"/>
  <c r="U13" i="6"/>
  <c r="V13" i="6" s="1"/>
  <c r="P13" i="6"/>
  <c r="Q13" i="6" s="1"/>
  <c r="K13" i="6"/>
  <c r="L13" i="6" s="1"/>
  <c r="F13" i="6"/>
  <c r="G13" i="6" s="1"/>
  <c r="Z12" i="6"/>
  <c r="AA12" i="6" s="1"/>
  <c r="U12" i="6"/>
  <c r="V12" i="6" s="1"/>
  <c r="P12" i="6"/>
  <c r="Q12" i="6" s="1"/>
  <c r="K12" i="6"/>
  <c r="L12" i="6" s="1"/>
  <c r="F12" i="6"/>
  <c r="G12" i="6" s="1"/>
  <c r="Z11" i="6"/>
  <c r="AA11" i="6" s="1"/>
  <c r="U11" i="6"/>
  <c r="V11" i="6" s="1"/>
  <c r="P11" i="6"/>
  <c r="Q11" i="6" s="1"/>
  <c r="K11" i="6"/>
  <c r="L11" i="6" s="1"/>
  <c r="F11" i="6"/>
  <c r="G11" i="6" s="1"/>
  <c r="Z10" i="6"/>
  <c r="AA10" i="6" s="1"/>
  <c r="U10" i="6"/>
  <c r="V10" i="6" s="1"/>
  <c r="P10" i="6"/>
  <c r="Q10" i="6" s="1"/>
  <c r="K10" i="6"/>
  <c r="L10" i="6" s="1"/>
  <c r="F10" i="6"/>
  <c r="G10" i="6" s="1"/>
  <c r="Z9" i="6"/>
  <c r="AA9" i="6" s="1"/>
  <c r="U9" i="6"/>
  <c r="V9" i="6" s="1"/>
  <c r="P9" i="6"/>
  <c r="Q9" i="6" s="1"/>
  <c r="K9" i="6"/>
  <c r="L9" i="6" s="1"/>
  <c r="F9" i="6"/>
  <c r="G9" i="6" s="1"/>
  <c r="Z8" i="6"/>
  <c r="AA8" i="6" s="1"/>
  <c r="U8" i="6"/>
  <c r="V8" i="6" s="1"/>
  <c r="P8" i="6"/>
  <c r="Q8" i="6" s="1"/>
  <c r="K8" i="6"/>
  <c r="L8" i="6" s="1"/>
  <c r="F8" i="6"/>
  <c r="G8" i="6" s="1"/>
  <c r="Z7" i="6"/>
  <c r="AA7" i="6" s="1"/>
  <c r="U7" i="6"/>
  <c r="V7" i="6" s="1"/>
  <c r="P7" i="6"/>
  <c r="Q7" i="6" s="1"/>
  <c r="K7" i="6"/>
  <c r="L7" i="6" s="1"/>
  <c r="F7" i="6"/>
  <c r="G7" i="6" s="1"/>
  <c r="Z6" i="6"/>
  <c r="AA6" i="6" s="1"/>
  <c r="U6" i="6"/>
  <c r="V6" i="6" s="1"/>
  <c r="P6" i="6"/>
  <c r="Q6" i="6" s="1"/>
  <c r="K6" i="6"/>
  <c r="L6" i="6" s="1"/>
  <c r="F6" i="6"/>
  <c r="G6" i="6" s="1"/>
  <c r="Z5" i="6"/>
  <c r="AA5" i="6" s="1"/>
  <c r="U5" i="6"/>
  <c r="V5" i="6" s="1"/>
  <c r="P5" i="6"/>
  <c r="Q5" i="6" s="1"/>
  <c r="K5" i="6"/>
  <c r="L5" i="6" s="1"/>
  <c r="F5" i="6"/>
  <c r="G5" i="6" s="1"/>
  <c r="Z4" i="6"/>
  <c r="AA4" i="6" s="1"/>
  <c r="U4" i="6"/>
  <c r="V4" i="6" s="1"/>
  <c r="P4" i="6"/>
  <c r="Q4" i="6" s="1"/>
  <c r="K4" i="6"/>
  <c r="L4" i="6" s="1"/>
  <c r="F4" i="6"/>
  <c r="G4" i="6" s="1"/>
  <c r="Z3" i="6"/>
  <c r="U3" i="6"/>
  <c r="V3" i="6" s="1"/>
  <c r="P3" i="6"/>
  <c r="K3" i="6"/>
  <c r="F3" i="6"/>
  <c r="Z114" i="5"/>
  <c r="AA114" i="5" s="1"/>
  <c r="U114" i="5"/>
  <c r="V114" i="5" s="1"/>
  <c r="P114" i="5"/>
  <c r="Q114" i="5" s="1"/>
  <c r="K114" i="5"/>
  <c r="L114" i="5" s="1"/>
  <c r="F114" i="5"/>
  <c r="G114" i="5" s="1"/>
  <c r="AA113" i="5"/>
  <c r="Z113" i="5"/>
  <c r="U113" i="5"/>
  <c r="V113" i="5" s="1"/>
  <c r="Q113" i="5"/>
  <c r="P113" i="5"/>
  <c r="K113" i="5"/>
  <c r="L113" i="5" s="1"/>
  <c r="G113" i="5"/>
  <c r="F113" i="5"/>
  <c r="AA112" i="5"/>
  <c r="Z112" i="5"/>
  <c r="U112" i="5"/>
  <c r="V112" i="5" s="1"/>
  <c r="Q112" i="5"/>
  <c r="P112" i="5"/>
  <c r="K112" i="5"/>
  <c r="L112" i="5" s="1"/>
  <c r="G112" i="5"/>
  <c r="F112" i="5"/>
  <c r="Z111" i="5"/>
  <c r="AA111" i="5" s="1"/>
  <c r="U111" i="5"/>
  <c r="V111" i="5" s="1"/>
  <c r="P111" i="5"/>
  <c r="Q111" i="5" s="1"/>
  <c r="K111" i="5"/>
  <c r="L111" i="5" s="1"/>
  <c r="F111" i="5"/>
  <c r="G111" i="5" s="1"/>
  <c r="AA110" i="5"/>
  <c r="Z110" i="5"/>
  <c r="U110" i="5"/>
  <c r="V110" i="5" s="1"/>
  <c r="Q110" i="5"/>
  <c r="P110" i="5"/>
  <c r="K110" i="5"/>
  <c r="L110" i="5" s="1"/>
  <c r="G110" i="5"/>
  <c r="F110" i="5"/>
  <c r="Z109" i="5"/>
  <c r="AA109" i="5" s="1"/>
  <c r="U109" i="5"/>
  <c r="V109" i="5" s="1"/>
  <c r="P109" i="5"/>
  <c r="Q109" i="5" s="1"/>
  <c r="K109" i="5"/>
  <c r="L109" i="5" s="1"/>
  <c r="G109" i="5"/>
  <c r="F109" i="5"/>
  <c r="Z108" i="5"/>
  <c r="AA108" i="5" s="1"/>
  <c r="V108" i="5"/>
  <c r="U108" i="5"/>
  <c r="P108" i="5"/>
  <c r="Q108" i="5" s="1"/>
  <c r="L108" i="5"/>
  <c r="K108" i="5"/>
  <c r="F108" i="5"/>
  <c r="G108" i="5" s="1"/>
  <c r="Z107" i="5"/>
  <c r="AA107" i="5" s="1"/>
  <c r="V107" i="5"/>
  <c r="U107" i="5"/>
  <c r="P107" i="5"/>
  <c r="Q107" i="5" s="1"/>
  <c r="L107" i="5"/>
  <c r="K107" i="5"/>
  <c r="F107" i="5"/>
  <c r="G107" i="5" s="1"/>
  <c r="AA106" i="5"/>
  <c r="Z106" i="5"/>
  <c r="U106" i="5"/>
  <c r="V106" i="5" s="1"/>
  <c r="Q106" i="5"/>
  <c r="P106" i="5"/>
  <c r="K106" i="5"/>
  <c r="L106" i="5" s="1"/>
  <c r="G106" i="5"/>
  <c r="F106" i="5"/>
  <c r="AA105" i="5"/>
  <c r="Z105" i="5"/>
  <c r="U105" i="5"/>
  <c r="V105" i="5" s="1"/>
  <c r="Q105" i="5"/>
  <c r="P105" i="5"/>
  <c r="K105" i="5"/>
  <c r="L105" i="5" s="1"/>
  <c r="F105" i="5"/>
  <c r="G105" i="5" s="1"/>
  <c r="Z104" i="5"/>
  <c r="AA104" i="5" s="1"/>
  <c r="V104" i="5"/>
  <c r="U104" i="5"/>
  <c r="P104" i="5"/>
  <c r="Q104" i="5" s="1"/>
  <c r="L104" i="5"/>
  <c r="K104" i="5"/>
  <c r="F104" i="5"/>
  <c r="G104" i="5" s="1"/>
  <c r="AA103" i="5"/>
  <c r="Z103" i="5"/>
  <c r="V103" i="5"/>
  <c r="U103" i="5"/>
  <c r="Q103" i="5"/>
  <c r="P103" i="5"/>
  <c r="L103" i="5"/>
  <c r="K103" i="5"/>
  <c r="G103" i="5"/>
  <c r="F103" i="5"/>
  <c r="AA102" i="5"/>
  <c r="Z102" i="5"/>
  <c r="U102" i="5"/>
  <c r="V102" i="5" s="1"/>
  <c r="Q102" i="5"/>
  <c r="P102" i="5"/>
  <c r="K102" i="5"/>
  <c r="L102" i="5" s="1"/>
  <c r="G102" i="5"/>
  <c r="F102" i="5"/>
  <c r="Z101" i="5"/>
  <c r="AA101" i="5" s="1"/>
  <c r="V101" i="5"/>
  <c r="U101" i="5"/>
  <c r="P101" i="5"/>
  <c r="Q101" i="5" s="1"/>
  <c r="L101" i="5"/>
  <c r="K101" i="5"/>
  <c r="F101" i="5"/>
  <c r="G101" i="5" s="1"/>
  <c r="Z100" i="5"/>
  <c r="AA100" i="5" s="1"/>
  <c r="V100" i="5"/>
  <c r="U100" i="5"/>
  <c r="P100" i="5"/>
  <c r="Q100" i="5" s="1"/>
  <c r="L100" i="5"/>
  <c r="K100" i="5"/>
  <c r="F100" i="5"/>
  <c r="G100" i="5" s="1"/>
  <c r="AA99" i="5"/>
  <c r="Z99" i="5"/>
  <c r="U99" i="5"/>
  <c r="V99" i="5" s="1"/>
  <c r="Q99" i="5"/>
  <c r="P99" i="5"/>
  <c r="K99" i="5"/>
  <c r="L99" i="5" s="1"/>
  <c r="G99" i="5"/>
  <c r="F99" i="5"/>
  <c r="AA98" i="5"/>
  <c r="Z98" i="5"/>
  <c r="U98" i="5"/>
  <c r="V98" i="5" s="1"/>
  <c r="Q98" i="5"/>
  <c r="P98" i="5"/>
  <c r="K98" i="5"/>
  <c r="L98" i="5" s="1"/>
  <c r="G98" i="5"/>
  <c r="F98" i="5"/>
  <c r="AA97" i="5"/>
  <c r="Z97" i="5"/>
  <c r="V97" i="5"/>
  <c r="U97" i="5"/>
  <c r="Q97" i="5"/>
  <c r="P97" i="5"/>
  <c r="L97" i="5"/>
  <c r="K97" i="5"/>
  <c r="G97" i="5"/>
  <c r="F97" i="5"/>
  <c r="Z96" i="5"/>
  <c r="AA96" i="5" s="1"/>
  <c r="V96" i="5"/>
  <c r="U96" i="5"/>
  <c r="P96" i="5"/>
  <c r="Q96" i="5" s="1"/>
  <c r="L96" i="5"/>
  <c r="K96" i="5"/>
  <c r="F96" i="5"/>
  <c r="G96" i="5" s="1"/>
  <c r="AA95" i="5"/>
  <c r="Z95" i="5"/>
  <c r="U95" i="5"/>
  <c r="V95" i="5" s="1"/>
  <c r="Q95" i="5"/>
  <c r="P95" i="5"/>
  <c r="K95" i="5"/>
  <c r="L95" i="5" s="1"/>
  <c r="G95" i="5"/>
  <c r="F95" i="5"/>
  <c r="AA94" i="5"/>
  <c r="Z94" i="5"/>
  <c r="U94" i="5"/>
  <c r="V94" i="5" s="1"/>
  <c r="Q94" i="5"/>
  <c r="P94" i="5"/>
  <c r="K94" i="5"/>
  <c r="L94" i="5" s="1"/>
  <c r="G94" i="5"/>
  <c r="F94" i="5"/>
  <c r="AA93" i="5"/>
  <c r="Z93" i="5"/>
  <c r="V93" i="5"/>
  <c r="U93" i="5"/>
  <c r="Q93" i="5"/>
  <c r="P93" i="5"/>
  <c r="L93" i="5"/>
  <c r="K93" i="5"/>
  <c r="G93" i="5"/>
  <c r="F93" i="5"/>
  <c r="Z92" i="5"/>
  <c r="AA92" i="5" s="1"/>
  <c r="V92" i="5"/>
  <c r="U92" i="5"/>
  <c r="P92" i="5"/>
  <c r="Q92" i="5" s="1"/>
  <c r="L92" i="5"/>
  <c r="K92" i="5"/>
  <c r="F92" i="5"/>
  <c r="G92" i="5" s="1"/>
  <c r="AA91" i="5"/>
  <c r="Z91" i="5"/>
  <c r="V91" i="5"/>
  <c r="U91" i="5"/>
  <c r="Q91" i="5"/>
  <c r="P91" i="5"/>
  <c r="L91" i="5"/>
  <c r="K91" i="5"/>
  <c r="G91" i="5"/>
  <c r="F91" i="5"/>
  <c r="AA90" i="5"/>
  <c r="Z90" i="5"/>
  <c r="U90" i="5"/>
  <c r="V90" i="5" s="1"/>
  <c r="Q90" i="5"/>
  <c r="P90" i="5"/>
  <c r="K90" i="5"/>
  <c r="L90" i="5" s="1"/>
  <c r="G90" i="5"/>
  <c r="F90" i="5"/>
  <c r="Z89" i="5"/>
  <c r="AA89" i="5" s="1"/>
  <c r="V89" i="5"/>
  <c r="U89" i="5"/>
  <c r="P89" i="5"/>
  <c r="Q89" i="5" s="1"/>
  <c r="L89" i="5"/>
  <c r="K89" i="5"/>
  <c r="F89" i="5"/>
  <c r="G89" i="5" s="1"/>
  <c r="Z88" i="5"/>
  <c r="AA88" i="5" s="1"/>
  <c r="V88" i="5"/>
  <c r="U88" i="5"/>
  <c r="P88" i="5"/>
  <c r="Q88" i="5" s="1"/>
  <c r="L88" i="5"/>
  <c r="K88" i="5"/>
  <c r="F88" i="5"/>
  <c r="G88" i="5" s="1"/>
  <c r="AA87" i="5"/>
  <c r="Z87" i="5"/>
  <c r="V87" i="5"/>
  <c r="U87" i="5"/>
  <c r="Q87" i="5"/>
  <c r="P87" i="5"/>
  <c r="L87" i="5"/>
  <c r="K87" i="5"/>
  <c r="G87" i="5"/>
  <c r="F87" i="5"/>
  <c r="AA86" i="5"/>
  <c r="Z86" i="5"/>
  <c r="U86" i="5"/>
  <c r="V86" i="5" s="1"/>
  <c r="Q86" i="5"/>
  <c r="P86" i="5"/>
  <c r="K86" i="5"/>
  <c r="L86" i="5" s="1"/>
  <c r="G86" i="5"/>
  <c r="F86" i="5"/>
  <c r="Z85" i="5"/>
  <c r="AA85" i="5" s="1"/>
  <c r="V85" i="5"/>
  <c r="U85" i="5"/>
  <c r="P85" i="5"/>
  <c r="Q85" i="5" s="1"/>
  <c r="L85" i="5"/>
  <c r="K85" i="5"/>
  <c r="F85" i="5"/>
  <c r="G85" i="5" s="1"/>
  <c r="Z84" i="5"/>
  <c r="AA84" i="5" s="1"/>
  <c r="V84" i="5"/>
  <c r="U84" i="5"/>
  <c r="P84" i="5"/>
  <c r="Q84" i="5" s="1"/>
  <c r="L84" i="5"/>
  <c r="K84" i="5"/>
  <c r="F84" i="5"/>
  <c r="G84" i="5" s="1"/>
  <c r="AA83" i="5"/>
  <c r="Z83" i="5"/>
  <c r="U83" i="5"/>
  <c r="V83" i="5" s="1"/>
  <c r="Q83" i="5"/>
  <c r="P83" i="5"/>
  <c r="K83" i="5"/>
  <c r="L83" i="5" s="1"/>
  <c r="G83" i="5"/>
  <c r="F83" i="5"/>
  <c r="AA82" i="5"/>
  <c r="Z82" i="5"/>
  <c r="U82" i="5"/>
  <c r="V82" i="5" s="1"/>
  <c r="Q82" i="5"/>
  <c r="P82" i="5"/>
  <c r="K82" i="5"/>
  <c r="L82" i="5" s="1"/>
  <c r="G82" i="5"/>
  <c r="F82" i="5"/>
  <c r="AA81" i="5"/>
  <c r="Z81" i="5"/>
  <c r="V81" i="5"/>
  <c r="U81" i="5"/>
  <c r="Q81" i="5"/>
  <c r="P81" i="5"/>
  <c r="L81" i="5"/>
  <c r="K81" i="5"/>
  <c r="G81" i="5"/>
  <c r="F81" i="5"/>
  <c r="Z80" i="5"/>
  <c r="AA80" i="5" s="1"/>
  <c r="V80" i="5"/>
  <c r="U80" i="5"/>
  <c r="P80" i="5"/>
  <c r="Q80" i="5" s="1"/>
  <c r="L80" i="5"/>
  <c r="K80" i="5"/>
  <c r="F80" i="5"/>
  <c r="G80" i="5" s="1"/>
  <c r="AA79" i="5"/>
  <c r="Z79" i="5"/>
  <c r="U79" i="5"/>
  <c r="V79" i="5" s="1"/>
  <c r="Q79" i="5"/>
  <c r="P79" i="5"/>
  <c r="K79" i="5"/>
  <c r="L79" i="5" s="1"/>
  <c r="G79" i="5"/>
  <c r="F79" i="5"/>
  <c r="AA78" i="5"/>
  <c r="Z78" i="5"/>
  <c r="U78" i="5"/>
  <c r="V78" i="5" s="1"/>
  <c r="Q78" i="5"/>
  <c r="P78" i="5"/>
  <c r="K78" i="5"/>
  <c r="L78" i="5" s="1"/>
  <c r="G78" i="5"/>
  <c r="F78" i="5"/>
  <c r="AA77" i="5"/>
  <c r="Z77" i="5"/>
  <c r="V77" i="5"/>
  <c r="U77" i="5"/>
  <c r="Q77" i="5"/>
  <c r="P77" i="5"/>
  <c r="L77" i="5"/>
  <c r="K77" i="5"/>
  <c r="G77" i="5"/>
  <c r="F77" i="5"/>
  <c r="Z76" i="5"/>
  <c r="AA76" i="5" s="1"/>
  <c r="V76" i="5"/>
  <c r="U76" i="5"/>
  <c r="P76" i="5"/>
  <c r="Q76" i="5" s="1"/>
  <c r="L76" i="5"/>
  <c r="K76" i="5"/>
  <c r="F76" i="5"/>
  <c r="G76" i="5" s="1"/>
  <c r="AA75" i="5"/>
  <c r="Z75" i="5"/>
  <c r="U75" i="5"/>
  <c r="V75" i="5" s="1"/>
  <c r="Q75" i="5"/>
  <c r="P75" i="5"/>
  <c r="L75" i="5"/>
  <c r="K75" i="5"/>
  <c r="G75" i="5"/>
  <c r="F75" i="5"/>
  <c r="AA74" i="5"/>
  <c r="Z74" i="5"/>
  <c r="U74" i="5"/>
  <c r="V74" i="5" s="1"/>
  <c r="Q74" i="5"/>
  <c r="P74" i="5"/>
  <c r="K74" i="5"/>
  <c r="L74" i="5" s="1"/>
  <c r="G74" i="5"/>
  <c r="F74" i="5"/>
  <c r="Z73" i="5"/>
  <c r="AA73" i="5" s="1"/>
  <c r="V73" i="5"/>
  <c r="U73" i="5"/>
  <c r="P73" i="5"/>
  <c r="Q73" i="5" s="1"/>
  <c r="L73" i="5"/>
  <c r="K73" i="5"/>
  <c r="F73" i="5"/>
  <c r="G73" i="5" s="1"/>
  <c r="Z72" i="5"/>
  <c r="AA72" i="5" s="1"/>
  <c r="V72" i="5"/>
  <c r="U72" i="5"/>
  <c r="P72" i="5"/>
  <c r="Q72" i="5" s="1"/>
  <c r="L72" i="5"/>
  <c r="K72" i="5"/>
  <c r="F72" i="5"/>
  <c r="G72" i="5" s="1"/>
  <c r="AA71" i="5"/>
  <c r="Z71" i="5"/>
  <c r="V71" i="5"/>
  <c r="U71" i="5"/>
  <c r="Q71" i="5"/>
  <c r="P71" i="5"/>
  <c r="L71" i="5"/>
  <c r="K71" i="5"/>
  <c r="G71" i="5"/>
  <c r="F71" i="5"/>
  <c r="AA70" i="5"/>
  <c r="Z70" i="5"/>
  <c r="U70" i="5"/>
  <c r="V70" i="5" s="1"/>
  <c r="Q70" i="5"/>
  <c r="P70" i="5"/>
  <c r="K70" i="5"/>
  <c r="L70" i="5" s="1"/>
  <c r="G70" i="5"/>
  <c r="F70" i="5"/>
  <c r="Z69" i="5"/>
  <c r="AA69" i="5" s="1"/>
  <c r="V69" i="5"/>
  <c r="U69" i="5"/>
  <c r="P69" i="5"/>
  <c r="Q69" i="5" s="1"/>
  <c r="L69" i="5"/>
  <c r="K69" i="5"/>
  <c r="F69" i="5"/>
  <c r="G69" i="5" s="1"/>
  <c r="Z68" i="5"/>
  <c r="AA68" i="5" s="1"/>
  <c r="V68" i="5"/>
  <c r="U68" i="5"/>
  <c r="P68" i="5"/>
  <c r="Q68" i="5" s="1"/>
  <c r="L68" i="5"/>
  <c r="K68" i="5"/>
  <c r="F68" i="5"/>
  <c r="G68" i="5" s="1"/>
  <c r="AA67" i="5"/>
  <c r="Z67" i="5"/>
  <c r="U67" i="5"/>
  <c r="V67" i="5" s="1"/>
  <c r="Q67" i="5"/>
  <c r="P67" i="5"/>
  <c r="K67" i="5"/>
  <c r="L67" i="5" s="1"/>
  <c r="G67" i="5"/>
  <c r="F67" i="5"/>
  <c r="AA66" i="5"/>
  <c r="Z66" i="5"/>
  <c r="U66" i="5"/>
  <c r="V66" i="5" s="1"/>
  <c r="Q66" i="5"/>
  <c r="P66" i="5"/>
  <c r="K66" i="5"/>
  <c r="L66" i="5" s="1"/>
  <c r="G66" i="5"/>
  <c r="F66" i="5"/>
  <c r="AA65" i="5"/>
  <c r="Z65" i="5"/>
  <c r="V65" i="5"/>
  <c r="U65" i="5"/>
  <c r="Q65" i="5"/>
  <c r="P65" i="5"/>
  <c r="L65" i="5"/>
  <c r="K65" i="5"/>
  <c r="G65" i="5"/>
  <c r="F65" i="5"/>
  <c r="Z64" i="5"/>
  <c r="AA64" i="5" s="1"/>
  <c r="V64" i="5"/>
  <c r="U64" i="5"/>
  <c r="P64" i="5"/>
  <c r="Q64" i="5" s="1"/>
  <c r="L64" i="5"/>
  <c r="K64" i="5"/>
  <c r="F64" i="5"/>
  <c r="G64" i="5" s="1"/>
  <c r="AA63" i="5"/>
  <c r="Z63" i="5"/>
  <c r="U63" i="5"/>
  <c r="V63" i="5" s="1"/>
  <c r="Q63" i="5"/>
  <c r="P63" i="5"/>
  <c r="K63" i="5"/>
  <c r="L63" i="5" s="1"/>
  <c r="G63" i="5"/>
  <c r="F63" i="5"/>
  <c r="AA62" i="5"/>
  <c r="Z62" i="5"/>
  <c r="U62" i="5"/>
  <c r="V62" i="5" s="1"/>
  <c r="Q62" i="5"/>
  <c r="P62" i="5"/>
  <c r="K62" i="5"/>
  <c r="L62" i="5" s="1"/>
  <c r="G62" i="5"/>
  <c r="F62" i="5"/>
  <c r="AA61" i="5"/>
  <c r="Z61" i="5"/>
  <c r="V61" i="5"/>
  <c r="U61" i="5"/>
  <c r="Q61" i="5"/>
  <c r="P61" i="5"/>
  <c r="L61" i="5"/>
  <c r="K61" i="5"/>
  <c r="G61" i="5"/>
  <c r="F61" i="5"/>
  <c r="Z60" i="5"/>
  <c r="AA60" i="5" s="1"/>
  <c r="V60" i="5"/>
  <c r="U60" i="5"/>
  <c r="P60" i="5"/>
  <c r="Q60" i="5" s="1"/>
  <c r="L60" i="5"/>
  <c r="K60" i="5"/>
  <c r="F60" i="5"/>
  <c r="G60" i="5" s="1"/>
  <c r="AA59" i="5"/>
  <c r="Z59" i="5"/>
  <c r="U59" i="5"/>
  <c r="V59" i="5" s="1"/>
  <c r="Q59" i="5"/>
  <c r="P59" i="5"/>
  <c r="K59" i="5"/>
  <c r="L59" i="5" s="1"/>
  <c r="G59" i="5"/>
  <c r="F59" i="5"/>
  <c r="AA58" i="5"/>
  <c r="Z58" i="5"/>
  <c r="U58" i="5"/>
  <c r="V58" i="5" s="1"/>
  <c r="Q58" i="5"/>
  <c r="P58" i="5"/>
  <c r="K58" i="5"/>
  <c r="L58" i="5" s="1"/>
  <c r="G58" i="5"/>
  <c r="F58" i="5"/>
  <c r="Z57" i="5"/>
  <c r="AA57" i="5" s="1"/>
  <c r="V57" i="5"/>
  <c r="U57" i="5"/>
  <c r="P57" i="5"/>
  <c r="Q57" i="5" s="1"/>
  <c r="L57" i="5"/>
  <c r="K57" i="5"/>
  <c r="F57" i="5"/>
  <c r="G57" i="5" s="1"/>
  <c r="Z56" i="5"/>
  <c r="AA56" i="5" s="1"/>
  <c r="V56" i="5"/>
  <c r="U56" i="5"/>
  <c r="P56" i="5"/>
  <c r="Q56" i="5" s="1"/>
  <c r="L56" i="5"/>
  <c r="K56" i="5"/>
  <c r="F56" i="5"/>
  <c r="G56" i="5" s="1"/>
  <c r="AA55" i="5"/>
  <c r="Z55" i="5"/>
  <c r="V55" i="5"/>
  <c r="U55" i="5"/>
  <c r="Q55" i="5"/>
  <c r="P55" i="5"/>
  <c r="L55" i="5"/>
  <c r="K55" i="5"/>
  <c r="G55" i="5"/>
  <c r="F55" i="5"/>
  <c r="AA54" i="5"/>
  <c r="Z54" i="5"/>
  <c r="U54" i="5"/>
  <c r="V54" i="5" s="1"/>
  <c r="Q54" i="5"/>
  <c r="P54" i="5"/>
  <c r="K54" i="5"/>
  <c r="L54" i="5" s="1"/>
  <c r="G54" i="5"/>
  <c r="F54" i="5"/>
  <c r="Z53" i="5"/>
  <c r="AA53" i="5" s="1"/>
  <c r="V53" i="5"/>
  <c r="U53" i="5"/>
  <c r="P53" i="5"/>
  <c r="Q53" i="5" s="1"/>
  <c r="L53" i="5"/>
  <c r="K53" i="5"/>
  <c r="F53" i="5"/>
  <c r="G53" i="5" s="1"/>
  <c r="Z52" i="5"/>
  <c r="AA52" i="5" s="1"/>
  <c r="V52" i="5"/>
  <c r="U52" i="5"/>
  <c r="P52" i="5"/>
  <c r="Q52" i="5" s="1"/>
  <c r="L52" i="5"/>
  <c r="K52" i="5"/>
  <c r="F52" i="5"/>
  <c r="G52" i="5" s="1"/>
  <c r="AA51" i="5"/>
  <c r="Z51" i="5"/>
  <c r="U51" i="5"/>
  <c r="V51" i="5" s="1"/>
  <c r="Q51" i="5"/>
  <c r="P51" i="5"/>
  <c r="K51" i="5"/>
  <c r="L51" i="5" s="1"/>
  <c r="G51" i="5"/>
  <c r="F51" i="5"/>
  <c r="AA50" i="5"/>
  <c r="Z50" i="5"/>
  <c r="U50" i="5"/>
  <c r="V50" i="5" s="1"/>
  <c r="Q50" i="5"/>
  <c r="P50" i="5"/>
  <c r="K50" i="5"/>
  <c r="L50" i="5" s="1"/>
  <c r="G50" i="5"/>
  <c r="F50" i="5"/>
  <c r="AA49" i="5"/>
  <c r="Z49" i="5"/>
  <c r="V49" i="5"/>
  <c r="U49" i="5"/>
  <c r="Q49" i="5"/>
  <c r="P49" i="5"/>
  <c r="L49" i="5"/>
  <c r="K49" i="5"/>
  <c r="G49" i="5"/>
  <c r="F49" i="5"/>
  <c r="Z48" i="5"/>
  <c r="AA48" i="5" s="1"/>
  <c r="V48" i="5"/>
  <c r="U48" i="5"/>
  <c r="P48" i="5"/>
  <c r="Q48" i="5" s="1"/>
  <c r="L48" i="5"/>
  <c r="K48" i="5"/>
  <c r="F48" i="5"/>
  <c r="G48" i="5" s="1"/>
  <c r="AA47" i="5"/>
  <c r="Z47" i="5"/>
  <c r="U47" i="5"/>
  <c r="V47" i="5" s="1"/>
  <c r="Q47" i="5"/>
  <c r="P47" i="5"/>
  <c r="K47" i="5"/>
  <c r="L47" i="5" s="1"/>
  <c r="G47" i="5"/>
  <c r="F47" i="5"/>
  <c r="AA46" i="5"/>
  <c r="Z46" i="5"/>
  <c r="U46" i="5"/>
  <c r="V46" i="5" s="1"/>
  <c r="Q46" i="5"/>
  <c r="P46" i="5"/>
  <c r="K46" i="5"/>
  <c r="L46" i="5" s="1"/>
  <c r="G46" i="5"/>
  <c r="F46" i="5"/>
  <c r="AA45" i="5"/>
  <c r="Z45" i="5"/>
  <c r="V45" i="5"/>
  <c r="U45" i="5"/>
  <c r="Q45" i="5"/>
  <c r="P45" i="5"/>
  <c r="L45" i="5"/>
  <c r="K45" i="5"/>
  <c r="G45" i="5"/>
  <c r="F45" i="5"/>
  <c r="Z44" i="5"/>
  <c r="AA44" i="5" s="1"/>
  <c r="V44" i="5"/>
  <c r="U44" i="5"/>
  <c r="P44" i="5"/>
  <c r="Q44" i="5" s="1"/>
  <c r="L44" i="5"/>
  <c r="K44" i="5"/>
  <c r="F44" i="5"/>
  <c r="G44" i="5" s="1"/>
  <c r="AA43" i="5"/>
  <c r="Z43" i="5"/>
  <c r="V43" i="5"/>
  <c r="U43" i="5"/>
  <c r="Q43" i="5"/>
  <c r="P43" i="5"/>
  <c r="K43" i="5"/>
  <c r="L43" i="5" s="1"/>
  <c r="G43" i="5"/>
  <c r="F43" i="5"/>
  <c r="AA42" i="5"/>
  <c r="Z42" i="5"/>
  <c r="U42" i="5"/>
  <c r="V42" i="5" s="1"/>
  <c r="Q42" i="5"/>
  <c r="P42" i="5"/>
  <c r="K42" i="5"/>
  <c r="L42" i="5" s="1"/>
  <c r="G42" i="5"/>
  <c r="F42" i="5"/>
  <c r="Z41" i="5"/>
  <c r="AA41" i="5" s="1"/>
  <c r="V41" i="5"/>
  <c r="U41" i="5"/>
  <c r="P41" i="5"/>
  <c r="Q41" i="5" s="1"/>
  <c r="L41" i="5"/>
  <c r="K41" i="5"/>
  <c r="F41" i="5"/>
  <c r="G41" i="5" s="1"/>
  <c r="Z40" i="5"/>
  <c r="AA40" i="5" s="1"/>
  <c r="V40" i="5"/>
  <c r="U40" i="5"/>
  <c r="P40" i="5"/>
  <c r="Q40" i="5" s="1"/>
  <c r="L40" i="5"/>
  <c r="K40" i="5"/>
  <c r="F40" i="5"/>
  <c r="G40" i="5" s="1"/>
  <c r="AA39" i="5"/>
  <c r="Z39" i="5"/>
  <c r="V39" i="5"/>
  <c r="U39" i="5"/>
  <c r="Q39" i="5"/>
  <c r="P39" i="5"/>
  <c r="L39" i="5"/>
  <c r="K39" i="5"/>
  <c r="G39" i="5"/>
  <c r="F39" i="5"/>
  <c r="AA38" i="5"/>
  <c r="Z38" i="5"/>
  <c r="U38" i="5"/>
  <c r="V38" i="5" s="1"/>
  <c r="Q38" i="5"/>
  <c r="P38" i="5"/>
  <c r="K38" i="5"/>
  <c r="L38" i="5" s="1"/>
  <c r="G38" i="5"/>
  <c r="F38" i="5"/>
  <c r="Z37" i="5"/>
  <c r="AA37" i="5" s="1"/>
  <c r="V37" i="5"/>
  <c r="U37" i="5"/>
  <c r="P37" i="5"/>
  <c r="Q37" i="5" s="1"/>
  <c r="L37" i="5"/>
  <c r="K37" i="5"/>
  <c r="F37" i="5"/>
  <c r="G37" i="5" s="1"/>
  <c r="Z36" i="5"/>
  <c r="AA36" i="5" s="1"/>
  <c r="V36" i="5"/>
  <c r="U36" i="5"/>
  <c r="P36" i="5"/>
  <c r="Q36" i="5" s="1"/>
  <c r="L36" i="5"/>
  <c r="K36" i="5"/>
  <c r="F36" i="5"/>
  <c r="G36" i="5" s="1"/>
  <c r="AA35" i="5"/>
  <c r="Z35" i="5"/>
  <c r="U35" i="5"/>
  <c r="V35" i="5" s="1"/>
  <c r="Q35" i="5"/>
  <c r="P35" i="5"/>
  <c r="K35" i="5"/>
  <c r="L35" i="5" s="1"/>
  <c r="G35" i="5"/>
  <c r="F35" i="5"/>
  <c r="DF34" i="5"/>
  <c r="DD34" i="5"/>
  <c r="DA34" i="5"/>
  <c r="DE34" i="5" s="1"/>
  <c r="CW34" i="5"/>
  <c r="CU34" i="5"/>
  <c r="CR34" i="5"/>
  <c r="CV34" i="5" s="1"/>
  <c r="CN34" i="5"/>
  <c r="CL34" i="5"/>
  <c r="CI34" i="5"/>
  <c r="CM34" i="5" s="1"/>
  <c r="CE34" i="5"/>
  <c r="CC34" i="5"/>
  <c r="BZ34" i="5"/>
  <c r="CD34" i="5" s="1"/>
  <c r="BV34" i="5"/>
  <c r="BT34" i="5"/>
  <c r="BQ34" i="5"/>
  <c r="BU34" i="5" s="1"/>
  <c r="BM34" i="5"/>
  <c r="BK34" i="5"/>
  <c r="BH34" i="5"/>
  <c r="BL34" i="5" s="1"/>
  <c r="BD34" i="5"/>
  <c r="BB34" i="5"/>
  <c r="AY34" i="5"/>
  <c r="BC34" i="5" s="1"/>
  <c r="AU34" i="5"/>
  <c r="AS34" i="5"/>
  <c r="AP34" i="5"/>
  <c r="AT34" i="5" s="1"/>
  <c r="AL34" i="5"/>
  <c r="AJ34" i="5"/>
  <c r="AG34" i="5"/>
  <c r="AK34" i="5" s="1"/>
  <c r="AC34" i="5"/>
  <c r="AA34" i="5"/>
  <c r="X34" i="5"/>
  <c r="AB34" i="5" s="1"/>
  <c r="T34" i="5"/>
  <c r="R34" i="5"/>
  <c r="O34" i="5"/>
  <c r="S34" i="5" s="1"/>
  <c r="K34" i="5"/>
  <c r="I34" i="5"/>
  <c r="F34" i="5"/>
  <c r="J34" i="5" s="1"/>
  <c r="DF33" i="5"/>
  <c r="DD33" i="5"/>
  <c r="DA33" i="5"/>
  <c r="CW33" i="5"/>
  <c r="CU33" i="5"/>
  <c r="CV33" i="5" s="1"/>
  <c r="CR33" i="5"/>
  <c r="CN33" i="5"/>
  <c r="CL33" i="5"/>
  <c r="CM33" i="5" s="1"/>
  <c r="CI33" i="5"/>
  <c r="CE33" i="5"/>
  <c r="CC33" i="5"/>
  <c r="BZ33" i="5"/>
  <c r="BV33" i="5"/>
  <c r="BT33" i="5"/>
  <c r="BQ33" i="5"/>
  <c r="BM33" i="5"/>
  <c r="BK33" i="5"/>
  <c r="BL33" i="5" s="1"/>
  <c r="BH33" i="5"/>
  <c r="BD33" i="5"/>
  <c r="BB33" i="5"/>
  <c r="BC33" i="5" s="1"/>
  <c r="AY33" i="5"/>
  <c r="AU33" i="5"/>
  <c r="AS33" i="5"/>
  <c r="AP33" i="5"/>
  <c r="AL33" i="5"/>
  <c r="AJ33" i="5"/>
  <c r="AG33" i="5"/>
  <c r="AC33" i="5"/>
  <c r="AA33" i="5"/>
  <c r="AB33" i="5" s="1"/>
  <c r="X33" i="5"/>
  <c r="T33" i="5"/>
  <c r="R33" i="5"/>
  <c r="S33" i="5" s="1"/>
  <c r="O33" i="5"/>
  <c r="K33" i="5"/>
  <c r="I33" i="5"/>
  <c r="F33" i="5"/>
  <c r="DF32" i="5"/>
  <c r="DD32" i="5"/>
  <c r="DE32" i="5" s="1"/>
  <c r="DA32" i="5"/>
  <c r="CW32" i="5"/>
  <c r="CU32" i="5"/>
  <c r="CV32" i="5" s="1"/>
  <c r="CR32" i="5"/>
  <c r="CN32" i="5"/>
  <c r="CL32" i="5"/>
  <c r="CM32" i="5" s="1"/>
  <c r="CI32" i="5"/>
  <c r="CE32" i="5"/>
  <c r="CC32" i="5"/>
  <c r="CD32" i="5" s="1"/>
  <c r="BZ32" i="5"/>
  <c r="BV32" i="5"/>
  <c r="BT32" i="5"/>
  <c r="BU32" i="5" s="1"/>
  <c r="BQ32" i="5"/>
  <c r="BM32" i="5"/>
  <c r="BK32" i="5"/>
  <c r="BL32" i="5" s="1"/>
  <c r="BH32" i="5"/>
  <c r="BD32" i="5"/>
  <c r="BB32" i="5"/>
  <c r="BC32" i="5" s="1"/>
  <c r="AY32" i="5"/>
  <c r="AU32" i="5"/>
  <c r="AS32" i="5"/>
  <c r="AT32" i="5" s="1"/>
  <c r="AP32" i="5"/>
  <c r="AL32" i="5"/>
  <c r="AJ32" i="5"/>
  <c r="AK32" i="5" s="1"/>
  <c r="AG32" i="5"/>
  <c r="AC32" i="5"/>
  <c r="AA32" i="5"/>
  <c r="AB32" i="5" s="1"/>
  <c r="X32" i="5"/>
  <c r="T32" i="5"/>
  <c r="R32" i="5"/>
  <c r="S32" i="5" s="1"/>
  <c r="O32" i="5"/>
  <c r="K32" i="5"/>
  <c r="I32" i="5"/>
  <c r="J32" i="5" s="1"/>
  <c r="F32" i="5"/>
  <c r="DF31" i="5"/>
  <c r="DE31" i="5"/>
  <c r="DD31" i="5"/>
  <c r="DA31" i="5"/>
  <c r="CW31" i="5"/>
  <c r="CV31" i="5"/>
  <c r="CU31" i="5"/>
  <c r="CR31" i="5"/>
  <c r="CN31" i="5"/>
  <c r="CM31" i="5"/>
  <c r="CL31" i="5"/>
  <c r="CI31" i="5"/>
  <c r="CE31" i="5"/>
  <c r="CD31" i="5"/>
  <c r="CC31" i="5"/>
  <c r="BZ31" i="5"/>
  <c r="BV31" i="5"/>
  <c r="BU31" i="5"/>
  <c r="BT31" i="5"/>
  <c r="BQ31" i="5"/>
  <c r="BM31" i="5"/>
  <c r="BL31" i="5"/>
  <c r="BK31" i="5"/>
  <c r="BH31" i="5"/>
  <c r="BD31" i="5"/>
  <c r="BC31" i="5"/>
  <c r="BB31" i="5"/>
  <c r="AY31" i="5"/>
  <c r="AU31" i="5"/>
  <c r="AT31" i="5"/>
  <c r="AS31" i="5"/>
  <c r="AP31" i="5"/>
  <c r="AL31" i="5"/>
  <c r="AK31" i="5"/>
  <c r="AJ31" i="5"/>
  <c r="AG31" i="5"/>
  <c r="AC31" i="5"/>
  <c r="AB31" i="5"/>
  <c r="AA31" i="5"/>
  <c r="X31" i="5"/>
  <c r="T31" i="5"/>
  <c r="S31" i="5"/>
  <c r="R31" i="5"/>
  <c r="O31" i="5"/>
  <c r="K31" i="5"/>
  <c r="J31" i="5"/>
  <c r="I31" i="5"/>
  <c r="F31" i="5"/>
  <c r="DF30" i="5"/>
  <c r="DD30" i="5"/>
  <c r="DA30" i="5"/>
  <c r="DE30" i="5" s="1"/>
  <c r="CW30" i="5"/>
  <c r="CU30" i="5"/>
  <c r="CR30" i="5"/>
  <c r="CV30" i="5" s="1"/>
  <c r="CN30" i="5"/>
  <c r="CL30" i="5"/>
  <c r="CI30" i="5"/>
  <c r="CM30" i="5" s="1"/>
  <c r="CE30" i="5"/>
  <c r="CC30" i="5"/>
  <c r="BZ30" i="5"/>
  <c r="CD30" i="5" s="1"/>
  <c r="BV30" i="5"/>
  <c r="BT30" i="5"/>
  <c r="BQ30" i="5"/>
  <c r="BU30" i="5" s="1"/>
  <c r="BM30" i="5"/>
  <c r="BK30" i="5"/>
  <c r="BH30" i="5"/>
  <c r="BL30" i="5" s="1"/>
  <c r="BD30" i="5"/>
  <c r="BB30" i="5"/>
  <c r="AY30" i="5"/>
  <c r="BC30" i="5" s="1"/>
  <c r="AU30" i="5"/>
  <c r="AS30" i="5"/>
  <c r="AP30" i="5"/>
  <c r="AT30" i="5" s="1"/>
  <c r="AL30" i="5"/>
  <c r="AJ30" i="5"/>
  <c r="AG30" i="5"/>
  <c r="AK30" i="5" s="1"/>
  <c r="AC30" i="5"/>
  <c r="AA30" i="5"/>
  <c r="X30" i="5"/>
  <c r="AB30" i="5" s="1"/>
  <c r="T30" i="5"/>
  <c r="R30" i="5"/>
  <c r="O30" i="5"/>
  <c r="S30" i="5" s="1"/>
  <c r="K30" i="5"/>
  <c r="I30" i="5"/>
  <c r="F30" i="5"/>
  <c r="J30" i="5" s="1"/>
  <c r="DF29" i="5"/>
  <c r="DD29" i="5"/>
  <c r="DA29" i="5"/>
  <c r="CW29" i="5"/>
  <c r="CU29" i="5"/>
  <c r="CV29" i="5" s="1"/>
  <c r="CR29" i="5"/>
  <c r="CN29" i="5"/>
  <c r="CL29" i="5"/>
  <c r="CM29" i="5" s="1"/>
  <c r="CI29" i="5"/>
  <c r="CE29" i="5"/>
  <c r="CC29" i="5"/>
  <c r="BZ29" i="5"/>
  <c r="BV29" i="5"/>
  <c r="BT29" i="5"/>
  <c r="BQ29" i="5"/>
  <c r="BM29" i="5"/>
  <c r="BK29" i="5"/>
  <c r="BL29" i="5" s="1"/>
  <c r="BH29" i="5"/>
  <c r="BD29" i="5"/>
  <c r="BB29" i="5"/>
  <c r="BC29" i="5" s="1"/>
  <c r="AY29" i="5"/>
  <c r="AU29" i="5"/>
  <c r="AS29" i="5"/>
  <c r="AP29" i="5"/>
  <c r="AL29" i="5"/>
  <c r="AJ29" i="5"/>
  <c r="AG29" i="5"/>
  <c r="AC29" i="5"/>
  <c r="AA29" i="5"/>
  <c r="AB29" i="5" s="1"/>
  <c r="X29" i="5"/>
  <c r="T29" i="5"/>
  <c r="R29" i="5"/>
  <c r="S29" i="5" s="1"/>
  <c r="O29" i="5"/>
  <c r="K29" i="5"/>
  <c r="I29" i="5"/>
  <c r="F29" i="5"/>
  <c r="DF28" i="5"/>
  <c r="DD28" i="5"/>
  <c r="DE28" i="5" s="1"/>
  <c r="DA28" i="5"/>
  <c r="CW28" i="5"/>
  <c r="CU28" i="5"/>
  <c r="CV28" i="5" s="1"/>
  <c r="CR28" i="5"/>
  <c r="CN28" i="5"/>
  <c r="CL28" i="5"/>
  <c r="CM28" i="5" s="1"/>
  <c r="CI28" i="5"/>
  <c r="CE28" i="5"/>
  <c r="CC28" i="5"/>
  <c r="CD28" i="5" s="1"/>
  <c r="BZ28" i="5"/>
  <c r="BV28" i="5"/>
  <c r="BT28" i="5"/>
  <c r="BU28" i="5" s="1"/>
  <c r="BQ28" i="5"/>
  <c r="BM28" i="5"/>
  <c r="BK28" i="5"/>
  <c r="BL28" i="5" s="1"/>
  <c r="BH28" i="5"/>
  <c r="BD28" i="5"/>
  <c r="BB28" i="5"/>
  <c r="BC28" i="5" s="1"/>
  <c r="AY28" i="5"/>
  <c r="AU28" i="5"/>
  <c r="AS28" i="5"/>
  <c r="AT28" i="5" s="1"/>
  <c r="AP28" i="5"/>
  <c r="AL28" i="5"/>
  <c r="AJ28" i="5"/>
  <c r="AK28" i="5" s="1"/>
  <c r="AG28" i="5"/>
  <c r="AC28" i="5"/>
  <c r="AA28" i="5"/>
  <c r="AB28" i="5" s="1"/>
  <c r="X28" i="5"/>
  <c r="T28" i="5"/>
  <c r="R28" i="5"/>
  <c r="S28" i="5" s="1"/>
  <c r="O28" i="5"/>
  <c r="K28" i="5"/>
  <c r="I28" i="5"/>
  <c r="J28" i="5" s="1"/>
  <c r="F28" i="5"/>
  <c r="DF27" i="5"/>
  <c r="DE27" i="5"/>
  <c r="DD27" i="5"/>
  <c r="DA27" i="5"/>
  <c r="CW27" i="5"/>
  <c r="CV27" i="5"/>
  <c r="CU27" i="5"/>
  <c r="CR27" i="5"/>
  <c r="CN27" i="5"/>
  <c r="CM27" i="5"/>
  <c r="CL27" i="5"/>
  <c r="CI27" i="5"/>
  <c r="CE27" i="5"/>
  <c r="CD27" i="5"/>
  <c r="CC27" i="5"/>
  <c r="BZ27" i="5"/>
  <c r="BV27" i="5"/>
  <c r="BU27" i="5"/>
  <c r="BT27" i="5"/>
  <c r="BQ27" i="5"/>
  <c r="BM27" i="5"/>
  <c r="BL27" i="5"/>
  <c r="BK27" i="5"/>
  <c r="BH27" i="5"/>
  <c r="BD27" i="5"/>
  <c r="BC27" i="5"/>
  <c r="BB27" i="5"/>
  <c r="AY27" i="5"/>
  <c r="AU27" i="5"/>
  <c r="AT27" i="5"/>
  <c r="AS27" i="5"/>
  <c r="AP27" i="5"/>
  <c r="AL27" i="5"/>
  <c r="AK27" i="5"/>
  <c r="AJ27" i="5"/>
  <c r="AG27" i="5"/>
  <c r="AC27" i="5"/>
  <c r="AB27" i="5"/>
  <c r="AA27" i="5"/>
  <c r="X27" i="5"/>
  <c r="T27" i="5"/>
  <c r="S27" i="5"/>
  <c r="R27" i="5"/>
  <c r="O27" i="5"/>
  <c r="K27" i="5"/>
  <c r="J27" i="5"/>
  <c r="I27" i="5"/>
  <c r="F27" i="5"/>
  <c r="DF26" i="5"/>
  <c r="DD26" i="5"/>
  <c r="DA26" i="5"/>
  <c r="DE26" i="5" s="1"/>
  <c r="CW26" i="5"/>
  <c r="CU26" i="5"/>
  <c r="CR26" i="5"/>
  <c r="CV26" i="5" s="1"/>
  <c r="CN26" i="5"/>
  <c r="CL26" i="5"/>
  <c r="CI26" i="5"/>
  <c r="CM26" i="5" s="1"/>
  <c r="CE26" i="5"/>
  <c r="CC26" i="5"/>
  <c r="BZ26" i="5"/>
  <c r="CD26" i="5" s="1"/>
  <c r="BV26" i="5"/>
  <c r="BT26" i="5"/>
  <c r="BQ26" i="5"/>
  <c r="BU26" i="5" s="1"/>
  <c r="BM26" i="5"/>
  <c r="BK26" i="5"/>
  <c r="BL26" i="5" s="1"/>
  <c r="BH26" i="5"/>
  <c r="BD26" i="5"/>
  <c r="BB26" i="5"/>
  <c r="AY26" i="5"/>
  <c r="AU26" i="5"/>
  <c r="AS26" i="5"/>
  <c r="AP26" i="5"/>
  <c r="AL26" i="5"/>
  <c r="AJ26" i="5"/>
  <c r="AK26" i="5" s="1"/>
  <c r="AG26" i="5"/>
  <c r="AC26" i="5"/>
  <c r="AA26" i="5"/>
  <c r="AB26" i="5" s="1"/>
  <c r="X26" i="5"/>
  <c r="T26" i="5"/>
  <c r="R26" i="5"/>
  <c r="O26" i="5"/>
  <c r="K26" i="5"/>
  <c r="I26" i="5"/>
  <c r="F26" i="5"/>
  <c r="DF25" i="5"/>
  <c r="DD25" i="5"/>
  <c r="DA25" i="5"/>
  <c r="CW25" i="5"/>
  <c r="CU25" i="5"/>
  <c r="CV25" i="5" s="1"/>
  <c r="CR25" i="5"/>
  <c r="CN25" i="5"/>
  <c r="CL25" i="5"/>
  <c r="CM25" i="5" s="1"/>
  <c r="CI25" i="5"/>
  <c r="CE25" i="5"/>
  <c r="CC25" i="5"/>
  <c r="BZ25" i="5"/>
  <c r="BV25" i="5"/>
  <c r="BT25" i="5"/>
  <c r="BQ25" i="5"/>
  <c r="BM25" i="5"/>
  <c r="BK25" i="5"/>
  <c r="BL25" i="5" s="1"/>
  <c r="BH25" i="5"/>
  <c r="BD25" i="5"/>
  <c r="BB25" i="5"/>
  <c r="BC25" i="5" s="1"/>
  <c r="AY25" i="5"/>
  <c r="AU25" i="5"/>
  <c r="AS25" i="5"/>
  <c r="AP25" i="5"/>
  <c r="AL25" i="5"/>
  <c r="AJ25" i="5"/>
  <c r="AG25" i="5"/>
  <c r="AC25" i="5"/>
  <c r="AA25" i="5"/>
  <c r="AB25" i="5" s="1"/>
  <c r="X25" i="5"/>
  <c r="T25" i="5"/>
  <c r="R25" i="5"/>
  <c r="S25" i="5" s="1"/>
  <c r="O25" i="5"/>
  <c r="K25" i="5"/>
  <c r="I25" i="5"/>
  <c r="F25" i="5"/>
  <c r="DF24" i="5"/>
  <c r="DD24" i="5"/>
  <c r="DE24" i="5" s="1"/>
  <c r="DA24" i="5"/>
  <c r="CW24" i="5"/>
  <c r="CU24" i="5"/>
  <c r="CV24" i="5" s="1"/>
  <c r="CR24" i="5"/>
  <c r="CN24" i="5"/>
  <c r="CL24" i="5"/>
  <c r="CM24" i="5" s="1"/>
  <c r="CI24" i="5"/>
  <c r="CE24" i="5"/>
  <c r="CC24" i="5"/>
  <c r="CD24" i="5" s="1"/>
  <c r="BZ24" i="5"/>
  <c r="BV24" i="5"/>
  <c r="BT24" i="5"/>
  <c r="BU24" i="5" s="1"/>
  <c r="BQ24" i="5"/>
  <c r="BM24" i="5"/>
  <c r="BK24" i="5"/>
  <c r="BL24" i="5" s="1"/>
  <c r="BH24" i="5"/>
  <c r="BD24" i="5"/>
  <c r="BB24" i="5"/>
  <c r="BC24" i="5" s="1"/>
  <c r="AY24" i="5"/>
  <c r="AU24" i="5"/>
  <c r="AS24" i="5"/>
  <c r="AT24" i="5" s="1"/>
  <c r="AP24" i="5"/>
  <c r="AL24" i="5"/>
  <c r="AJ24" i="5"/>
  <c r="AK24" i="5" s="1"/>
  <c r="AG24" i="5"/>
  <c r="AC24" i="5"/>
  <c r="AA24" i="5"/>
  <c r="AB24" i="5" s="1"/>
  <c r="X24" i="5"/>
  <c r="T24" i="5"/>
  <c r="R24" i="5"/>
  <c r="S24" i="5" s="1"/>
  <c r="O24" i="5"/>
  <c r="K24" i="5"/>
  <c r="I24" i="5"/>
  <c r="J24" i="5" s="1"/>
  <c r="F24" i="5"/>
  <c r="DF23" i="5"/>
  <c r="DE23" i="5"/>
  <c r="DD23" i="5"/>
  <c r="DA23" i="5"/>
  <c r="CW23" i="5"/>
  <c r="CV23" i="5"/>
  <c r="CU23" i="5"/>
  <c r="CR23" i="5"/>
  <c r="CN23" i="5"/>
  <c r="CM23" i="5"/>
  <c r="CL23" i="5"/>
  <c r="CI23" i="5"/>
  <c r="CE23" i="5"/>
  <c r="CD23" i="5"/>
  <c r="CC23" i="5"/>
  <c r="BZ23" i="5"/>
  <c r="BV23" i="5"/>
  <c r="BU23" i="5"/>
  <c r="BT23" i="5"/>
  <c r="BQ23" i="5"/>
  <c r="BM23" i="5"/>
  <c r="BL23" i="5"/>
  <c r="BK23" i="5"/>
  <c r="BH23" i="5"/>
  <c r="BD23" i="5"/>
  <c r="BC23" i="5"/>
  <c r="BB23" i="5"/>
  <c r="AY23" i="5"/>
  <c r="AU23" i="5"/>
  <c r="AT23" i="5"/>
  <c r="AS23" i="5"/>
  <c r="AP23" i="5"/>
  <c r="AL23" i="5"/>
  <c r="AK23" i="5"/>
  <c r="AJ23" i="5"/>
  <c r="AG23" i="5"/>
  <c r="AC23" i="5"/>
  <c r="AB23" i="5"/>
  <c r="AA23" i="5"/>
  <c r="X23" i="5"/>
  <c r="T23" i="5"/>
  <c r="S23" i="5"/>
  <c r="R23" i="5"/>
  <c r="O23" i="5"/>
  <c r="K23" i="5"/>
  <c r="J23" i="5"/>
  <c r="I23" i="5"/>
  <c r="F23" i="5"/>
  <c r="DF22" i="5"/>
  <c r="DD22" i="5"/>
  <c r="DE22" i="5" s="1"/>
  <c r="DA22" i="5"/>
  <c r="CW22" i="5"/>
  <c r="CU22" i="5"/>
  <c r="CV22" i="5" s="1"/>
  <c r="CR22" i="5"/>
  <c r="CN22" i="5"/>
  <c r="CL22" i="5"/>
  <c r="CI22" i="5"/>
  <c r="CE22" i="5"/>
  <c r="CC22" i="5"/>
  <c r="BZ22" i="5"/>
  <c r="BV22" i="5"/>
  <c r="BT22" i="5"/>
  <c r="BU22" i="5" s="1"/>
  <c r="BQ22" i="5"/>
  <c r="BM22" i="5"/>
  <c r="BK22" i="5"/>
  <c r="BL22" i="5" s="1"/>
  <c r="BH22" i="5"/>
  <c r="BD22" i="5"/>
  <c r="BB22" i="5"/>
  <c r="AY22" i="5"/>
  <c r="AU22" i="5"/>
  <c r="AS22" i="5"/>
  <c r="AP22" i="5"/>
  <c r="AL22" i="5"/>
  <c r="AJ22" i="5"/>
  <c r="AK22" i="5" s="1"/>
  <c r="AG22" i="5"/>
  <c r="AC22" i="5"/>
  <c r="AA22" i="5"/>
  <c r="AB22" i="5" s="1"/>
  <c r="X22" i="5"/>
  <c r="T22" i="5"/>
  <c r="R22" i="5"/>
  <c r="O22" i="5"/>
  <c r="K22" i="5"/>
  <c r="I22" i="5"/>
  <c r="F22" i="5"/>
  <c r="DF21" i="5"/>
  <c r="DD21" i="5"/>
  <c r="DA21" i="5"/>
  <c r="CW21" i="5"/>
  <c r="CU21" i="5"/>
  <c r="CV21" i="5" s="1"/>
  <c r="CR21" i="5"/>
  <c r="CN21" i="5"/>
  <c r="CL21" i="5"/>
  <c r="CM21" i="5" s="1"/>
  <c r="CI21" i="5"/>
  <c r="CE21" i="5"/>
  <c r="CC21" i="5"/>
  <c r="BZ21" i="5"/>
  <c r="BV21" i="5"/>
  <c r="BT21" i="5"/>
  <c r="BQ21" i="5"/>
  <c r="BM21" i="5"/>
  <c r="BK21" i="5"/>
  <c r="BL21" i="5" s="1"/>
  <c r="BH21" i="5"/>
  <c r="BD21" i="5"/>
  <c r="BB21" i="5"/>
  <c r="BC21" i="5" s="1"/>
  <c r="AY21" i="5"/>
  <c r="AU21" i="5"/>
  <c r="AS21" i="5"/>
  <c r="AP21" i="5"/>
  <c r="AL21" i="5"/>
  <c r="AJ21" i="5"/>
  <c r="AG21" i="5"/>
  <c r="AC21" i="5"/>
  <c r="AA21" i="5"/>
  <c r="AB21" i="5" s="1"/>
  <c r="X21" i="5"/>
  <c r="T21" i="5"/>
  <c r="R21" i="5"/>
  <c r="S21" i="5" s="1"/>
  <c r="O21" i="5"/>
  <c r="K21" i="5"/>
  <c r="I21" i="5"/>
  <c r="F21" i="5"/>
  <c r="DF20" i="5"/>
  <c r="DD20" i="5"/>
  <c r="DE20" i="5" s="1"/>
  <c r="DA20" i="5"/>
  <c r="CW20" i="5"/>
  <c r="CU20" i="5"/>
  <c r="CV20" i="5" s="1"/>
  <c r="CR20" i="5"/>
  <c r="CN20" i="5"/>
  <c r="CL20" i="5"/>
  <c r="CM20" i="5" s="1"/>
  <c r="CI20" i="5"/>
  <c r="CE20" i="5"/>
  <c r="CC20" i="5"/>
  <c r="CD20" i="5" s="1"/>
  <c r="BZ20" i="5"/>
  <c r="BV20" i="5"/>
  <c r="BT20" i="5"/>
  <c r="BU20" i="5" s="1"/>
  <c r="BQ20" i="5"/>
  <c r="BM20" i="5"/>
  <c r="BK20" i="5"/>
  <c r="BL20" i="5" s="1"/>
  <c r="BH20" i="5"/>
  <c r="BD20" i="5"/>
  <c r="BB20" i="5"/>
  <c r="BC20" i="5" s="1"/>
  <c r="AY20" i="5"/>
  <c r="AU20" i="5"/>
  <c r="AS20" i="5"/>
  <c r="AT20" i="5" s="1"/>
  <c r="AP20" i="5"/>
  <c r="AL20" i="5"/>
  <c r="AJ20" i="5"/>
  <c r="AK20" i="5" s="1"/>
  <c r="AG20" i="5"/>
  <c r="AC20" i="5"/>
  <c r="AA20" i="5"/>
  <c r="AB20" i="5" s="1"/>
  <c r="X20" i="5"/>
  <c r="T20" i="5"/>
  <c r="R20" i="5"/>
  <c r="S20" i="5" s="1"/>
  <c r="O20" i="5"/>
  <c r="K20" i="5"/>
  <c r="I20" i="5"/>
  <c r="J20" i="5" s="1"/>
  <c r="F20" i="5"/>
  <c r="DF19" i="5"/>
  <c r="DE19" i="5"/>
  <c r="DD19" i="5"/>
  <c r="DA19" i="5"/>
  <c r="CW19" i="5"/>
  <c r="CV19" i="5"/>
  <c r="CU19" i="5"/>
  <c r="CR19" i="5"/>
  <c r="CN19" i="5"/>
  <c r="CM19" i="5"/>
  <c r="CL19" i="5"/>
  <c r="CI19" i="5"/>
  <c r="CE19" i="5"/>
  <c r="CD19" i="5"/>
  <c r="CC19" i="5"/>
  <c r="BZ19" i="5"/>
  <c r="BV19" i="5"/>
  <c r="BU19" i="5"/>
  <c r="BT19" i="5"/>
  <c r="BQ19" i="5"/>
  <c r="BM19" i="5"/>
  <c r="BL19" i="5"/>
  <c r="BK19" i="5"/>
  <c r="BH19" i="5"/>
  <c r="BD19" i="5"/>
  <c r="BC19" i="5"/>
  <c r="BB19" i="5"/>
  <c r="AY19" i="5"/>
  <c r="AU19" i="5"/>
  <c r="AT19" i="5"/>
  <c r="AS19" i="5"/>
  <c r="AP19" i="5"/>
  <c r="AL19" i="5"/>
  <c r="AK19" i="5"/>
  <c r="AJ19" i="5"/>
  <c r="AG19" i="5"/>
  <c r="AC19" i="5"/>
  <c r="AB19" i="5"/>
  <c r="AA19" i="5"/>
  <c r="X19" i="5"/>
  <c r="T19" i="5"/>
  <c r="S19" i="5"/>
  <c r="R19" i="5"/>
  <c r="O19" i="5"/>
  <c r="K19" i="5"/>
  <c r="J19" i="5"/>
  <c r="I19" i="5"/>
  <c r="F19" i="5"/>
  <c r="DF18" i="5"/>
  <c r="DD18" i="5"/>
  <c r="DE18" i="5" s="1"/>
  <c r="DA18" i="5"/>
  <c r="CW18" i="5"/>
  <c r="CU18" i="5"/>
  <c r="CV18" i="5" s="1"/>
  <c r="CR18" i="5"/>
  <c r="CN18" i="5"/>
  <c r="CL18" i="5"/>
  <c r="CI18" i="5"/>
  <c r="CE18" i="5"/>
  <c r="CC18" i="5"/>
  <c r="BZ18" i="5"/>
  <c r="BV18" i="5"/>
  <c r="BT18" i="5"/>
  <c r="BU18" i="5" s="1"/>
  <c r="BQ18" i="5"/>
  <c r="BM18" i="5"/>
  <c r="BK18" i="5"/>
  <c r="BL18" i="5" s="1"/>
  <c r="BH18" i="5"/>
  <c r="BD18" i="5"/>
  <c r="BB18" i="5"/>
  <c r="AY18" i="5"/>
  <c r="AU18" i="5"/>
  <c r="AS18" i="5"/>
  <c r="AP18" i="5"/>
  <c r="AL18" i="5"/>
  <c r="AJ18" i="5"/>
  <c r="AK18" i="5" s="1"/>
  <c r="AG18" i="5"/>
  <c r="AC18" i="5"/>
  <c r="AA18" i="5"/>
  <c r="AB18" i="5" s="1"/>
  <c r="X18" i="5"/>
  <c r="T18" i="5"/>
  <c r="R18" i="5"/>
  <c r="O18" i="5"/>
  <c r="K18" i="5"/>
  <c r="I18" i="5"/>
  <c r="F18" i="5"/>
  <c r="DF17" i="5"/>
  <c r="DD17" i="5"/>
  <c r="DA17" i="5"/>
  <c r="CW17" i="5"/>
  <c r="CU17" i="5"/>
  <c r="CR17" i="5"/>
  <c r="CN17" i="5"/>
  <c r="CL17" i="5"/>
  <c r="CM17" i="5" s="1"/>
  <c r="CI17" i="5"/>
  <c r="CE17" i="5"/>
  <c r="CC17" i="5"/>
  <c r="BZ17" i="5"/>
  <c r="BV17" i="5"/>
  <c r="BT17" i="5"/>
  <c r="BQ17" i="5"/>
  <c r="BM17" i="5"/>
  <c r="BK17" i="5"/>
  <c r="BH17" i="5"/>
  <c r="BD17" i="5"/>
  <c r="BB17" i="5"/>
  <c r="BC17" i="5" s="1"/>
  <c r="AY17" i="5"/>
  <c r="AU17" i="5"/>
  <c r="AS17" i="5"/>
  <c r="AP17" i="5"/>
  <c r="AL17" i="5"/>
  <c r="AJ17" i="5"/>
  <c r="AG17" i="5"/>
  <c r="AC17" i="5"/>
  <c r="AA17" i="5"/>
  <c r="X17" i="5"/>
  <c r="T17" i="5"/>
  <c r="R17" i="5"/>
  <c r="S17" i="5" s="1"/>
  <c r="O17" i="5"/>
  <c r="K17" i="5"/>
  <c r="I17" i="5"/>
  <c r="F17" i="5"/>
  <c r="DF16" i="5"/>
  <c r="DD16" i="5"/>
  <c r="DE16" i="5" s="1"/>
  <c r="DA16" i="5"/>
  <c r="CW16" i="5"/>
  <c r="CU16" i="5"/>
  <c r="CV16" i="5" s="1"/>
  <c r="CR16" i="5"/>
  <c r="CN16" i="5"/>
  <c r="CL16" i="5"/>
  <c r="CM16" i="5" s="1"/>
  <c r="CI16" i="5"/>
  <c r="CE16" i="5"/>
  <c r="CC16" i="5"/>
  <c r="CD16" i="5" s="1"/>
  <c r="BZ16" i="5"/>
  <c r="BV16" i="5"/>
  <c r="BT16" i="5"/>
  <c r="BU16" i="5" s="1"/>
  <c r="BQ16" i="5"/>
  <c r="BM16" i="5"/>
  <c r="BK16" i="5"/>
  <c r="BL16" i="5" s="1"/>
  <c r="BH16" i="5"/>
  <c r="BD16" i="5"/>
  <c r="BB16" i="5"/>
  <c r="BC16" i="5" s="1"/>
  <c r="AY16" i="5"/>
  <c r="AU16" i="5"/>
  <c r="AS16" i="5"/>
  <c r="AT16" i="5" s="1"/>
  <c r="AP16" i="5"/>
  <c r="AL16" i="5"/>
  <c r="AJ16" i="5"/>
  <c r="AK16" i="5" s="1"/>
  <c r="AG16" i="5"/>
  <c r="AC16" i="5"/>
  <c r="AA16" i="5"/>
  <c r="AB16" i="5" s="1"/>
  <c r="X16" i="5"/>
  <c r="T16" i="5"/>
  <c r="R16" i="5"/>
  <c r="S16" i="5" s="1"/>
  <c r="O16" i="5"/>
  <c r="K16" i="5"/>
  <c r="I16" i="5"/>
  <c r="J16" i="5" s="1"/>
  <c r="F16" i="5"/>
  <c r="DF15" i="5"/>
  <c r="DE15" i="5"/>
  <c r="DD15" i="5"/>
  <c r="DA15" i="5"/>
  <c r="CW15" i="5"/>
  <c r="CV15" i="5"/>
  <c r="CU15" i="5"/>
  <c r="CR15" i="5"/>
  <c r="CN15" i="5"/>
  <c r="CM15" i="5"/>
  <c r="CL15" i="5"/>
  <c r="CI15" i="5"/>
  <c r="CE15" i="5"/>
  <c r="CD15" i="5"/>
  <c r="CC15" i="5"/>
  <c r="BZ15" i="5"/>
  <c r="BV15" i="5"/>
  <c r="BU15" i="5"/>
  <c r="BT15" i="5"/>
  <c r="BQ15" i="5"/>
  <c r="BM15" i="5"/>
  <c r="BL15" i="5"/>
  <c r="BK15" i="5"/>
  <c r="BH15" i="5"/>
  <c r="BD15" i="5"/>
  <c r="BC15" i="5"/>
  <c r="BB15" i="5"/>
  <c r="AY15" i="5"/>
  <c r="AU15" i="5"/>
  <c r="AT15" i="5"/>
  <c r="AS15" i="5"/>
  <c r="AP15" i="5"/>
  <c r="AL15" i="5"/>
  <c r="AK15" i="5"/>
  <c r="AJ15" i="5"/>
  <c r="AG15" i="5"/>
  <c r="AC15" i="5"/>
  <c r="AB15" i="5"/>
  <c r="AA15" i="5"/>
  <c r="X15" i="5"/>
  <c r="T15" i="5"/>
  <c r="S15" i="5"/>
  <c r="R15" i="5"/>
  <c r="O15" i="5"/>
  <c r="K15" i="5"/>
  <c r="J15" i="5"/>
  <c r="I15" i="5"/>
  <c r="F15" i="5"/>
  <c r="DF14" i="5"/>
  <c r="DD14" i="5"/>
  <c r="DA14" i="5"/>
  <c r="CW14" i="5"/>
  <c r="CU14" i="5"/>
  <c r="CV14" i="5" s="1"/>
  <c r="CR14" i="5"/>
  <c r="CN14" i="5"/>
  <c r="CL14" i="5"/>
  <c r="CI14" i="5"/>
  <c r="CE14" i="5"/>
  <c r="CC14" i="5"/>
  <c r="BZ14" i="5"/>
  <c r="BV14" i="5"/>
  <c r="BT14" i="5"/>
  <c r="BQ14" i="5"/>
  <c r="BM14" i="5"/>
  <c r="BK14" i="5"/>
  <c r="BL14" i="5" s="1"/>
  <c r="BH14" i="5"/>
  <c r="BD14" i="5"/>
  <c r="BB14" i="5"/>
  <c r="AY14" i="5"/>
  <c r="AU14" i="5"/>
  <c r="AS14" i="5"/>
  <c r="AP14" i="5"/>
  <c r="AL14" i="5"/>
  <c r="AJ14" i="5"/>
  <c r="AG14" i="5"/>
  <c r="AC14" i="5"/>
  <c r="AA14" i="5"/>
  <c r="AB14" i="5" s="1"/>
  <c r="X14" i="5"/>
  <c r="T14" i="5"/>
  <c r="R14" i="5"/>
  <c r="O14" i="5"/>
  <c r="K14" i="5"/>
  <c r="I14" i="5"/>
  <c r="F14" i="5"/>
  <c r="DF13" i="5"/>
  <c r="DD13" i="5"/>
  <c r="DA13" i="5"/>
  <c r="CW13" i="5"/>
  <c r="CU13" i="5"/>
  <c r="CR13" i="5"/>
  <c r="CN13" i="5"/>
  <c r="CL13" i="5"/>
  <c r="CM13" i="5" s="1"/>
  <c r="CI13" i="5"/>
  <c r="CE13" i="5"/>
  <c r="CC13" i="5"/>
  <c r="BZ13" i="5"/>
  <c r="BV13" i="5"/>
  <c r="BT13" i="5"/>
  <c r="BQ13" i="5"/>
  <c r="BM13" i="5"/>
  <c r="BK13" i="5"/>
  <c r="BH13" i="5"/>
  <c r="BD13" i="5"/>
  <c r="BB13" i="5"/>
  <c r="BC13" i="5" s="1"/>
  <c r="AY13" i="5"/>
  <c r="AU13" i="5"/>
  <c r="AS13" i="5"/>
  <c r="AP13" i="5"/>
  <c r="AL13" i="5"/>
  <c r="AJ13" i="5"/>
  <c r="AG13" i="5"/>
  <c r="AC13" i="5"/>
  <c r="AA13" i="5"/>
  <c r="X13" i="5"/>
  <c r="T13" i="5"/>
  <c r="R13" i="5"/>
  <c r="S13" i="5" s="1"/>
  <c r="O13" i="5"/>
  <c r="K13" i="5"/>
  <c r="I13" i="5"/>
  <c r="F13" i="5"/>
  <c r="DF12" i="5"/>
  <c r="DD12" i="5"/>
  <c r="DE12" i="5" s="1"/>
  <c r="DA12" i="5"/>
  <c r="CW12" i="5"/>
  <c r="CU12" i="5"/>
  <c r="CV12" i="5" s="1"/>
  <c r="CR12" i="5"/>
  <c r="CN12" i="5"/>
  <c r="CL12" i="5"/>
  <c r="CM12" i="5" s="1"/>
  <c r="CI12" i="5"/>
  <c r="CE12" i="5"/>
  <c r="CC12" i="5"/>
  <c r="CD12" i="5" s="1"/>
  <c r="BZ12" i="5"/>
  <c r="BV12" i="5"/>
  <c r="BT12" i="5"/>
  <c r="BU12" i="5" s="1"/>
  <c r="BQ12" i="5"/>
  <c r="BM12" i="5"/>
  <c r="BK12" i="5"/>
  <c r="BL12" i="5" s="1"/>
  <c r="BH12" i="5"/>
  <c r="BD12" i="5"/>
  <c r="BB12" i="5"/>
  <c r="BC12" i="5" s="1"/>
  <c r="AY12" i="5"/>
  <c r="AU12" i="5"/>
  <c r="AS12" i="5"/>
  <c r="AT12" i="5" s="1"/>
  <c r="AP12" i="5"/>
  <c r="AL12" i="5"/>
  <c r="AJ12" i="5"/>
  <c r="AK12" i="5" s="1"/>
  <c r="AG12" i="5"/>
  <c r="AC12" i="5"/>
  <c r="AA12" i="5"/>
  <c r="AB12" i="5" s="1"/>
  <c r="X12" i="5"/>
  <c r="T12" i="5"/>
  <c r="R12" i="5"/>
  <c r="S12" i="5" s="1"/>
  <c r="O12" i="5"/>
  <c r="K12" i="5"/>
  <c r="I12" i="5"/>
  <c r="J12" i="5" s="1"/>
  <c r="F12" i="5"/>
  <c r="DF11" i="5"/>
  <c r="DE11" i="5"/>
  <c r="DD11" i="5"/>
  <c r="DA11" i="5"/>
  <c r="CW11" i="5"/>
  <c r="CV11" i="5"/>
  <c r="CU11" i="5"/>
  <c r="CR11" i="5"/>
  <c r="CN11" i="5"/>
  <c r="CM11" i="5"/>
  <c r="CL11" i="5"/>
  <c r="CI11" i="5"/>
  <c r="CE11" i="5"/>
  <c r="CD11" i="5"/>
  <c r="CC11" i="5"/>
  <c r="BZ11" i="5"/>
  <c r="BV11" i="5"/>
  <c r="BU11" i="5"/>
  <c r="BT11" i="5"/>
  <c r="BQ11" i="5"/>
  <c r="BM11" i="5"/>
  <c r="BL11" i="5"/>
  <c r="BK11" i="5"/>
  <c r="BH11" i="5"/>
  <c r="BD11" i="5"/>
  <c r="BC11" i="5"/>
  <c r="BB11" i="5"/>
  <c r="AY11" i="5"/>
  <c r="AU11" i="5"/>
  <c r="AT11" i="5"/>
  <c r="AS11" i="5"/>
  <c r="AP11" i="5"/>
  <c r="AL11" i="5"/>
  <c r="AK11" i="5"/>
  <c r="AJ11" i="5"/>
  <c r="AG11" i="5"/>
  <c r="AC11" i="5"/>
  <c r="AB11" i="5"/>
  <c r="AA11" i="5"/>
  <c r="X11" i="5"/>
  <c r="T11" i="5"/>
  <c r="S11" i="5"/>
  <c r="R11" i="5"/>
  <c r="O11" i="5"/>
  <c r="K11" i="5"/>
  <c r="J11" i="5"/>
  <c r="I11" i="5"/>
  <c r="F11" i="5"/>
  <c r="DF10" i="5"/>
  <c r="DD10" i="5"/>
  <c r="DA10" i="5"/>
  <c r="CW10" i="5"/>
  <c r="CU10" i="5"/>
  <c r="CV10" i="5" s="1"/>
  <c r="CR10" i="5"/>
  <c r="CN10" i="5"/>
  <c r="CL10" i="5"/>
  <c r="CI10" i="5"/>
  <c r="CE10" i="5"/>
  <c r="CC10" i="5"/>
  <c r="BZ10" i="5"/>
  <c r="BV10" i="5"/>
  <c r="BT10" i="5"/>
  <c r="BQ10" i="5"/>
  <c r="BM10" i="5"/>
  <c r="BK10" i="5"/>
  <c r="BL10" i="5" s="1"/>
  <c r="BH10" i="5"/>
  <c r="BD10" i="5"/>
  <c r="BB10" i="5"/>
  <c r="AY10" i="5"/>
  <c r="AU10" i="5"/>
  <c r="AS10" i="5"/>
  <c r="AP10" i="5"/>
  <c r="AL10" i="5"/>
  <c r="AJ10" i="5"/>
  <c r="AG10" i="5"/>
  <c r="AC10" i="5"/>
  <c r="AA10" i="5"/>
  <c r="AB10" i="5" s="1"/>
  <c r="X10" i="5"/>
  <c r="T10" i="5"/>
  <c r="R10" i="5"/>
  <c r="O10" i="5"/>
  <c r="K10" i="5"/>
  <c r="I10" i="5"/>
  <c r="F10" i="5"/>
  <c r="DF9" i="5"/>
  <c r="DD9" i="5"/>
  <c r="DA9" i="5"/>
  <c r="CW9" i="5"/>
  <c r="CU9" i="5"/>
  <c r="CR9" i="5"/>
  <c r="CN9" i="5"/>
  <c r="CL9" i="5"/>
  <c r="CM9" i="5" s="1"/>
  <c r="CI9" i="5"/>
  <c r="CE9" i="5"/>
  <c r="CC9" i="5"/>
  <c r="BZ9" i="5"/>
  <c r="BV9" i="5"/>
  <c r="BT9" i="5"/>
  <c r="BQ9" i="5"/>
  <c r="BM9" i="5"/>
  <c r="BK9" i="5"/>
  <c r="BH9" i="5"/>
  <c r="BD9" i="5"/>
  <c r="BB9" i="5"/>
  <c r="BC9" i="5" s="1"/>
  <c r="AY9" i="5"/>
  <c r="AU9" i="5"/>
  <c r="AS9" i="5"/>
  <c r="AP9" i="5"/>
  <c r="AL9" i="5"/>
  <c r="AJ9" i="5"/>
  <c r="AG9" i="5"/>
  <c r="AC9" i="5"/>
  <c r="AA9" i="5"/>
  <c r="X9" i="5"/>
  <c r="T9" i="5"/>
  <c r="R9" i="5"/>
  <c r="S9" i="5" s="1"/>
  <c r="O9" i="5"/>
  <c r="K9" i="5"/>
  <c r="I9" i="5"/>
  <c r="F9" i="5"/>
  <c r="DF8" i="5"/>
  <c r="DD8" i="5"/>
  <c r="DE8" i="5" s="1"/>
  <c r="DA8" i="5"/>
  <c r="CW8" i="5"/>
  <c r="CU8" i="5"/>
  <c r="CV8" i="5" s="1"/>
  <c r="CR8" i="5"/>
  <c r="CN8" i="5"/>
  <c r="CL8" i="5"/>
  <c r="CM8" i="5" s="1"/>
  <c r="CI8" i="5"/>
  <c r="CE8" i="5"/>
  <c r="CC8" i="5"/>
  <c r="CD8" i="5" s="1"/>
  <c r="BZ8" i="5"/>
  <c r="BV8" i="5"/>
  <c r="BT8" i="5"/>
  <c r="BU8" i="5" s="1"/>
  <c r="BQ8" i="5"/>
  <c r="BM8" i="5"/>
  <c r="BK8" i="5"/>
  <c r="BL8" i="5" s="1"/>
  <c r="BH8" i="5"/>
  <c r="BD8" i="5"/>
  <c r="BB8" i="5"/>
  <c r="BC8" i="5" s="1"/>
  <c r="AY8" i="5"/>
  <c r="AU8" i="5"/>
  <c r="AS8" i="5"/>
  <c r="AT8" i="5" s="1"/>
  <c r="AP8" i="5"/>
  <c r="AL8" i="5"/>
  <c r="AJ8" i="5"/>
  <c r="AK8" i="5" s="1"/>
  <c r="AG8" i="5"/>
  <c r="AC8" i="5"/>
  <c r="AA8" i="5"/>
  <c r="AB8" i="5" s="1"/>
  <c r="X8" i="5"/>
  <c r="T8" i="5"/>
  <c r="R8" i="5"/>
  <c r="S8" i="5" s="1"/>
  <c r="O8" i="5"/>
  <c r="K8" i="5"/>
  <c r="I8" i="5"/>
  <c r="J8" i="5" s="1"/>
  <c r="F8" i="5"/>
  <c r="DF7" i="5"/>
  <c r="DE7" i="5"/>
  <c r="DD7" i="5"/>
  <c r="DA7" i="5"/>
  <c r="CW7" i="5"/>
  <c r="CV7" i="5"/>
  <c r="CU7" i="5"/>
  <c r="CR7" i="5"/>
  <c r="CN7" i="5"/>
  <c r="CM7" i="5"/>
  <c r="CL7" i="5"/>
  <c r="CI7" i="5"/>
  <c r="CE7" i="5"/>
  <c r="CD7" i="5"/>
  <c r="CC7" i="5"/>
  <c r="BZ7" i="5"/>
  <c r="BV7" i="5"/>
  <c r="BU7" i="5"/>
  <c r="BT7" i="5"/>
  <c r="BQ7" i="5"/>
  <c r="BM7" i="5"/>
  <c r="BL7" i="5"/>
  <c r="BK7" i="5"/>
  <c r="BH7" i="5"/>
  <c r="BD7" i="5"/>
  <c r="BC7" i="5"/>
  <c r="BB7" i="5"/>
  <c r="AY7" i="5"/>
  <c r="AU7" i="5"/>
  <c r="AT7" i="5"/>
  <c r="AS7" i="5"/>
  <c r="AP7" i="5"/>
  <c r="AL7" i="5"/>
  <c r="AK7" i="5"/>
  <c r="AJ7" i="5"/>
  <c r="AG7" i="5"/>
  <c r="AC7" i="5"/>
  <c r="AB7" i="5"/>
  <c r="AA7" i="5"/>
  <c r="X7" i="5"/>
  <c r="T7" i="5"/>
  <c r="S7" i="5"/>
  <c r="R7" i="5"/>
  <c r="O7" i="5"/>
  <c r="K7" i="5"/>
  <c r="J7" i="5"/>
  <c r="I7" i="5"/>
  <c r="F7" i="5"/>
  <c r="DF6" i="5"/>
  <c r="DD6" i="5"/>
  <c r="DA6" i="5"/>
  <c r="CW6" i="5"/>
  <c r="CU6" i="5"/>
  <c r="CV6" i="5" s="1"/>
  <c r="CR6" i="5"/>
  <c r="CN6" i="5"/>
  <c r="CL6" i="5"/>
  <c r="CI6" i="5"/>
  <c r="CE6" i="5"/>
  <c r="CC6" i="5"/>
  <c r="BZ6" i="5"/>
  <c r="BV6" i="5"/>
  <c r="BT6" i="5"/>
  <c r="BQ6" i="5"/>
  <c r="BM6" i="5"/>
  <c r="BK6" i="5"/>
  <c r="BL6" i="5" s="1"/>
  <c r="BH6" i="5"/>
  <c r="BD6" i="5"/>
  <c r="BB6" i="5"/>
  <c r="AY6" i="5"/>
  <c r="AU6" i="5"/>
  <c r="AS6" i="5"/>
  <c r="AP6" i="5"/>
  <c r="AL6" i="5"/>
  <c r="AJ6" i="5"/>
  <c r="AG6" i="5"/>
  <c r="AC6" i="5"/>
  <c r="AA6" i="5"/>
  <c r="AB6" i="5" s="1"/>
  <c r="X6" i="5"/>
  <c r="T6" i="5"/>
  <c r="R6" i="5"/>
  <c r="O6" i="5"/>
  <c r="K6" i="5"/>
  <c r="I6" i="5"/>
  <c r="F6" i="5"/>
  <c r="DF5" i="5"/>
  <c r="DD5" i="5"/>
  <c r="DA5" i="5"/>
  <c r="CW5" i="5"/>
  <c r="CU5" i="5"/>
  <c r="CR5" i="5"/>
  <c r="CN5" i="5"/>
  <c r="CL5" i="5"/>
  <c r="CM5" i="5" s="1"/>
  <c r="CI5" i="5"/>
  <c r="CE5" i="5"/>
  <c r="CC5" i="5"/>
  <c r="BZ5" i="5"/>
  <c r="BV5" i="5"/>
  <c r="BT5" i="5"/>
  <c r="BQ5" i="5"/>
  <c r="BM5" i="5"/>
  <c r="BK5" i="5"/>
  <c r="BH5" i="5"/>
  <c r="BD5" i="5"/>
  <c r="BB5" i="5"/>
  <c r="BC5" i="5" s="1"/>
  <c r="AY5" i="5"/>
  <c r="AU5" i="5"/>
  <c r="AS5" i="5"/>
  <c r="AP5" i="5"/>
  <c r="AL5" i="5"/>
  <c r="AJ5" i="5"/>
  <c r="AG5" i="5"/>
  <c r="AC5" i="5"/>
  <c r="AA5" i="5"/>
  <c r="X5" i="5"/>
  <c r="T5" i="5"/>
  <c r="R5" i="5"/>
  <c r="S5" i="5" s="1"/>
  <c r="O5" i="5"/>
  <c r="K5" i="5"/>
  <c r="I5" i="5"/>
  <c r="F5" i="5"/>
  <c r="DF4" i="5"/>
  <c r="DD4" i="5"/>
  <c r="DE4" i="5" s="1"/>
  <c r="DA4" i="5"/>
  <c r="CW4" i="5"/>
  <c r="CU4" i="5"/>
  <c r="CV4" i="5" s="1"/>
  <c r="CR4" i="5"/>
  <c r="CN4" i="5"/>
  <c r="CL4" i="5"/>
  <c r="CM4" i="5" s="1"/>
  <c r="CI4" i="5"/>
  <c r="CE4" i="5"/>
  <c r="CC4" i="5"/>
  <c r="CD4" i="5" s="1"/>
  <c r="BZ4" i="5"/>
  <c r="BV4" i="5"/>
  <c r="BT4" i="5"/>
  <c r="BU4" i="5" s="1"/>
  <c r="BQ4" i="5"/>
  <c r="BM4" i="5"/>
  <c r="BK4" i="5"/>
  <c r="BL4" i="5" s="1"/>
  <c r="BH4" i="5"/>
  <c r="BD4" i="5"/>
  <c r="BB4" i="5"/>
  <c r="BC4" i="5" s="1"/>
  <c r="AY4" i="5"/>
  <c r="AU4" i="5"/>
  <c r="AS4" i="5"/>
  <c r="AT4" i="5" s="1"/>
  <c r="AP4" i="5"/>
  <c r="AL4" i="5"/>
  <c r="AJ4" i="5"/>
  <c r="AK4" i="5" s="1"/>
  <c r="AG4" i="5"/>
  <c r="AC4" i="5"/>
  <c r="AA4" i="5"/>
  <c r="AB4" i="5" s="1"/>
  <c r="X4" i="5"/>
  <c r="T4" i="5"/>
  <c r="R4" i="5"/>
  <c r="S4" i="5" s="1"/>
  <c r="O4" i="5"/>
  <c r="K4" i="5"/>
  <c r="I4" i="5"/>
  <c r="J4" i="5" s="1"/>
  <c r="F4" i="5"/>
  <c r="DF3" i="5"/>
  <c r="DE3" i="5"/>
  <c r="DD3" i="5"/>
  <c r="DA3" i="5"/>
  <c r="CW3" i="5"/>
  <c r="CV3" i="5"/>
  <c r="CU3" i="5"/>
  <c r="CR3" i="5"/>
  <c r="CN3" i="5"/>
  <c r="CM3" i="5"/>
  <c r="CL3" i="5"/>
  <c r="CI3" i="5"/>
  <c r="CE3" i="5"/>
  <c r="CD3" i="5"/>
  <c r="CC3" i="5"/>
  <c r="BZ3" i="5"/>
  <c r="BV3" i="5"/>
  <c r="BU3" i="5"/>
  <c r="BT3" i="5"/>
  <c r="BQ3" i="5"/>
  <c r="BM3" i="5"/>
  <c r="BL3" i="5"/>
  <c r="BK3" i="5"/>
  <c r="BH3" i="5"/>
  <c r="BD3" i="5"/>
  <c r="BC3" i="5"/>
  <c r="BB3" i="5"/>
  <c r="AY3" i="5"/>
  <c r="AU3" i="5"/>
  <c r="AT3" i="5"/>
  <c r="AS3" i="5"/>
  <c r="AP3" i="5"/>
  <c r="AL3" i="5"/>
  <c r="AK3" i="5"/>
  <c r="AJ3" i="5"/>
  <c r="AG3" i="5"/>
  <c r="AC3" i="5"/>
  <c r="AB3" i="5"/>
  <c r="AA3" i="5"/>
  <c r="X3" i="5"/>
  <c r="T3" i="5"/>
  <c r="S3" i="5"/>
  <c r="R3" i="5"/>
  <c r="O3" i="5"/>
  <c r="K3" i="5"/>
  <c r="J3" i="5"/>
  <c r="I3" i="5"/>
  <c r="F3" i="5"/>
  <c r="DF47" i="4"/>
  <c r="DD47" i="4"/>
  <c r="DA47" i="4"/>
  <c r="CW47" i="4"/>
  <c r="CU47" i="4"/>
  <c r="CV47" i="4" s="1"/>
  <c r="CR47" i="4"/>
  <c r="CN47" i="4"/>
  <c r="CL47" i="4"/>
  <c r="CI47" i="4"/>
  <c r="CE47" i="4"/>
  <c r="CC47" i="4"/>
  <c r="BZ47" i="4"/>
  <c r="BV47" i="4"/>
  <c r="BT47" i="4"/>
  <c r="BQ47" i="4"/>
  <c r="BM47" i="4"/>
  <c r="BK47" i="4"/>
  <c r="BL47" i="4" s="1"/>
  <c r="BH47" i="4"/>
  <c r="BD47" i="4"/>
  <c r="BB47" i="4"/>
  <c r="AY47" i="4"/>
  <c r="AU47" i="4"/>
  <c r="AS47" i="4"/>
  <c r="AP47" i="4"/>
  <c r="AL47" i="4"/>
  <c r="AJ47" i="4"/>
  <c r="AK47" i="4" s="1"/>
  <c r="AG47" i="4"/>
  <c r="AC47" i="4"/>
  <c r="AA47" i="4"/>
  <c r="AB47" i="4" s="1"/>
  <c r="X47" i="4"/>
  <c r="T47" i="4"/>
  <c r="R47" i="4"/>
  <c r="O47" i="4"/>
  <c r="K47" i="4"/>
  <c r="I47" i="4"/>
  <c r="F47" i="4"/>
  <c r="DF46" i="4"/>
  <c r="DD46" i="4"/>
  <c r="DA46" i="4"/>
  <c r="CW46" i="4"/>
  <c r="CU46" i="4"/>
  <c r="CR46" i="4"/>
  <c r="CN46" i="4"/>
  <c r="CL46" i="4"/>
  <c r="CM46" i="4" s="1"/>
  <c r="CI46" i="4"/>
  <c r="CE46" i="4"/>
  <c r="CC46" i="4"/>
  <c r="BZ46" i="4"/>
  <c r="BV46" i="4"/>
  <c r="BT46" i="4"/>
  <c r="BQ46" i="4"/>
  <c r="BM46" i="4"/>
  <c r="BK46" i="4"/>
  <c r="BH46" i="4"/>
  <c r="BD46" i="4"/>
  <c r="BB46" i="4"/>
  <c r="BC46" i="4" s="1"/>
  <c r="AY46" i="4"/>
  <c r="AU46" i="4"/>
  <c r="AS46" i="4"/>
  <c r="AP46" i="4"/>
  <c r="AL46" i="4"/>
  <c r="AJ46" i="4"/>
  <c r="AG46" i="4"/>
  <c r="AC46" i="4"/>
  <c r="AA46" i="4"/>
  <c r="X46" i="4"/>
  <c r="T46" i="4"/>
  <c r="R46" i="4"/>
  <c r="S46" i="4" s="1"/>
  <c r="O46" i="4"/>
  <c r="K46" i="4"/>
  <c r="I46" i="4"/>
  <c r="F46" i="4"/>
  <c r="DF45" i="4"/>
  <c r="DD45" i="4"/>
  <c r="DE45" i="4" s="1"/>
  <c r="DA45" i="4"/>
  <c r="CW45" i="4"/>
  <c r="CU45" i="4"/>
  <c r="CV45" i="4" s="1"/>
  <c r="CR45" i="4"/>
  <c r="CN45" i="4"/>
  <c r="CL45" i="4"/>
  <c r="CM45" i="4" s="1"/>
  <c r="CI45" i="4"/>
  <c r="CE45" i="4"/>
  <c r="CC45" i="4"/>
  <c r="CD45" i="4" s="1"/>
  <c r="BZ45" i="4"/>
  <c r="BV45" i="4"/>
  <c r="BT45" i="4"/>
  <c r="BU45" i="4" s="1"/>
  <c r="BQ45" i="4"/>
  <c r="BM45" i="4"/>
  <c r="BK45" i="4"/>
  <c r="BL45" i="4" s="1"/>
  <c r="BH45" i="4"/>
  <c r="BD45" i="4"/>
  <c r="BB45" i="4"/>
  <c r="BC45" i="4" s="1"/>
  <c r="AY45" i="4"/>
  <c r="AU45" i="4"/>
  <c r="AS45" i="4"/>
  <c r="AT45" i="4" s="1"/>
  <c r="AP45" i="4"/>
  <c r="AL45" i="4"/>
  <c r="AJ45" i="4"/>
  <c r="AK45" i="4" s="1"/>
  <c r="AG45" i="4"/>
  <c r="AC45" i="4"/>
  <c r="AA45" i="4"/>
  <c r="AB45" i="4" s="1"/>
  <c r="X45" i="4"/>
  <c r="T45" i="4"/>
  <c r="R45" i="4"/>
  <c r="S45" i="4" s="1"/>
  <c r="O45" i="4"/>
  <c r="K45" i="4"/>
  <c r="I45" i="4"/>
  <c r="J45" i="4" s="1"/>
  <c r="F45" i="4"/>
  <c r="DF44" i="4"/>
  <c r="DE44" i="4"/>
  <c r="DD44" i="4"/>
  <c r="DA44" i="4"/>
  <c r="CW44" i="4"/>
  <c r="CV44" i="4"/>
  <c r="CU44" i="4"/>
  <c r="CR44" i="4"/>
  <c r="CN44" i="4"/>
  <c r="CM44" i="4"/>
  <c r="CL44" i="4"/>
  <c r="CI44" i="4"/>
  <c r="CE44" i="4"/>
  <c r="CD44" i="4"/>
  <c r="CC44" i="4"/>
  <c r="BZ44" i="4"/>
  <c r="BV44" i="4"/>
  <c r="BU44" i="4"/>
  <c r="BT44" i="4"/>
  <c r="BQ44" i="4"/>
  <c r="BM44" i="4"/>
  <c r="BL44" i="4"/>
  <c r="BK44" i="4"/>
  <c r="BH44" i="4"/>
  <c r="BD44" i="4"/>
  <c r="BC44" i="4"/>
  <c r="BB44" i="4"/>
  <c r="AY44" i="4"/>
  <c r="AU44" i="4"/>
  <c r="AT44" i="4"/>
  <c r="AS44" i="4"/>
  <c r="AP44" i="4"/>
  <c r="AL44" i="4"/>
  <c r="AK44" i="4"/>
  <c r="AJ44" i="4"/>
  <c r="AG44" i="4"/>
  <c r="AC44" i="4"/>
  <c r="AB44" i="4"/>
  <c r="AA44" i="4"/>
  <c r="X44" i="4"/>
  <c r="T44" i="4"/>
  <c r="S44" i="4"/>
  <c r="R44" i="4"/>
  <c r="O44" i="4"/>
  <c r="K44" i="4"/>
  <c r="J44" i="4"/>
  <c r="I44" i="4"/>
  <c r="F44" i="4"/>
  <c r="DF43" i="4"/>
  <c r="DD43" i="4"/>
  <c r="DA43" i="4"/>
  <c r="CW43" i="4"/>
  <c r="CU43" i="4"/>
  <c r="CV43" i="4" s="1"/>
  <c r="CR43" i="4"/>
  <c r="CN43" i="4"/>
  <c r="CL43" i="4"/>
  <c r="CI43" i="4"/>
  <c r="CE43" i="4"/>
  <c r="CC43" i="4"/>
  <c r="BZ43" i="4"/>
  <c r="BV43" i="4"/>
  <c r="BT43" i="4"/>
  <c r="BQ43" i="4"/>
  <c r="BM43" i="4"/>
  <c r="BK43" i="4"/>
  <c r="BL43" i="4" s="1"/>
  <c r="BH43" i="4"/>
  <c r="BD43" i="4"/>
  <c r="BB43" i="4"/>
  <c r="AY43" i="4"/>
  <c r="AU43" i="4"/>
  <c r="AS43" i="4"/>
  <c r="AP43" i="4"/>
  <c r="AL43" i="4"/>
  <c r="AJ43" i="4"/>
  <c r="AG43" i="4"/>
  <c r="AC43" i="4"/>
  <c r="AA43" i="4"/>
  <c r="AB43" i="4" s="1"/>
  <c r="X43" i="4"/>
  <c r="T43" i="4"/>
  <c r="R43" i="4"/>
  <c r="O43" i="4"/>
  <c r="K43" i="4"/>
  <c r="I43" i="4"/>
  <c r="F43" i="4"/>
  <c r="DF42" i="4"/>
  <c r="DD42" i="4"/>
  <c r="DA42" i="4"/>
  <c r="CW42" i="4"/>
  <c r="CU42" i="4"/>
  <c r="CR42" i="4"/>
  <c r="CN42" i="4"/>
  <c r="CL42" i="4"/>
  <c r="CM42" i="4" s="1"/>
  <c r="CI42" i="4"/>
  <c r="CE42" i="4"/>
  <c r="CC42" i="4"/>
  <c r="BZ42" i="4"/>
  <c r="BV42" i="4"/>
  <c r="BT42" i="4"/>
  <c r="BQ42" i="4"/>
  <c r="BM42" i="4"/>
  <c r="BK42" i="4"/>
  <c r="BH42" i="4"/>
  <c r="BD42" i="4"/>
  <c r="BB42" i="4"/>
  <c r="BC42" i="4" s="1"/>
  <c r="AY42" i="4"/>
  <c r="AU42" i="4"/>
  <c r="AS42" i="4"/>
  <c r="AP42" i="4"/>
  <c r="AL42" i="4"/>
  <c r="AJ42" i="4"/>
  <c r="AG42" i="4"/>
  <c r="AC42" i="4"/>
  <c r="AA42" i="4"/>
  <c r="X42" i="4"/>
  <c r="T42" i="4"/>
  <c r="R42" i="4"/>
  <c r="S42" i="4" s="1"/>
  <c r="O42" i="4"/>
  <c r="K42" i="4"/>
  <c r="I42" i="4"/>
  <c r="F42" i="4"/>
  <c r="DF41" i="4"/>
  <c r="DD41" i="4"/>
  <c r="DE41" i="4" s="1"/>
  <c r="DA41" i="4"/>
  <c r="CW41" i="4"/>
  <c r="CU41" i="4"/>
  <c r="CV41" i="4" s="1"/>
  <c r="CR41" i="4"/>
  <c r="CN41" i="4"/>
  <c r="CL41" i="4"/>
  <c r="CM41" i="4" s="1"/>
  <c r="CI41" i="4"/>
  <c r="CE41" i="4"/>
  <c r="CC41" i="4"/>
  <c r="CD41" i="4" s="1"/>
  <c r="BZ41" i="4"/>
  <c r="BV41" i="4"/>
  <c r="BT41" i="4"/>
  <c r="BU41" i="4" s="1"/>
  <c r="BQ41" i="4"/>
  <c r="BM41" i="4"/>
  <c r="BK41" i="4"/>
  <c r="BL41" i="4" s="1"/>
  <c r="BH41" i="4"/>
  <c r="BD41" i="4"/>
  <c r="BB41" i="4"/>
  <c r="BC41" i="4" s="1"/>
  <c r="AY41" i="4"/>
  <c r="AU41" i="4"/>
  <c r="AS41" i="4"/>
  <c r="AT41" i="4" s="1"/>
  <c r="AP41" i="4"/>
  <c r="AL41" i="4"/>
  <c r="AJ41" i="4"/>
  <c r="AK41" i="4" s="1"/>
  <c r="AG41" i="4"/>
  <c r="AC41" i="4"/>
  <c r="AA41" i="4"/>
  <c r="AB41" i="4" s="1"/>
  <c r="X41" i="4"/>
  <c r="T41" i="4"/>
  <c r="R41" i="4"/>
  <c r="S41" i="4" s="1"/>
  <c r="O41" i="4"/>
  <c r="K41" i="4"/>
  <c r="I41" i="4"/>
  <c r="J41" i="4" s="1"/>
  <c r="F41" i="4"/>
  <c r="DF40" i="4"/>
  <c r="DE40" i="4"/>
  <c r="DD40" i="4"/>
  <c r="DA40" i="4"/>
  <c r="CW40" i="4"/>
  <c r="CV40" i="4"/>
  <c r="CU40" i="4"/>
  <c r="CR40" i="4"/>
  <c r="CN40" i="4"/>
  <c r="CM40" i="4"/>
  <c r="CL40" i="4"/>
  <c r="CI40" i="4"/>
  <c r="CE40" i="4"/>
  <c r="CD40" i="4"/>
  <c r="CC40" i="4"/>
  <c r="BZ40" i="4"/>
  <c r="BV40" i="4"/>
  <c r="BU40" i="4"/>
  <c r="BT40" i="4"/>
  <c r="BQ40" i="4"/>
  <c r="BM40" i="4"/>
  <c r="BL40" i="4"/>
  <c r="BK40" i="4"/>
  <c r="BH40" i="4"/>
  <c r="BD40" i="4"/>
  <c r="BC40" i="4"/>
  <c r="BB40" i="4"/>
  <c r="AY40" i="4"/>
  <c r="AU40" i="4"/>
  <c r="AT40" i="4"/>
  <c r="AS40" i="4"/>
  <c r="AP40" i="4"/>
  <c r="AL40" i="4"/>
  <c r="AK40" i="4"/>
  <c r="AJ40" i="4"/>
  <c r="AG40" i="4"/>
  <c r="AC40" i="4"/>
  <c r="AB40" i="4"/>
  <c r="AA40" i="4"/>
  <c r="X40" i="4"/>
  <c r="T40" i="4"/>
  <c r="S40" i="4"/>
  <c r="R40" i="4"/>
  <c r="O40" i="4"/>
  <c r="K40" i="4"/>
  <c r="J40" i="4"/>
  <c r="I40" i="4"/>
  <c r="F40" i="4"/>
  <c r="DF39" i="4"/>
  <c r="DD39" i="4"/>
  <c r="DA39" i="4"/>
  <c r="CW39" i="4"/>
  <c r="CU39" i="4"/>
  <c r="CV39" i="4" s="1"/>
  <c r="CR39" i="4"/>
  <c r="CN39" i="4"/>
  <c r="CL39" i="4"/>
  <c r="CI39" i="4"/>
  <c r="CE39" i="4"/>
  <c r="CC39" i="4"/>
  <c r="BZ39" i="4"/>
  <c r="BV39" i="4"/>
  <c r="BT39" i="4"/>
  <c r="BQ39" i="4"/>
  <c r="BM39" i="4"/>
  <c r="BK39" i="4"/>
  <c r="BL39" i="4" s="1"/>
  <c r="BH39" i="4"/>
  <c r="BD39" i="4"/>
  <c r="BB39" i="4"/>
  <c r="AY39" i="4"/>
  <c r="AU39" i="4"/>
  <c r="AS39" i="4"/>
  <c r="AP39" i="4"/>
  <c r="AL39" i="4"/>
  <c r="AJ39" i="4"/>
  <c r="AG39" i="4"/>
  <c r="AC39" i="4"/>
  <c r="AA39" i="4"/>
  <c r="AB39" i="4" s="1"/>
  <c r="X39" i="4"/>
  <c r="T39" i="4"/>
  <c r="R39" i="4"/>
  <c r="O39" i="4"/>
  <c r="K39" i="4"/>
  <c r="I39" i="4"/>
  <c r="F39" i="4"/>
  <c r="DF38" i="4"/>
  <c r="DD38" i="4"/>
  <c r="DA38" i="4"/>
  <c r="CW38" i="4"/>
  <c r="CU38" i="4"/>
  <c r="CV38" i="4" s="1"/>
  <c r="CR38" i="4"/>
  <c r="CN38" i="4"/>
  <c r="CL38" i="4"/>
  <c r="CM38" i="4" s="1"/>
  <c r="CI38" i="4"/>
  <c r="CE38" i="4"/>
  <c r="CC38" i="4"/>
  <c r="BZ38" i="4"/>
  <c r="BV38" i="4"/>
  <c r="BT38" i="4"/>
  <c r="BQ38" i="4"/>
  <c r="BM38" i="4"/>
  <c r="BK38" i="4"/>
  <c r="BL38" i="4" s="1"/>
  <c r="BH38" i="4"/>
  <c r="BD38" i="4"/>
  <c r="BB38" i="4"/>
  <c r="BC38" i="4" s="1"/>
  <c r="AY38" i="4"/>
  <c r="AU38" i="4"/>
  <c r="AS38" i="4"/>
  <c r="AP38" i="4"/>
  <c r="AL38" i="4"/>
  <c r="AJ38" i="4"/>
  <c r="AG38" i="4"/>
  <c r="AC38" i="4"/>
  <c r="AA38" i="4"/>
  <c r="AB38" i="4" s="1"/>
  <c r="X38" i="4"/>
  <c r="T38" i="4"/>
  <c r="R38" i="4"/>
  <c r="S38" i="4" s="1"/>
  <c r="O38" i="4"/>
  <c r="K38" i="4"/>
  <c r="I38" i="4"/>
  <c r="F38" i="4"/>
  <c r="DF37" i="4"/>
  <c r="DD37" i="4"/>
  <c r="DE37" i="4" s="1"/>
  <c r="DA37" i="4"/>
  <c r="CW37" i="4"/>
  <c r="CU37" i="4"/>
  <c r="CV37" i="4" s="1"/>
  <c r="CR37" i="4"/>
  <c r="CN37" i="4"/>
  <c r="CL37" i="4"/>
  <c r="CM37" i="4" s="1"/>
  <c r="CI37" i="4"/>
  <c r="CE37" i="4"/>
  <c r="CC37" i="4"/>
  <c r="CD37" i="4" s="1"/>
  <c r="BZ37" i="4"/>
  <c r="BV37" i="4"/>
  <c r="BT37" i="4"/>
  <c r="BU37" i="4" s="1"/>
  <c r="BQ37" i="4"/>
  <c r="BM37" i="4"/>
  <c r="BK37" i="4"/>
  <c r="BL37" i="4" s="1"/>
  <c r="BH37" i="4"/>
  <c r="BD37" i="4"/>
  <c r="BB37" i="4"/>
  <c r="BC37" i="4" s="1"/>
  <c r="AY37" i="4"/>
  <c r="AU37" i="4"/>
  <c r="AS37" i="4"/>
  <c r="AT37" i="4" s="1"/>
  <c r="AP37" i="4"/>
  <c r="AL37" i="4"/>
  <c r="AJ37" i="4"/>
  <c r="AK37" i="4" s="1"/>
  <c r="AG37" i="4"/>
  <c r="AC37" i="4"/>
  <c r="AA37" i="4"/>
  <c r="AB37" i="4" s="1"/>
  <c r="X37" i="4"/>
  <c r="T37" i="4"/>
  <c r="R37" i="4"/>
  <c r="S37" i="4" s="1"/>
  <c r="O37" i="4"/>
  <c r="K37" i="4"/>
  <c r="I37" i="4"/>
  <c r="J37" i="4" s="1"/>
  <c r="F37" i="4"/>
  <c r="DF36" i="4"/>
  <c r="DE36" i="4"/>
  <c r="DD36" i="4"/>
  <c r="DA36" i="4"/>
  <c r="CW36" i="4"/>
  <c r="CV36" i="4"/>
  <c r="CU36" i="4"/>
  <c r="CR36" i="4"/>
  <c r="CN36" i="4"/>
  <c r="CM36" i="4"/>
  <c r="CL36" i="4"/>
  <c r="CI36" i="4"/>
  <c r="CE36" i="4"/>
  <c r="CD36" i="4"/>
  <c r="CC36" i="4"/>
  <c r="BZ36" i="4"/>
  <c r="BV36" i="4"/>
  <c r="BU36" i="4"/>
  <c r="BT36" i="4"/>
  <c r="BQ36" i="4"/>
  <c r="BM36" i="4"/>
  <c r="BL36" i="4"/>
  <c r="BK36" i="4"/>
  <c r="BH36" i="4"/>
  <c r="BD36" i="4"/>
  <c r="BC36" i="4"/>
  <c r="BB36" i="4"/>
  <c r="AY36" i="4"/>
  <c r="AU36" i="4"/>
  <c r="AT36" i="4"/>
  <c r="AS36" i="4"/>
  <c r="AP36" i="4"/>
  <c r="AL36" i="4"/>
  <c r="AK36" i="4"/>
  <c r="AJ36" i="4"/>
  <c r="AG36" i="4"/>
  <c r="AC36" i="4"/>
  <c r="AB36" i="4"/>
  <c r="AA36" i="4"/>
  <c r="X36" i="4"/>
  <c r="T36" i="4"/>
  <c r="S36" i="4"/>
  <c r="R36" i="4"/>
  <c r="O36" i="4"/>
  <c r="K36" i="4"/>
  <c r="J36" i="4"/>
  <c r="I36" i="4"/>
  <c r="F36" i="4"/>
  <c r="DF35" i="4"/>
  <c r="DD35" i="4"/>
  <c r="DA35" i="4"/>
  <c r="CW35" i="4"/>
  <c r="CU35" i="4"/>
  <c r="CV35" i="4" s="1"/>
  <c r="CR35" i="4"/>
  <c r="CN35" i="4"/>
  <c r="CL35" i="4"/>
  <c r="CI35" i="4"/>
  <c r="CE35" i="4"/>
  <c r="CC35" i="4"/>
  <c r="BZ35" i="4"/>
  <c r="BV35" i="4"/>
  <c r="BT35" i="4"/>
  <c r="BQ35" i="4"/>
  <c r="BM35" i="4"/>
  <c r="BK35" i="4"/>
  <c r="BL35" i="4" s="1"/>
  <c r="BH35" i="4"/>
  <c r="BD35" i="4"/>
  <c r="BB35" i="4"/>
  <c r="AY35" i="4"/>
  <c r="AU35" i="4"/>
  <c r="AS35" i="4"/>
  <c r="AP35" i="4"/>
  <c r="AL35" i="4"/>
  <c r="AJ35" i="4"/>
  <c r="AG35" i="4"/>
  <c r="AC35" i="4"/>
  <c r="AA35" i="4"/>
  <c r="AB35" i="4" s="1"/>
  <c r="X35" i="4"/>
  <c r="T35" i="4"/>
  <c r="R35" i="4"/>
  <c r="O35" i="4"/>
  <c r="K35" i="4"/>
  <c r="I35" i="4"/>
  <c r="F35" i="4"/>
  <c r="DF34" i="4"/>
  <c r="DD34" i="4"/>
  <c r="DA34" i="4"/>
  <c r="CW34" i="4"/>
  <c r="CU34" i="4"/>
  <c r="CV34" i="4" s="1"/>
  <c r="CR34" i="4"/>
  <c r="CN34" i="4"/>
  <c r="CL34" i="4"/>
  <c r="CM34" i="4" s="1"/>
  <c r="CI34" i="4"/>
  <c r="CE34" i="4"/>
  <c r="CC34" i="4"/>
  <c r="BZ34" i="4"/>
  <c r="BV34" i="4"/>
  <c r="BT34" i="4"/>
  <c r="BQ34" i="4"/>
  <c r="BM34" i="4"/>
  <c r="BK34" i="4"/>
  <c r="BL34" i="4" s="1"/>
  <c r="BH34" i="4"/>
  <c r="BD34" i="4"/>
  <c r="BB34" i="4"/>
  <c r="BC34" i="4" s="1"/>
  <c r="AY34" i="4"/>
  <c r="AU34" i="4"/>
  <c r="AS34" i="4"/>
  <c r="AP34" i="4"/>
  <c r="AL34" i="4"/>
  <c r="AJ34" i="4"/>
  <c r="AG34" i="4"/>
  <c r="AC34" i="4"/>
  <c r="AA34" i="4"/>
  <c r="AB34" i="4" s="1"/>
  <c r="X34" i="4"/>
  <c r="T34" i="4"/>
  <c r="R34" i="4"/>
  <c r="S34" i="4" s="1"/>
  <c r="O34" i="4"/>
  <c r="K34" i="4"/>
  <c r="I34" i="4"/>
  <c r="F34" i="4"/>
  <c r="DF33" i="4"/>
  <c r="DD33" i="4"/>
  <c r="DE33" i="4" s="1"/>
  <c r="DA33" i="4"/>
  <c r="CW33" i="4"/>
  <c r="CU33" i="4"/>
  <c r="CV33" i="4" s="1"/>
  <c r="CR33" i="4"/>
  <c r="CN33" i="4"/>
  <c r="CL33" i="4"/>
  <c r="CM33" i="4" s="1"/>
  <c r="CI33" i="4"/>
  <c r="CE33" i="4"/>
  <c r="CC33" i="4"/>
  <c r="CD33" i="4" s="1"/>
  <c r="BZ33" i="4"/>
  <c r="BV33" i="4"/>
  <c r="BT33" i="4"/>
  <c r="BU33" i="4" s="1"/>
  <c r="BQ33" i="4"/>
  <c r="BM33" i="4"/>
  <c r="BK33" i="4"/>
  <c r="BL33" i="4" s="1"/>
  <c r="BH33" i="4"/>
  <c r="BD33" i="4"/>
  <c r="BB33" i="4"/>
  <c r="BC33" i="4" s="1"/>
  <c r="AY33" i="4"/>
  <c r="AU33" i="4"/>
  <c r="AS33" i="4"/>
  <c r="AT33" i="4" s="1"/>
  <c r="AP33" i="4"/>
  <c r="AL33" i="4"/>
  <c r="AJ33" i="4"/>
  <c r="AK33" i="4" s="1"/>
  <c r="AG33" i="4"/>
  <c r="AC33" i="4"/>
  <c r="AA33" i="4"/>
  <c r="AB33" i="4" s="1"/>
  <c r="X33" i="4"/>
  <c r="T33" i="4"/>
  <c r="R33" i="4"/>
  <c r="S33" i="4" s="1"/>
  <c r="O33" i="4"/>
  <c r="K33" i="4"/>
  <c r="I33" i="4"/>
  <c r="J33" i="4" s="1"/>
  <c r="F33" i="4"/>
  <c r="DF32" i="4"/>
  <c r="DE32" i="4"/>
  <c r="DD32" i="4"/>
  <c r="DA32" i="4"/>
  <c r="CW32" i="4"/>
  <c r="CV32" i="4"/>
  <c r="CU32" i="4"/>
  <c r="CR32" i="4"/>
  <c r="CN32" i="4"/>
  <c r="CM32" i="4"/>
  <c r="CL32" i="4"/>
  <c r="CI32" i="4"/>
  <c r="CE32" i="4"/>
  <c r="CD32" i="4"/>
  <c r="CC32" i="4"/>
  <c r="BZ32" i="4"/>
  <c r="BV32" i="4"/>
  <c r="BU32" i="4"/>
  <c r="BT32" i="4"/>
  <c r="BQ32" i="4"/>
  <c r="BM32" i="4"/>
  <c r="BL32" i="4"/>
  <c r="BK32" i="4"/>
  <c r="BH32" i="4"/>
  <c r="BD32" i="4"/>
  <c r="BC32" i="4"/>
  <c r="BB32" i="4"/>
  <c r="AY32" i="4"/>
  <c r="AU32" i="4"/>
  <c r="AT32" i="4"/>
  <c r="AS32" i="4"/>
  <c r="AP32" i="4"/>
  <c r="AL32" i="4"/>
  <c r="AK32" i="4"/>
  <c r="AJ32" i="4"/>
  <c r="AG32" i="4"/>
  <c r="AC32" i="4"/>
  <c r="AB32" i="4"/>
  <c r="AA32" i="4"/>
  <c r="X32" i="4"/>
  <c r="T32" i="4"/>
  <c r="S32" i="4"/>
  <c r="R32" i="4"/>
  <c r="O32" i="4"/>
  <c r="K32" i="4"/>
  <c r="J32" i="4"/>
  <c r="I32" i="4"/>
  <c r="F32" i="4"/>
  <c r="DF31" i="4"/>
  <c r="DD31" i="4"/>
  <c r="DA31" i="4"/>
  <c r="CW31" i="4"/>
  <c r="CV31" i="4"/>
  <c r="CU31" i="4"/>
  <c r="CR31" i="4"/>
  <c r="CN31" i="4"/>
  <c r="CM31" i="4"/>
  <c r="CL31" i="4"/>
  <c r="CI31" i="4"/>
  <c r="CE31" i="4"/>
  <c r="CD31" i="4"/>
  <c r="CC31" i="4"/>
  <c r="BZ31" i="4"/>
  <c r="BV31" i="4"/>
  <c r="BU31" i="4"/>
  <c r="BT31" i="4"/>
  <c r="BQ31" i="4"/>
  <c r="BM31" i="4"/>
  <c r="BL31" i="4"/>
  <c r="BK31" i="4"/>
  <c r="BH31" i="4"/>
  <c r="BD31" i="4"/>
  <c r="BC31" i="4"/>
  <c r="BB31" i="4"/>
  <c r="AY31" i="4"/>
  <c r="AU31" i="4"/>
  <c r="AT31" i="4"/>
  <c r="AS31" i="4"/>
  <c r="AP31" i="4"/>
  <c r="AL31" i="4"/>
  <c r="AK31" i="4"/>
  <c r="AJ31" i="4"/>
  <c r="AG31" i="4"/>
  <c r="AC31" i="4"/>
  <c r="AB31" i="4"/>
  <c r="AA31" i="4"/>
  <c r="X31" i="4"/>
  <c r="T31" i="4"/>
  <c r="S31" i="4"/>
  <c r="R31" i="4"/>
  <c r="O31" i="4"/>
  <c r="K31" i="4"/>
  <c r="J31" i="4"/>
  <c r="I31" i="4"/>
  <c r="F31" i="4"/>
  <c r="DF30" i="4"/>
  <c r="DD30" i="4"/>
  <c r="DE30" i="4" s="1"/>
  <c r="DA30" i="4"/>
  <c r="CW30" i="4"/>
  <c r="CU30" i="4"/>
  <c r="CV30" i="4" s="1"/>
  <c r="CR30" i="4"/>
  <c r="CN30" i="4"/>
  <c r="CL30" i="4"/>
  <c r="CI30" i="4"/>
  <c r="CE30" i="4"/>
  <c r="CC30" i="4"/>
  <c r="BZ30" i="4"/>
  <c r="BV30" i="4"/>
  <c r="BT30" i="4"/>
  <c r="BU30" i="4" s="1"/>
  <c r="BQ30" i="4"/>
  <c r="BM30" i="4"/>
  <c r="BK30" i="4"/>
  <c r="BL30" i="4" s="1"/>
  <c r="BH30" i="4"/>
  <c r="BD30" i="4"/>
  <c r="BB30" i="4"/>
  <c r="AY30" i="4"/>
  <c r="AU30" i="4"/>
  <c r="AS30" i="4"/>
  <c r="AP30" i="4"/>
  <c r="AL30" i="4"/>
  <c r="AJ30" i="4"/>
  <c r="AK30" i="4" s="1"/>
  <c r="AG30" i="4"/>
  <c r="AC30" i="4"/>
  <c r="AA30" i="4"/>
  <c r="AB30" i="4" s="1"/>
  <c r="X30" i="4"/>
  <c r="T30" i="4"/>
  <c r="R30" i="4"/>
  <c r="O30" i="4"/>
  <c r="K30" i="4"/>
  <c r="I30" i="4"/>
  <c r="F30" i="4"/>
  <c r="DF29" i="4"/>
  <c r="DD29" i="4"/>
  <c r="DA29" i="4"/>
  <c r="CW29" i="4"/>
  <c r="CU29" i="4"/>
  <c r="CV29" i="4" s="1"/>
  <c r="CR29" i="4"/>
  <c r="CN29" i="4"/>
  <c r="CL29" i="4"/>
  <c r="CM29" i="4" s="1"/>
  <c r="CI29" i="4"/>
  <c r="CE29" i="4"/>
  <c r="CC29" i="4"/>
  <c r="BZ29" i="4"/>
  <c r="BV29" i="4"/>
  <c r="BT29" i="4"/>
  <c r="BQ29" i="4"/>
  <c r="BM29" i="4"/>
  <c r="BK29" i="4"/>
  <c r="BL29" i="4" s="1"/>
  <c r="BH29" i="4"/>
  <c r="BD29" i="4"/>
  <c r="BB29" i="4"/>
  <c r="BC29" i="4" s="1"/>
  <c r="AY29" i="4"/>
  <c r="AU29" i="4"/>
  <c r="AS29" i="4"/>
  <c r="AP29" i="4"/>
  <c r="AL29" i="4"/>
  <c r="AJ29" i="4"/>
  <c r="AG29" i="4"/>
  <c r="AC29" i="4"/>
  <c r="AA29" i="4"/>
  <c r="AB29" i="4" s="1"/>
  <c r="X29" i="4"/>
  <c r="T29" i="4"/>
  <c r="R29" i="4"/>
  <c r="S29" i="4" s="1"/>
  <c r="O29" i="4"/>
  <c r="K29" i="4"/>
  <c r="I29" i="4"/>
  <c r="F29" i="4"/>
  <c r="DF28" i="4"/>
  <c r="DD28" i="4"/>
  <c r="DE28" i="4" s="1"/>
  <c r="DA28" i="4"/>
  <c r="CW28" i="4"/>
  <c r="CU28" i="4"/>
  <c r="CV28" i="4" s="1"/>
  <c r="CR28" i="4"/>
  <c r="CN28" i="4"/>
  <c r="CL28" i="4"/>
  <c r="CM28" i="4" s="1"/>
  <c r="CI28" i="4"/>
  <c r="CE28" i="4"/>
  <c r="CC28" i="4"/>
  <c r="CD28" i="4" s="1"/>
  <c r="BZ28" i="4"/>
  <c r="BV28" i="4"/>
  <c r="BT28" i="4"/>
  <c r="BU28" i="4" s="1"/>
  <c r="BQ28" i="4"/>
  <c r="BM28" i="4"/>
  <c r="BK28" i="4"/>
  <c r="BL28" i="4" s="1"/>
  <c r="BH28" i="4"/>
  <c r="BD28" i="4"/>
  <c r="BB28" i="4"/>
  <c r="BC28" i="4" s="1"/>
  <c r="AY28" i="4"/>
  <c r="AU28" i="4"/>
  <c r="AS28" i="4"/>
  <c r="AT28" i="4" s="1"/>
  <c r="AP28" i="4"/>
  <c r="AL28" i="4"/>
  <c r="AJ28" i="4"/>
  <c r="AK28" i="4" s="1"/>
  <c r="AG28" i="4"/>
  <c r="AC28" i="4"/>
  <c r="AA28" i="4"/>
  <c r="AB28" i="4" s="1"/>
  <c r="X28" i="4"/>
  <c r="T28" i="4"/>
  <c r="R28" i="4"/>
  <c r="S28" i="4" s="1"/>
  <c r="O28" i="4"/>
  <c r="K28" i="4"/>
  <c r="I28" i="4"/>
  <c r="J28" i="4" s="1"/>
  <c r="F28" i="4"/>
  <c r="DF27" i="4"/>
  <c r="DE27" i="4"/>
  <c r="DD27" i="4"/>
  <c r="DA27" i="4"/>
  <c r="CW27" i="4"/>
  <c r="CV27" i="4"/>
  <c r="CU27" i="4"/>
  <c r="CR27" i="4"/>
  <c r="CN27" i="4"/>
  <c r="CM27" i="4"/>
  <c r="CL27" i="4"/>
  <c r="CI27" i="4"/>
  <c r="CE27" i="4"/>
  <c r="CD27" i="4"/>
  <c r="CC27" i="4"/>
  <c r="BZ27" i="4"/>
  <c r="BV27" i="4"/>
  <c r="BU27" i="4"/>
  <c r="BT27" i="4"/>
  <c r="BQ27" i="4"/>
  <c r="BM27" i="4"/>
  <c r="BL27" i="4"/>
  <c r="BK27" i="4"/>
  <c r="BH27" i="4"/>
  <c r="BD27" i="4"/>
  <c r="BC27" i="4"/>
  <c r="BB27" i="4"/>
  <c r="AY27" i="4"/>
  <c r="AU27" i="4"/>
  <c r="AT27" i="4"/>
  <c r="AS27" i="4"/>
  <c r="AP27" i="4"/>
  <c r="AL27" i="4"/>
  <c r="AK27" i="4"/>
  <c r="AJ27" i="4"/>
  <c r="AG27" i="4"/>
  <c r="AC27" i="4"/>
  <c r="AB27" i="4"/>
  <c r="AA27" i="4"/>
  <c r="X27" i="4"/>
  <c r="T27" i="4"/>
  <c r="S27" i="4"/>
  <c r="R27" i="4"/>
  <c r="O27" i="4"/>
  <c r="K27" i="4"/>
  <c r="J27" i="4"/>
  <c r="I27" i="4"/>
  <c r="F27" i="4"/>
  <c r="DF26" i="4"/>
  <c r="DD26" i="4"/>
  <c r="DE26" i="4" s="1"/>
  <c r="DA26" i="4"/>
  <c r="CW26" i="4"/>
  <c r="CU26" i="4"/>
  <c r="CV26" i="4" s="1"/>
  <c r="CR26" i="4"/>
  <c r="CN26" i="4"/>
  <c r="CL26" i="4"/>
  <c r="CI26" i="4"/>
  <c r="CE26" i="4"/>
  <c r="CC26" i="4"/>
  <c r="BZ26" i="4"/>
  <c r="BV26" i="4"/>
  <c r="BT26" i="4"/>
  <c r="BU26" i="4" s="1"/>
  <c r="BQ26" i="4"/>
  <c r="BM26" i="4"/>
  <c r="BK26" i="4"/>
  <c r="BL26" i="4" s="1"/>
  <c r="BH26" i="4"/>
  <c r="BD26" i="4"/>
  <c r="BB26" i="4"/>
  <c r="AY26" i="4"/>
  <c r="AU26" i="4"/>
  <c r="AS26" i="4"/>
  <c r="AP26" i="4"/>
  <c r="AL26" i="4"/>
  <c r="AJ26" i="4"/>
  <c r="AK26" i="4" s="1"/>
  <c r="AG26" i="4"/>
  <c r="AC26" i="4"/>
  <c r="AA26" i="4"/>
  <c r="AB26" i="4" s="1"/>
  <c r="X26" i="4"/>
  <c r="T26" i="4"/>
  <c r="R26" i="4"/>
  <c r="O26" i="4"/>
  <c r="K26" i="4"/>
  <c r="I26" i="4"/>
  <c r="F26" i="4"/>
  <c r="DF25" i="4"/>
  <c r="DD25" i="4"/>
  <c r="DA25" i="4"/>
  <c r="CW25" i="4"/>
  <c r="CU25" i="4"/>
  <c r="CV25" i="4" s="1"/>
  <c r="CR25" i="4"/>
  <c r="CN25" i="4"/>
  <c r="CL25" i="4"/>
  <c r="CM25" i="4" s="1"/>
  <c r="CI25" i="4"/>
  <c r="CE25" i="4"/>
  <c r="CC25" i="4"/>
  <c r="BZ25" i="4"/>
  <c r="BV25" i="4"/>
  <c r="BT25" i="4"/>
  <c r="BQ25" i="4"/>
  <c r="BM25" i="4"/>
  <c r="BK25" i="4"/>
  <c r="BL25" i="4" s="1"/>
  <c r="BH25" i="4"/>
  <c r="BD25" i="4"/>
  <c r="BB25" i="4"/>
  <c r="BC25" i="4" s="1"/>
  <c r="AY25" i="4"/>
  <c r="AU25" i="4"/>
  <c r="AS25" i="4"/>
  <c r="AP25" i="4"/>
  <c r="AL25" i="4"/>
  <c r="AJ25" i="4"/>
  <c r="AG25" i="4"/>
  <c r="AC25" i="4"/>
  <c r="AA25" i="4"/>
  <c r="AB25" i="4" s="1"/>
  <c r="X25" i="4"/>
  <c r="T25" i="4"/>
  <c r="R25" i="4"/>
  <c r="S25" i="4" s="1"/>
  <c r="O25" i="4"/>
  <c r="K25" i="4"/>
  <c r="I25" i="4"/>
  <c r="F25" i="4"/>
  <c r="DF24" i="4"/>
  <c r="DD24" i="4"/>
  <c r="DE24" i="4" s="1"/>
  <c r="DA24" i="4"/>
  <c r="CW24" i="4"/>
  <c r="CU24" i="4"/>
  <c r="CV24" i="4" s="1"/>
  <c r="CR24" i="4"/>
  <c r="CN24" i="4"/>
  <c r="CL24" i="4"/>
  <c r="CM24" i="4" s="1"/>
  <c r="CI24" i="4"/>
  <c r="CE24" i="4"/>
  <c r="CC24" i="4"/>
  <c r="CD24" i="4" s="1"/>
  <c r="BZ24" i="4"/>
  <c r="BV24" i="4"/>
  <c r="BT24" i="4"/>
  <c r="BU24" i="4" s="1"/>
  <c r="BQ24" i="4"/>
  <c r="BM24" i="4"/>
  <c r="BK24" i="4"/>
  <c r="BL24" i="4" s="1"/>
  <c r="BH24" i="4"/>
  <c r="BD24" i="4"/>
  <c r="BB24" i="4"/>
  <c r="BC24" i="4" s="1"/>
  <c r="AY24" i="4"/>
  <c r="AU24" i="4"/>
  <c r="AS24" i="4"/>
  <c r="AT24" i="4" s="1"/>
  <c r="AP24" i="4"/>
  <c r="AL24" i="4"/>
  <c r="AJ24" i="4"/>
  <c r="AK24" i="4" s="1"/>
  <c r="AG24" i="4"/>
  <c r="AC24" i="4"/>
  <c r="AA24" i="4"/>
  <c r="AB24" i="4" s="1"/>
  <c r="X24" i="4"/>
  <c r="T24" i="4"/>
  <c r="R24" i="4"/>
  <c r="S24" i="4" s="1"/>
  <c r="O24" i="4"/>
  <c r="K24" i="4"/>
  <c r="I24" i="4"/>
  <c r="J24" i="4" s="1"/>
  <c r="F24" i="4"/>
  <c r="DF23" i="4"/>
  <c r="DE23" i="4"/>
  <c r="DD23" i="4"/>
  <c r="DA23" i="4"/>
  <c r="CW23" i="4"/>
  <c r="CV23" i="4"/>
  <c r="CU23" i="4"/>
  <c r="CR23" i="4"/>
  <c r="CN23" i="4"/>
  <c r="CM23" i="4"/>
  <c r="CL23" i="4"/>
  <c r="CI23" i="4"/>
  <c r="CE23" i="4"/>
  <c r="CD23" i="4"/>
  <c r="CC23" i="4"/>
  <c r="BZ23" i="4"/>
  <c r="BV23" i="4"/>
  <c r="BU23" i="4"/>
  <c r="BT23" i="4"/>
  <c r="BQ23" i="4"/>
  <c r="BM23" i="4"/>
  <c r="BL23" i="4"/>
  <c r="BK23" i="4"/>
  <c r="BH23" i="4"/>
  <c r="BD23" i="4"/>
  <c r="BC23" i="4"/>
  <c r="BB23" i="4"/>
  <c r="AY23" i="4"/>
  <c r="AU23" i="4"/>
  <c r="AT23" i="4"/>
  <c r="AS23" i="4"/>
  <c r="AP23" i="4"/>
  <c r="AL23" i="4"/>
  <c r="AK23" i="4"/>
  <c r="AJ23" i="4"/>
  <c r="AG23" i="4"/>
  <c r="AC23" i="4"/>
  <c r="AB23" i="4"/>
  <c r="AA23" i="4"/>
  <c r="X23" i="4"/>
  <c r="T23" i="4"/>
  <c r="S23" i="4"/>
  <c r="R23" i="4"/>
  <c r="O23" i="4"/>
  <c r="K23" i="4"/>
  <c r="J23" i="4"/>
  <c r="I23" i="4"/>
  <c r="F23" i="4"/>
  <c r="DF22" i="4"/>
  <c r="DD22" i="4"/>
  <c r="DE22" i="4" s="1"/>
  <c r="DA22" i="4"/>
  <c r="CW22" i="4"/>
  <c r="CU22" i="4"/>
  <c r="CV22" i="4" s="1"/>
  <c r="CR22" i="4"/>
  <c r="CN22" i="4"/>
  <c r="CL22" i="4"/>
  <c r="CI22" i="4"/>
  <c r="CE22" i="4"/>
  <c r="CC22" i="4"/>
  <c r="BZ22" i="4"/>
  <c r="BV22" i="4"/>
  <c r="BT22" i="4"/>
  <c r="BU22" i="4" s="1"/>
  <c r="BQ22" i="4"/>
  <c r="BM22" i="4"/>
  <c r="BK22" i="4"/>
  <c r="BL22" i="4" s="1"/>
  <c r="BH22" i="4"/>
  <c r="BD22" i="4"/>
  <c r="BB22" i="4"/>
  <c r="AY22" i="4"/>
  <c r="AU22" i="4"/>
  <c r="AS22" i="4"/>
  <c r="AP22" i="4"/>
  <c r="AL22" i="4"/>
  <c r="AJ22" i="4"/>
  <c r="AK22" i="4" s="1"/>
  <c r="AG22" i="4"/>
  <c r="AC22" i="4"/>
  <c r="AA22" i="4"/>
  <c r="AB22" i="4" s="1"/>
  <c r="X22" i="4"/>
  <c r="T22" i="4"/>
  <c r="R22" i="4"/>
  <c r="O22" i="4"/>
  <c r="K22" i="4"/>
  <c r="I22" i="4"/>
  <c r="F22" i="4"/>
  <c r="DF21" i="4"/>
  <c r="DD21" i="4"/>
  <c r="DA21" i="4"/>
  <c r="CW21" i="4"/>
  <c r="CU21" i="4"/>
  <c r="CV21" i="4" s="1"/>
  <c r="CR21" i="4"/>
  <c r="CN21" i="4"/>
  <c r="CL21" i="4"/>
  <c r="CM21" i="4" s="1"/>
  <c r="CI21" i="4"/>
  <c r="CE21" i="4"/>
  <c r="CC21" i="4"/>
  <c r="BZ21" i="4"/>
  <c r="BV21" i="4"/>
  <c r="BT21" i="4"/>
  <c r="BQ21" i="4"/>
  <c r="BM21" i="4"/>
  <c r="BK21" i="4"/>
  <c r="BL21" i="4" s="1"/>
  <c r="BH21" i="4"/>
  <c r="BD21" i="4"/>
  <c r="BB21" i="4"/>
  <c r="BC21" i="4" s="1"/>
  <c r="AY21" i="4"/>
  <c r="AU21" i="4"/>
  <c r="AS21" i="4"/>
  <c r="AP21" i="4"/>
  <c r="AL21" i="4"/>
  <c r="AJ21" i="4"/>
  <c r="AG21" i="4"/>
  <c r="AC21" i="4"/>
  <c r="AA21" i="4"/>
  <c r="AB21" i="4" s="1"/>
  <c r="X21" i="4"/>
  <c r="T21" i="4"/>
  <c r="R21" i="4"/>
  <c r="S21" i="4" s="1"/>
  <c r="O21" i="4"/>
  <c r="K21" i="4"/>
  <c r="I21" i="4"/>
  <c r="F21" i="4"/>
  <c r="DF20" i="4"/>
  <c r="DD20" i="4"/>
  <c r="DE20" i="4" s="1"/>
  <c r="DA20" i="4"/>
  <c r="CW20" i="4"/>
  <c r="CU20" i="4"/>
  <c r="CV20" i="4" s="1"/>
  <c r="CR20" i="4"/>
  <c r="CN20" i="4"/>
  <c r="CL20" i="4"/>
  <c r="CM20" i="4" s="1"/>
  <c r="CI20" i="4"/>
  <c r="CE20" i="4"/>
  <c r="CC20" i="4"/>
  <c r="CD20" i="4" s="1"/>
  <c r="BZ20" i="4"/>
  <c r="BV20" i="4"/>
  <c r="BT20" i="4"/>
  <c r="BU20" i="4" s="1"/>
  <c r="BQ20" i="4"/>
  <c r="BM20" i="4"/>
  <c r="BK20" i="4"/>
  <c r="BL20" i="4" s="1"/>
  <c r="BH20" i="4"/>
  <c r="BD20" i="4"/>
  <c r="BB20" i="4"/>
  <c r="BC20" i="4" s="1"/>
  <c r="AY20" i="4"/>
  <c r="AU20" i="4"/>
  <c r="AS20" i="4"/>
  <c r="AT20" i="4" s="1"/>
  <c r="AP20" i="4"/>
  <c r="AL20" i="4"/>
  <c r="AJ20" i="4"/>
  <c r="AK20" i="4" s="1"/>
  <c r="AG20" i="4"/>
  <c r="AC20" i="4"/>
  <c r="AA20" i="4"/>
  <c r="AB20" i="4" s="1"/>
  <c r="X20" i="4"/>
  <c r="T20" i="4"/>
  <c r="R20" i="4"/>
  <c r="S20" i="4" s="1"/>
  <c r="O20" i="4"/>
  <c r="K20" i="4"/>
  <c r="I20" i="4"/>
  <c r="J20" i="4" s="1"/>
  <c r="F20" i="4"/>
  <c r="DF19" i="4"/>
  <c r="DE19" i="4"/>
  <c r="DD19" i="4"/>
  <c r="DA19" i="4"/>
  <c r="CW19" i="4"/>
  <c r="CV19" i="4"/>
  <c r="CU19" i="4"/>
  <c r="CR19" i="4"/>
  <c r="CN19" i="4"/>
  <c r="CM19" i="4"/>
  <c r="CL19" i="4"/>
  <c r="CI19" i="4"/>
  <c r="CE19" i="4"/>
  <c r="CD19" i="4"/>
  <c r="CC19" i="4"/>
  <c r="BZ19" i="4"/>
  <c r="BV19" i="4"/>
  <c r="BU19" i="4"/>
  <c r="BT19" i="4"/>
  <c r="BQ19" i="4"/>
  <c r="BM19" i="4"/>
  <c r="BL19" i="4"/>
  <c r="BK19" i="4"/>
  <c r="BH19" i="4"/>
  <c r="BD19" i="4"/>
  <c r="BC19" i="4"/>
  <c r="BB19" i="4"/>
  <c r="AY19" i="4"/>
  <c r="AU19" i="4"/>
  <c r="AT19" i="4"/>
  <c r="AS19" i="4"/>
  <c r="AP19" i="4"/>
  <c r="AL19" i="4"/>
  <c r="AK19" i="4"/>
  <c r="AJ19" i="4"/>
  <c r="AG19" i="4"/>
  <c r="AC19" i="4"/>
  <c r="AB19" i="4"/>
  <c r="AA19" i="4"/>
  <c r="X19" i="4"/>
  <c r="T19" i="4"/>
  <c r="S19" i="4"/>
  <c r="R19" i="4"/>
  <c r="O19" i="4"/>
  <c r="K19" i="4"/>
  <c r="J19" i="4"/>
  <c r="I19" i="4"/>
  <c r="F19" i="4"/>
  <c r="DF18" i="4"/>
  <c r="DD18" i="4"/>
  <c r="DE18" i="4" s="1"/>
  <c r="DA18" i="4"/>
  <c r="CW18" i="4"/>
  <c r="CU18" i="4"/>
  <c r="CV18" i="4" s="1"/>
  <c r="CR18" i="4"/>
  <c r="CN18" i="4"/>
  <c r="CL18" i="4"/>
  <c r="CI18" i="4"/>
  <c r="CE18" i="4"/>
  <c r="CC18" i="4"/>
  <c r="BZ18" i="4"/>
  <c r="BV18" i="4"/>
  <c r="BT18" i="4"/>
  <c r="BU18" i="4" s="1"/>
  <c r="BQ18" i="4"/>
  <c r="BM18" i="4"/>
  <c r="BK18" i="4"/>
  <c r="BL18" i="4" s="1"/>
  <c r="BH18" i="4"/>
  <c r="BD18" i="4"/>
  <c r="BB18" i="4"/>
  <c r="AY18" i="4"/>
  <c r="AU18" i="4"/>
  <c r="AS18" i="4"/>
  <c r="AP18" i="4"/>
  <c r="AL18" i="4"/>
  <c r="AJ18" i="4"/>
  <c r="AK18" i="4" s="1"/>
  <c r="AG18" i="4"/>
  <c r="AC18" i="4"/>
  <c r="AA18" i="4"/>
  <c r="AB18" i="4" s="1"/>
  <c r="X18" i="4"/>
  <c r="T18" i="4"/>
  <c r="R18" i="4"/>
  <c r="O18" i="4"/>
  <c r="K18" i="4"/>
  <c r="I18" i="4"/>
  <c r="F18" i="4"/>
  <c r="DF17" i="4"/>
  <c r="DD17" i="4"/>
  <c r="DA17" i="4"/>
  <c r="CW17" i="4"/>
  <c r="CU17" i="4"/>
  <c r="CV17" i="4" s="1"/>
  <c r="CR17" i="4"/>
  <c r="CN17" i="4"/>
  <c r="CL17" i="4"/>
  <c r="CM17" i="4" s="1"/>
  <c r="CI17" i="4"/>
  <c r="CE17" i="4"/>
  <c r="CC17" i="4"/>
  <c r="BZ17" i="4"/>
  <c r="BV17" i="4"/>
  <c r="BT17" i="4"/>
  <c r="BQ17" i="4"/>
  <c r="BM17" i="4"/>
  <c r="BK17" i="4"/>
  <c r="BL17" i="4" s="1"/>
  <c r="BH17" i="4"/>
  <c r="BD17" i="4"/>
  <c r="BB17" i="4"/>
  <c r="BC17" i="4" s="1"/>
  <c r="AY17" i="4"/>
  <c r="AU17" i="4"/>
  <c r="AS17" i="4"/>
  <c r="AP17" i="4"/>
  <c r="AL17" i="4"/>
  <c r="AJ17" i="4"/>
  <c r="AG17" i="4"/>
  <c r="AC17" i="4"/>
  <c r="AA17" i="4"/>
  <c r="AB17" i="4" s="1"/>
  <c r="X17" i="4"/>
  <c r="T17" i="4"/>
  <c r="R17" i="4"/>
  <c r="S17" i="4" s="1"/>
  <c r="O17" i="4"/>
  <c r="K17" i="4"/>
  <c r="I17" i="4"/>
  <c r="F17" i="4"/>
  <c r="DF16" i="4"/>
  <c r="DD16" i="4"/>
  <c r="DE16" i="4" s="1"/>
  <c r="DA16" i="4"/>
  <c r="CW16" i="4"/>
  <c r="CU16" i="4"/>
  <c r="CV16" i="4" s="1"/>
  <c r="CR16" i="4"/>
  <c r="CN16" i="4"/>
  <c r="CL16" i="4"/>
  <c r="CM16" i="4" s="1"/>
  <c r="CI16" i="4"/>
  <c r="CE16" i="4"/>
  <c r="CC16" i="4"/>
  <c r="CD16" i="4" s="1"/>
  <c r="BZ16" i="4"/>
  <c r="BV16" i="4"/>
  <c r="BT16" i="4"/>
  <c r="BU16" i="4" s="1"/>
  <c r="BQ16" i="4"/>
  <c r="BM16" i="4"/>
  <c r="BK16" i="4"/>
  <c r="BL16" i="4" s="1"/>
  <c r="BH16" i="4"/>
  <c r="BD16" i="4"/>
  <c r="BB16" i="4"/>
  <c r="BC16" i="4" s="1"/>
  <c r="AY16" i="4"/>
  <c r="AU16" i="4"/>
  <c r="AS16" i="4"/>
  <c r="AT16" i="4" s="1"/>
  <c r="AP16" i="4"/>
  <c r="AL16" i="4"/>
  <c r="AJ16" i="4"/>
  <c r="AK16" i="4" s="1"/>
  <c r="AG16" i="4"/>
  <c r="AC16" i="4"/>
  <c r="AA16" i="4"/>
  <c r="AB16" i="4" s="1"/>
  <c r="X16" i="4"/>
  <c r="T16" i="4"/>
  <c r="R16" i="4"/>
  <c r="S16" i="4" s="1"/>
  <c r="O16" i="4"/>
  <c r="K16" i="4"/>
  <c r="I16" i="4"/>
  <c r="J16" i="4" s="1"/>
  <c r="F16" i="4"/>
  <c r="DF15" i="4"/>
  <c r="DE15" i="4"/>
  <c r="DD15" i="4"/>
  <c r="DA15" i="4"/>
  <c r="CW15" i="4"/>
  <c r="CV15" i="4"/>
  <c r="CU15" i="4"/>
  <c r="CR15" i="4"/>
  <c r="CN15" i="4"/>
  <c r="CM15" i="4"/>
  <c r="CL15" i="4"/>
  <c r="CI15" i="4"/>
  <c r="CE15" i="4"/>
  <c r="CD15" i="4"/>
  <c r="CC15" i="4"/>
  <c r="BZ15" i="4"/>
  <c r="BV15" i="4"/>
  <c r="BU15" i="4"/>
  <c r="BT15" i="4"/>
  <c r="BQ15" i="4"/>
  <c r="BM15" i="4"/>
  <c r="BL15" i="4"/>
  <c r="BK15" i="4"/>
  <c r="BH15" i="4"/>
  <c r="BD15" i="4"/>
  <c r="BC15" i="4"/>
  <c r="BB15" i="4"/>
  <c r="AY15" i="4"/>
  <c r="AU15" i="4"/>
  <c r="AT15" i="4"/>
  <c r="AS15" i="4"/>
  <c r="AP15" i="4"/>
  <c r="AL15" i="4"/>
  <c r="AK15" i="4"/>
  <c r="AJ15" i="4"/>
  <c r="AG15" i="4"/>
  <c r="AC15" i="4"/>
  <c r="AB15" i="4"/>
  <c r="AA15" i="4"/>
  <c r="X15" i="4"/>
  <c r="T15" i="4"/>
  <c r="S15" i="4"/>
  <c r="R15" i="4"/>
  <c r="O15" i="4"/>
  <c r="K15" i="4"/>
  <c r="J15" i="4"/>
  <c r="I15" i="4"/>
  <c r="F15" i="4"/>
  <c r="DF14" i="4"/>
  <c r="DD14" i="4"/>
  <c r="DE14" i="4" s="1"/>
  <c r="DA14" i="4"/>
  <c r="CW14" i="4"/>
  <c r="CU14" i="4"/>
  <c r="CV14" i="4" s="1"/>
  <c r="CR14" i="4"/>
  <c r="CN14" i="4"/>
  <c r="CL14" i="4"/>
  <c r="CI14" i="4"/>
  <c r="CE14" i="4"/>
  <c r="CC14" i="4"/>
  <c r="BZ14" i="4"/>
  <c r="BV14" i="4"/>
  <c r="BT14" i="4"/>
  <c r="BU14" i="4" s="1"/>
  <c r="BQ14" i="4"/>
  <c r="BM14" i="4"/>
  <c r="BK14" i="4"/>
  <c r="BL14" i="4" s="1"/>
  <c r="BH14" i="4"/>
  <c r="BD14" i="4"/>
  <c r="BB14" i="4"/>
  <c r="AY14" i="4"/>
  <c r="AU14" i="4"/>
  <c r="AS14" i="4"/>
  <c r="AP14" i="4"/>
  <c r="AL14" i="4"/>
  <c r="AJ14" i="4"/>
  <c r="AK14" i="4" s="1"/>
  <c r="AG14" i="4"/>
  <c r="AC14" i="4"/>
  <c r="AA14" i="4"/>
  <c r="AB14" i="4" s="1"/>
  <c r="X14" i="4"/>
  <c r="T14" i="4"/>
  <c r="R14" i="4"/>
  <c r="O14" i="4"/>
  <c r="K14" i="4"/>
  <c r="I14" i="4"/>
  <c r="F14" i="4"/>
  <c r="DF13" i="4"/>
  <c r="DD13" i="4"/>
  <c r="DA13" i="4"/>
  <c r="CW13" i="4"/>
  <c r="CU13" i="4"/>
  <c r="CV13" i="4" s="1"/>
  <c r="CR13" i="4"/>
  <c r="CN13" i="4"/>
  <c r="CL13" i="4"/>
  <c r="CM13" i="4" s="1"/>
  <c r="CI13" i="4"/>
  <c r="CE13" i="4"/>
  <c r="CC13" i="4"/>
  <c r="BZ13" i="4"/>
  <c r="BV13" i="4"/>
  <c r="BT13" i="4"/>
  <c r="BQ13" i="4"/>
  <c r="BM13" i="4"/>
  <c r="BK13" i="4"/>
  <c r="BL13" i="4" s="1"/>
  <c r="BH13" i="4"/>
  <c r="BD13" i="4"/>
  <c r="BB13" i="4"/>
  <c r="BC13" i="4" s="1"/>
  <c r="AY13" i="4"/>
  <c r="AU13" i="4"/>
  <c r="AS13" i="4"/>
  <c r="AP13" i="4"/>
  <c r="AL13" i="4"/>
  <c r="AJ13" i="4"/>
  <c r="AG13" i="4"/>
  <c r="AC13" i="4"/>
  <c r="AA13" i="4"/>
  <c r="AB13" i="4" s="1"/>
  <c r="X13" i="4"/>
  <c r="T13" i="4"/>
  <c r="R13" i="4"/>
  <c r="S13" i="4" s="1"/>
  <c r="O13" i="4"/>
  <c r="K13" i="4"/>
  <c r="I13" i="4"/>
  <c r="F13" i="4"/>
  <c r="DF12" i="4"/>
  <c r="DD12" i="4"/>
  <c r="DE12" i="4" s="1"/>
  <c r="DA12" i="4"/>
  <c r="CW12" i="4"/>
  <c r="CU12" i="4"/>
  <c r="CV12" i="4" s="1"/>
  <c r="CR12" i="4"/>
  <c r="CN12" i="4"/>
  <c r="CL12" i="4"/>
  <c r="CM12" i="4" s="1"/>
  <c r="CI12" i="4"/>
  <c r="CE12" i="4"/>
  <c r="CC12" i="4"/>
  <c r="CD12" i="4" s="1"/>
  <c r="BZ12" i="4"/>
  <c r="BV12" i="4"/>
  <c r="BT12" i="4"/>
  <c r="BU12" i="4" s="1"/>
  <c r="BQ12" i="4"/>
  <c r="BM12" i="4"/>
  <c r="BK12" i="4"/>
  <c r="BL12" i="4" s="1"/>
  <c r="BH12" i="4"/>
  <c r="BD12" i="4"/>
  <c r="BB12" i="4"/>
  <c r="BC12" i="4" s="1"/>
  <c r="AY12" i="4"/>
  <c r="AU12" i="4"/>
  <c r="AS12" i="4"/>
  <c r="AT12" i="4" s="1"/>
  <c r="AP12" i="4"/>
  <c r="AL12" i="4"/>
  <c r="AJ12" i="4"/>
  <c r="AK12" i="4" s="1"/>
  <c r="AG12" i="4"/>
  <c r="AC12" i="4"/>
  <c r="AA12" i="4"/>
  <c r="AB12" i="4" s="1"/>
  <c r="X12" i="4"/>
  <c r="T12" i="4"/>
  <c r="R12" i="4"/>
  <c r="S12" i="4" s="1"/>
  <c r="O12" i="4"/>
  <c r="K12" i="4"/>
  <c r="I12" i="4"/>
  <c r="J12" i="4" s="1"/>
  <c r="F12" i="4"/>
  <c r="DF11" i="4"/>
  <c r="DE11" i="4"/>
  <c r="DD11" i="4"/>
  <c r="DA11" i="4"/>
  <c r="CW11" i="4"/>
  <c r="CV11" i="4"/>
  <c r="CU11" i="4"/>
  <c r="CR11" i="4"/>
  <c r="CN11" i="4"/>
  <c r="CM11" i="4"/>
  <c r="CL11" i="4"/>
  <c r="CI11" i="4"/>
  <c r="CE11" i="4"/>
  <c r="CD11" i="4"/>
  <c r="CC11" i="4"/>
  <c r="BZ11" i="4"/>
  <c r="BV11" i="4"/>
  <c r="BU11" i="4"/>
  <c r="BT11" i="4"/>
  <c r="BQ11" i="4"/>
  <c r="BM11" i="4"/>
  <c r="BL11" i="4"/>
  <c r="BK11" i="4"/>
  <c r="BH11" i="4"/>
  <c r="BD11" i="4"/>
  <c r="BC11" i="4"/>
  <c r="BB11" i="4"/>
  <c r="AY11" i="4"/>
  <c r="AU11" i="4"/>
  <c r="AT11" i="4"/>
  <c r="AS11" i="4"/>
  <c r="AP11" i="4"/>
  <c r="AL11" i="4"/>
  <c r="AK11" i="4"/>
  <c r="AJ11" i="4"/>
  <c r="AG11" i="4"/>
  <c r="AC11" i="4"/>
  <c r="AB11" i="4"/>
  <c r="AA11" i="4"/>
  <c r="X11" i="4"/>
  <c r="T11" i="4"/>
  <c r="S11" i="4"/>
  <c r="R11" i="4"/>
  <c r="O11" i="4"/>
  <c r="K11" i="4"/>
  <c r="J11" i="4"/>
  <c r="I11" i="4"/>
  <c r="F11" i="4"/>
  <c r="DF10" i="4"/>
  <c r="DD10" i="4"/>
  <c r="DE10" i="4" s="1"/>
  <c r="DA10" i="4"/>
  <c r="CW10" i="4"/>
  <c r="CU10" i="4"/>
  <c r="CV10" i="4" s="1"/>
  <c r="CR10" i="4"/>
  <c r="CN10" i="4"/>
  <c r="CL10" i="4"/>
  <c r="CI10" i="4"/>
  <c r="CE10" i="4"/>
  <c r="CC10" i="4"/>
  <c r="BZ10" i="4"/>
  <c r="BV10" i="4"/>
  <c r="BT10" i="4"/>
  <c r="BU10" i="4" s="1"/>
  <c r="BQ10" i="4"/>
  <c r="BM10" i="4"/>
  <c r="BK10" i="4"/>
  <c r="BL10" i="4" s="1"/>
  <c r="BH10" i="4"/>
  <c r="BD10" i="4"/>
  <c r="BB10" i="4"/>
  <c r="AY10" i="4"/>
  <c r="AU10" i="4"/>
  <c r="AS10" i="4"/>
  <c r="AP10" i="4"/>
  <c r="AL10" i="4"/>
  <c r="AJ10" i="4"/>
  <c r="AK10" i="4" s="1"/>
  <c r="AG10" i="4"/>
  <c r="AC10" i="4"/>
  <c r="AA10" i="4"/>
  <c r="AB10" i="4" s="1"/>
  <c r="X10" i="4"/>
  <c r="T10" i="4"/>
  <c r="R10" i="4"/>
  <c r="O10" i="4"/>
  <c r="K10" i="4"/>
  <c r="I10" i="4"/>
  <c r="F10" i="4"/>
  <c r="DF9" i="4"/>
  <c r="DD9" i="4"/>
  <c r="DA9" i="4"/>
  <c r="CW9" i="4"/>
  <c r="CU9" i="4"/>
  <c r="CV9" i="4" s="1"/>
  <c r="CR9" i="4"/>
  <c r="CN9" i="4"/>
  <c r="CL9" i="4"/>
  <c r="CM9" i="4" s="1"/>
  <c r="CI9" i="4"/>
  <c r="CE9" i="4"/>
  <c r="CC9" i="4"/>
  <c r="BZ9" i="4"/>
  <c r="BV9" i="4"/>
  <c r="BT9" i="4"/>
  <c r="BQ9" i="4"/>
  <c r="BM9" i="4"/>
  <c r="BK9" i="4"/>
  <c r="BL9" i="4" s="1"/>
  <c r="BH9" i="4"/>
  <c r="BD9" i="4"/>
  <c r="BB9" i="4"/>
  <c r="BC9" i="4" s="1"/>
  <c r="AY9" i="4"/>
  <c r="AU9" i="4"/>
  <c r="AS9" i="4"/>
  <c r="AP9" i="4"/>
  <c r="AL9" i="4"/>
  <c r="AJ9" i="4"/>
  <c r="AG9" i="4"/>
  <c r="AC9" i="4"/>
  <c r="AA9" i="4"/>
  <c r="AB9" i="4" s="1"/>
  <c r="X9" i="4"/>
  <c r="T9" i="4"/>
  <c r="R9" i="4"/>
  <c r="S9" i="4" s="1"/>
  <c r="O9" i="4"/>
  <c r="K9" i="4"/>
  <c r="I9" i="4"/>
  <c r="F9" i="4"/>
  <c r="DF8" i="4"/>
  <c r="DD8" i="4"/>
  <c r="DE8" i="4" s="1"/>
  <c r="DA8" i="4"/>
  <c r="CW8" i="4"/>
  <c r="CU8" i="4"/>
  <c r="CV8" i="4" s="1"/>
  <c r="CR8" i="4"/>
  <c r="CN8" i="4"/>
  <c r="CL8" i="4"/>
  <c r="CM8" i="4" s="1"/>
  <c r="CI8" i="4"/>
  <c r="CE8" i="4"/>
  <c r="CC8" i="4"/>
  <c r="CD8" i="4" s="1"/>
  <c r="BZ8" i="4"/>
  <c r="BV8" i="4"/>
  <c r="BT8" i="4"/>
  <c r="BU8" i="4" s="1"/>
  <c r="BQ8" i="4"/>
  <c r="BM8" i="4"/>
  <c r="BK8" i="4"/>
  <c r="BL8" i="4" s="1"/>
  <c r="BH8" i="4"/>
  <c r="BD8" i="4"/>
  <c r="BB8" i="4"/>
  <c r="BC8" i="4" s="1"/>
  <c r="AY8" i="4"/>
  <c r="AU8" i="4"/>
  <c r="AS8" i="4"/>
  <c r="AT8" i="4" s="1"/>
  <c r="AP8" i="4"/>
  <c r="AL8" i="4"/>
  <c r="AJ8" i="4"/>
  <c r="AK8" i="4" s="1"/>
  <c r="AG8" i="4"/>
  <c r="AC8" i="4"/>
  <c r="AA8" i="4"/>
  <c r="AB8" i="4" s="1"/>
  <c r="X8" i="4"/>
  <c r="T8" i="4"/>
  <c r="R8" i="4"/>
  <c r="S8" i="4" s="1"/>
  <c r="O8" i="4"/>
  <c r="K8" i="4"/>
  <c r="I8" i="4"/>
  <c r="J8" i="4" s="1"/>
  <c r="F8" i="4"/>
  <c r="DF7" i="4"/>
  <c r="DE7" i="4"/>
  <c r="DD7" i="4"/>
  <c r="DA7" i="4"/>
  <c r="CW7" i="4"/>
  <c r="CV7" i="4"/>
  <c r="CU7" i="4"/>
  <c r="CR7" i="4"/>
  <c r="CN7" i="4"/>
  <c r="CM7" i="4"/>
  <c r="CL7" i="4"/>
  <c r="CI7" i="4"/>
  <c r="CE7" i="4"/>
  <c r="CD7" i="4"/>
  <c r="CC7" i="4"/>
  <c r="BZ7" i="4"/>
  <c r="BV7" i="4"/>
  <c r="BU7" i="4"/>
  <c r="BT7" i="4"/>
  <c r="BQ7" i="4"/>
  <c r="BM7" i="4"/>
  <c r="BL7" i="4"/>
  <c r="BK7" i="4"/>
  <c r="BH7" i="4"/>
  <c r="BD7" i="4"/>
  <c r="BC7" i="4"/>
  <c r="BB7" i="4"/>
  <c r="AY7" i="4"/>
  <c r="AU7" i="4"/>
  <c r="AT7" i="4"/>
  <c r="AS7" i="4"/>
  <c r="AP7" i="4"/>
  <c r="AL7" i="4"/>
  <c r="AK7" i="4"/>
  <c r="AJ7" i="4"/>
  <c r="AG7" i="4"/>
  <c r="AC7" i="4"/>
  <c r="AB7" i="4"/>
  <c r="AA7" i="4"/>
  <c r="X7" i="4"/>
  <c r="T7" i="4"/>
  <c r="S7" i="4"/>
  <c r="R7" i="4"/>
  <c r="O7" i="4"/>
  <c r="K7" i="4"/>
  <c r="J7" i="4"/>
  <c r="I7" i="4"/>
  <c r="F7" i="4"/>
  <c r="DF6" i="4"/>
  <c r="DD6" i="4"/>
  <c r="DE6" i="4" s="1"/>
  <c r="DA6" i="4"/>
  <c r="CW6" i="4"/>
  <c r="CU6" i="4"/>
  <c r="CV6" i="4" s="1"/>
  <c r="CR6" i="4"/>
  <c r="CN6" i="4"/>
  <c r="CL6" i="4"/>
  <c r="CI6" i="4"/>
  <c r="CE6" i="4"/>
  <c r="CC6" i="4"/>
  <c r="BZ6" i="4"/>
  <c r="BV6" i="4"/>
  <c r="BT6" i="4"/>
  <c r="BU6" i="4" s="1"/>
  <c r="BQ6" i="4"/>
  <c r="BM6" i="4"/>
  <c r="BK6" i="4"/>
  <c r="BL6" i="4" s="1"/>
  <c r="BH6" i="4"/>
  <c r="BD6" i="4"/>
  <c r="BB6" i="4"/>
  <c r="AY6" i="4"/>
  <c r="AU6" i="4"/>
  <c r="AS6" i="4"/>
  <c r="AP6" i="4"/>
  <c r="AL6" i="4"/>
  <c r="AJ6" i="4"/>
  <c r="AK6" i="4" s="1"/>
  <c r="AG6" i="4"/>
  <c r="AC6" i="4"/>
  <c r="AA6" i="4"/>
  <c r="AB6" i="4" s="1"/>
  <c r="X6" i="4"/>
  <c r="T6" i="4"/>
  <c r="R6" i="4"/>
  <c r="O6" i="4"/>
  <c r="K6" i="4"/>
  <c r="I6" i="4"/>
  <c r="F6" i="4"/>
  <c r="DF5" i="4"/>
  <c r="DD5" i="4"/>
  <c r="DA5" i="4"/>
  <c r="CW5" i="4"/>
  <c r="CU5" i="4"/>
  <c r="CV5" i="4" s="1"/>
  <c r="CR5" i="4"/>
  <c r="CN5" i="4"/>
  <c r="CL5" i="4"/>
  <c r="CM5" i="4" s="1"/>
  <c r="CI5" i="4"/>
  <c r="CE5" i="4"/>
  <c r="CC5" i="4"/>
  <c r="BZ5" i="4"/>
  <c r="BV5" i="4"/>
  <c r="BT5" i="4"/>
  <c r="BQ5" i="4"/>
  <c r="BM5" i="4"/>
  <c r="BK5" i="4"/>
  <c r="BL5" i="4" s="1"/>
  <c r="BH5" i="4"/>
  <c r="BD5" i="4"/>
  <c r="BB5" i="4"/>
  <c r="BC5" i="4" s="1"/>
  <c r="AY5" i="4"/>
  <c r="AU5" i="4"/>
  <c r="AS5" i="4"/>
  <c r="AP5" i="4"/>
  <c r="AL5" i="4"/>
  <c r="AJ5" i="4"/>
  <c r="AG5" i="4"/>
  <c r="AC5" i="4"/>
  <c r="AA5" i="4"/>
  <c r="AB5" i="4" s="1"/>
  <c r="X5" i="4"/>
  <c r="T5" i="4"/>
  <c r="R5" i="4"/>
  <c r="S5" i="4" s="1"/>
  <c r="O5" i="4"/>
  <c r="K5" i="4"/>
  <c r="I5" i="4"/>
  <c r="F5" i="4"/>
  <c r="DF4" i="4"/>
  <c r="DD4" i="4"/>
  <c r="DE4" i="4" s="1"/>
  <c r="DA4" i="4"/>
  <c r="CW4" i="4"/>
  <c r="CU4" i="4"/>
  <c r="CV4" i="4" s="1"/>
  <c r="CR4" i="4"/>
  <c r="CN4" i="4"/>
  <c r="CL4" i="4"/>
  <c r="CM4" i="4" s="1"/>
  <c r="CI4" i="4"/>
  <c r="CE4" i="4"/>
  <c r="CC4" i="4"/>
  <c r="CD4" i="4" s="1"/>
  <c r="BZ4" i="4"/>
  <c r="BV4" i="4"/>
  <c r="BT4" i="4"/>
  <c r="BU4" i="4" s="1"/>
  <c r="BQ4" i="4"/>
  <c r="BM4" i="4"/>
  <c r="BK4" i="4"/>
  <c r="BL4" i="4" s="1"/>
  <c r="BH4" i="4"/>
  <c r="BD4" i="4"/>
  <c r="BB4" i="4"/>
  <c r="BC4" i="4" s="1"/>
  <c r="AY4" i="4"/>
  <c r="AU4" i="4"/>
  <c r="AS4" i="4"/>
  <c r="AT4" i="4" s="1"/>
  <c r="AP4" i="4"/>
  <c r="AL4" i="4"/>
  <c r="AJ4" i="4"/>
  <c r="AK4" i="4" s="1"/>
  <c r="AG4" i="4"/>
  <c r="AC4" i="4"/>
  <c r="AA4" i="4"/>
  <c r="AB4" i="4" s="1"/>
  <c r="X4" i="4"/>
  <c r="T4" i="4"/>
  <c r="R4" i="4"/>
  <c r="S4" i="4" s="1"/>
  <c r="O4" i="4"/>
  <c r="K4" i="4"/>
  <c r="I4" i="4"/>
  <c r="J4" i="4" s="1"/>
  <c r="F4" i="4"/>
  <c r="DF3" i="4"/>
  <c r="DE3" i="4"/>
  <c r="DD3" i="4"/>
  <c r="DA3" i="4"/>
  <c r="CW3" i="4"/>
  <c r="CV3" i="4"/>
  <c r="CU3" i="4"/>
  <c r="CR3" i="4"/>
  <c r="CN3" i="4"/>
  <c r="CM3" i="4"/>
  <c r="CL3" i="4"/>
  <c r="CI3" i="4"/>
  <c r="CE3" i="4"/>
  <c r="CD3" i="4"/>
  <c r="CC3" i="4"/>
  <c r="BZ3" i="4"/>
  <c r="BV3" i="4"/>
  <c r="BU3" i="4"/>
  <c r="BT3" i="4"/>
  <c r="BQ3" i="4"/>
  <c r="BM3" i="4"/>
  <c r="BL3" i="4"/>
  <c r="BK3" i="4"/>
  <c r="BH3" i="4"/>
  <c r="BD3" i="4"/>
  <c r="BC3" i="4"/>
  <c r="BB3" i="4"/>
  <c r="AY3" i="4"/>
  <c r="AU3" i="4"/>
  <c r="AT3" i="4"/>
  <c r="AS3" i="4"/>
  <c r="AP3" i="4"/>
  <c r="AL3" i="4"/>
  <c r="AK3" i="4"/>
  <c r="AJ3" i="4"/>
  <c r="AG3" i="4"/>
  <c r="AC3" i="4"/>
  <c r="AB3" i="4"/>
  <c r="AA3" i="4"/>
  <c r="X3" i="4"/>
  <c r="T3" i="4"/>
  <c r="S3" i="4"/>
  <c r="R3" i="4"/>
  <c r="O3" i="4"/>
  <c r="K3" i="4"/>
  <c r="J3" i="4"/>
  <c r="I3" i="4"/>
  <c r="F3" i="4"/>
  <c r="DF25" i="3"/>
  <c r="DD25" i="3"/>
  <c r="DE25" i="3" s="1"/>
  <c r="DA25" i="3"/>
  <c r="CW25" i="3"/>
  <c r="CU25" i="3"/>
  <c r="CV25" i="3" s="1"/>
  <c r="CR25" i="3"/>
  <c r="CN25" i="3"/>
  <c r="CL25" i="3"/>
  <c r="CI25" i="3"/>
  <c r="CE25" i="3"/>
  <c r="CC25" i="3"/>
  <c r="BZ25" i="3"/>
  <c r="BV25" i="3"/>
  <c r="BT25" i="3"/>
  <c r="BU25" i="3" s="1"/>
  <c r="BQ25" i="3"/>
  <c r="BM25" i="3"/>
  <c r="BK25" i="3"/>
  <c r="BL25" i="3" s="1"/>
  <c r="BH25" i="3"/>
  <c r="BD25" i="3"/>
  <c r="BB25" i="3"/>
  <c r="AY25" i="3"/>
  <c r="AU25" i="3"/>
  <c r="AS25" i="3"/>
  <c r="AP25" i="3"/>
  <c r="AL25" i="3"/>
  <c r="AJ25" i="3"/>
  <c r="AK25" i="3" s="1"/>
  <c r="AG25" i="3"/>
  <c r="AC25" i="3"/>
  <c r="AA25" i="3"/>
  <c r="AB25" i="3" s="1"/>
  <c r="X25" i="3"/>
  <c r="T25" i="3"/>
  <c r="R25" i="3"/>
  <c r="O25" i="3"/>
  <c r="K25" i="3"/>
  <c r="I25" i="3"/>
  <c r="F25" i="3"/>
  <c r="DF24" i="3"/>
  <c r="DD24" i="3"/>
  <c r="DA24" i="3"/>
  <c r="CW24" i="3"/>
  <c r="CU24" i="3"/>
  <c r="CV24" i="3" s="1"/>
  <c r="CR24" i="3"/>
  <c r="CN24" i="3"/>
  <c r="CL24" i="3"/>
  <c r="CM24" i="3" s="1"/>
  <c r="CI24" i="3"/>
  <c r="CE24" i="3"/>
  <c r="CC24" i="3"/>
  <c r="BZ24" i="3"/>
  <c r="BV24" i="3"/>
  <c r="BT24" i="3"/>
  <c r="BQ24" i="3"/>
  <c r="BM24" i="3"/>
  <c r="BK24" i="3"/>
  <c r="BL24" i="3" s="1"/>
  <c r="BH24" i="3"/>
  <c r="BD24" i="3"/>
  <c r="BB24" i="3"/>
  <c r="BC24" i="3" s="1"/>
  <c r="AY24" i="3"/>
  <c r="AU24" i="3"/>
  <c r="AS24" i="3"/>
  <c r="AP24" i="3"/>
  <c r="AL24" i="3"/>
  <c r="AJ24" i="3"/>
  <c r="AG24" i="3"/>
  <c r="AC24" i="3"/>
  <c r="AA24" i="3"/>
  <c r="AB24" i="3" s="1"/>
  <c r="X24" i="3"/>
  <c r="T24" i="3"/>
  <c r="R24" i="3"/>
  <c r="S24" i="3" s="1"/>
  <c r="O24" i="3"/>
  <c r="K24" i="3"/>
  <c r="I24" i="3"/>
  <c r="F24" i="3"/>
  <c r="DF23" i="3"/>
  <c r="DD23" i="3"/>
  <c r="DE23" i="3" s="1"/>
  <c r="DA23" i="3"/>
  <c r="CW23" i="3"/>
  <c r="CU23" i="3"/>
  <c r="CV23" i="3" s="1"/>
  <c r="CR23" i="3"/>
  <c r="CN23" i="3"/>
  <c r="CL23" i="3"/>
  <c r="CM23" i="3" s="1"/>
  <c r="CI23" i="3"/>
  <c r="CE23" i="3"/>
  <c r="CC23" i="3"/>
  <c r="CD23" i="3" s="1"/>
  <c r="BZ23" i="3"/>
  <c r="BV23" i="3"/>
  <c r="BT23" i="3"/>
  <c r="BU23" i="3" s="1"/>
  <c r="BQ23" i="3"/>
  <c r="BM23" i="3"/>
  <c r="BK23" i="3"/>
  <c r="BL23" i="3" s="1"/>
  <c r="BH23" i="3"/>
  <c r="BD23" i="3"/>
  <c r="BB23" i="3"/>
  <c r="BC23" i="3" s="1"/>
  <c r="AY23" i="3"/>
  <c r="AU23" i="3"/>
  <c r="AS23" i="3"/>
  <c r="AT23" i="3" s="1"/>
  <c r="AP23" i="3"/>
  <c r="AL23" i="3"/>
  <c r="AJ23" i="3"/>
  <c r="AK23" i="3" s="1"/>
  <c r="AG23" i="3"/>
  <c r="AC23" i="3"/>
  <c r="AA23" i="3"/>
  <c r="AB23" i="3" s="1"/>
  <c r="X23" i="3"/>
  <c r="T23" i="3"/>
  <c r="R23" i="3"/>
  <c r="S23" i="3" s="1"/>
  <c r="O23" i="3"/>
  <c r="K23" i="3"/>
  <c r="I23" i="3"/>
  <c r="J23" i="3" s="1"/>
  <c r="F23" i="3"/>
  <c r="DF22" i="3"/>
  <c r="DE22" i="3"/>
  <c r="DD22" i="3"/>
  <c r="DA22" i="3"/>
  <c r="CW22" i="3"/>
  <c r="CV22" i="3"/>
  <c r="CU22" i="3"/>
  <c r="CR22" i="3"/>
  <c r="CN22" i="3"/>
  <c r="CM22" i="3"/>
  <c r="CL22" i="3"/>
  <c r="CI22" i="3"/>
  <c r="CE22" i="3"/>
  <c r="CD22" i="3"/>
  <c r="CC22" i="3"/>
  <c r="BZ22" i="3"/>
  <c r="BV22" i="3"/>
  <c r="BU22" i="3"/>
  <c r="BT22" i="3"/>
  <c r="BQ22" i="3"/>
  <c r="BM22" i="3"/>
  <c r="BL22" i="3"/>
  <c r="BK22" i="3"/>
  <c r="BH22" i="3"/>
  <c r="BD22" i="3"/>
  <c r="BC22" i="3"/>
  <c r="BB22" i="3"/>
  <c r="AY22" i="3"/>
  <c r="AU22" i="3"/>
  <c r="AT22" i="3"/>
  <c r="AS22" i="3"/>
  <c r="AP22" i="3"/>
  <c r="AL22" i="3"/>
  <c r="AK22" i="3"/>
  <c r="AJ22" i="3"/>
  <c r="AG22" i="3"/>
  <c r="AC22" i="3"/>
  <c r="AB22" i="3"/>
  <c r="AA22" i="3"/>
  <c r="X22" i="3"/>
  <c r="T22" i="3"/>
  <c r="S22" i="3"/>
  <c r="R22" i="3"/>
  <c r="O22" i="3"/>
  <c r="K22" i="3"/>
  <c r="J22" i="3"/>
  <c r="I22" i="3"/>
  <c r="F22" i="3"/>
  <c r="DF21" i="3"/>
  <c r="DD21" i="3"/>
  <c r="DE21" i="3" s="1"/>
  <c r="DA21" i="3"/>
  <c r="CW21" i="3"/>
  <c r="CU21" i="3"/>
  <c r="CV21" i="3" s="1"/>
  <c r="CR21" i="3"/>
  <c r="CN21" i="3"/>
  <c r="CL21" i="3"/>
  <c r="CI21" i="3"/>
  <c r="CE21" i="3"/>
  <c r="CC21" i="3"/>
  <c r="BZ21" i="3"/>
  <c r="BV21" i="3"/>
  <c r="BT21" i="3"/>
  <c r="BU21" i="3" s="1"/>
  <c r="BQ21" i="3"/>
  <c r="BM21" i="3"/>
  <c r="BK21" i="3"/>
  <c r="BL21" i="3" s="1"/>
  <c r="BH21" i="3"/>
  <c r="BD21" i="3"/>
  <c r="BB21" i="3"/>
  <c r="AY21" i="3"/>
  <c r="AU21" i="3"/>
  <c r="AS21" i="3"/>
  <c r="AP21" i="3"/>
  <c r="AL21" i="3"/>
  <c r="AJ21" i="3"/>
  <c r="AK21" i="3" s="1"/>
  <c r="AG21" i="3"/>
  <c r="AC21" i="3"/>
  <c r="AA21" i="3"/>
  <c r="AB21" i="3" s="1"/>
  <c r="X21" i="3"/>
  <c r="T21" i="3"/>
  <c r="R21" i="3"/>
  <c r="O21" i="3"/>
  <c r="K21" i="3"/>
  <c r="I21" i="3"/>
  <c r="F21" i="3"/>
  <c r="DF20" i="3"/>
  <c r="DD20" i="3"/>
  <c r="DA20" i="3"/>
  <c r="CW20" i="3"/>
  <c r="CU20" i="3"/>
  <c r="CV20" i="3" s="1"/>
  <c r="CR20" i="3"/>
  <c r="CN20" i="3"/>
  <c r="CL20" i="3"/>
  <c r="CM20" i="3" s="1"/>
  <c r="CI20" i="3"/>
  <c r="CE20" i="3"/>
  <c r="CC20" i="3"/>
  <c r="BZ20" i="3"/>
  <c r="BV20" i="3"/>
  <c r="BT20" i="3"/>
  <c r="BQ20" i="3"/>
  <c r="BM20" i="3"/>
  <c r="BK20" i="3"/>
  <c r="BL20" i="3" s="1"/>
  <c r="BH20" i="3"/>
  <c r="BD20" i="3"/>
  <c r="BB20" i="3"/>
  <c r="BC20" i="3" s="1"/>
  <c r="AY20" i="3"/>
  <c r="AU20" i="3"/>
  <c r="AS20" i="3"/>
  <c r="AP20" i="3"/>
  <c r="AL20" i="3"/>
  <c r="AJ20" i="3"/>
  <c r="AG20" i="3"/>
  <c r="AC20" i="3"/>
  <c r="AA20" i="3"/>
  <c r="AB20" i="3" s="1"/>
  <c r="X20" i="3"/>
  <c r="T20" i="3"/>
  <c r="R20" i="3"/>
  <c r="S20" i="3" s="1"/>
  <c r="O20" i="3"/>
  <c r="K20" i="3"/>
  <c r="I20" i="3"/>
  <c r="F20" i="3"/>
  <c r="DF19" i="3"/>
  <c r="DD19" i="3"/>
  <c r="DE19" i="3" s="1"/>
  <c r="DA19" i="3"/>
  <c r="CW19" i="3"/>
  <c r="CU19" i="3"/>
  <c r="CV19" i="3" s="1"/>
  <c r="CR19" i="3"/>
  <c r="CN19" i="3"/>
  <c r="CL19" i="3"/>
  <c r="CM19" i="3" s="1"/>
  <c r="CI19" i="3"/>
  <c r="CE19" i="3"/>
  <c r="CC19" i="3"/>
  <c r="CD19" i="3" s="1"/>
  <c r="BZ19" i="3"/>
  <c r="BV19" i="3"/>
  <c r="BT19" i="3"/>
  <c r="BU19" i="3" s="1"/>
  <c r="BQ19" i="3"/>
  <c r="BM19" i="3"/>
  <c r="BK19" i="3"/>
  <c r="BL19" i="3" s="1"/>
  <c r="BH19" i="3"/>
  <c r="BD19" i="3"/>
  <c r="BB19" i="3"/>
  <c r="BC19" i="3" s="1"/>
  <c r="AY19" i="3"/>
  <c r="AU19" i="3"/>
  <c r="AS19" i="3"/>
  <c r="AT19" i="3" s="1"/>
  <c r="AP19" i="3"/>
  <c r="AL19" i="3"/>
  <c r="AJ19" i="3"/>
  <c r="AK19" i="3" s="1"/>
  <c r="AG19" i="3"/>
  <c r="AC19" i="3"/>
  <c r="AA19" i="3"/>
  <c r="AB19" i="3" s="1"/>
  <c r="X19" i="3"/>
  <c r="T19" i="3"/>
  <c r="R19" i="3"/>
  <c r="S19" i="3" s="1"/>
  <c r="O19" i="3"/>
  <c r="K19" i="3"/>
  <c r="I19" i="3"/>
  <c r="J19" i="3" s="1"/>
  <c r="F19" i="3"/>
  <c r="DF18" i="3"/>
  <c r="DE18" i="3"/>
  <c r="DD18" i="3"/>
  <c r="DA18" i="3"/>
  <c r="CW18" i="3"/>
  <c r="CV18" i="3"/>
  <c r="CU18" i="3"/>
  <c r="CR18" i="3"/>
  <c r="CN18" i="3"/>
  <c r="CM18" i="3"/>
  <c r="CL18" i="3"/>
  <c r="CI18" i="3"/>
  <c r="CE18" i="3"/>
  <c r="CD18" i="3"/>
  <c r="CC18" i="3"/>
  <c r="BZ18" i="3"/>
  <c r="BV18" i="3"/>
  <c r="BU18" i="3"/>
  <c r="BT18" i="3"/>
  <c r="BQ18" i="3"/>
  <c r="BM18" i="3"/>
  <c r="BL18" i="3"/>
  <c r="BK18" i="3"/>
  <c r="BH18" i="3"/>
  <c r="BD18" i="3"/>
  <c r="BC18" i="3"/>
  <c r="BB18" i="3"/>
  <c r="AY18" i="3"/>
  <c r="AU18" i="3"/>
  <c r="AT18" i="3"/>
  <c r="AS18" i="3"/>
  <c r="AP18" i="3"/>
  <c r="AL18" i="3"/>
  <c r="AK18" i="3"/>
  <c r="AJ18" i="3"/>
  <c r="AG18" i="3"/>
  <c r="AC18" i="3"/>
  <c r="AB18" i="3"/>
  <c r="AA18" i="3"/>
  <c r="X18" i="3"/>
  <c r="T18" i="3"/>
  <c r="S18" i="3"/>
  <c r="R18" i="3"/>
  <c r="O18" i="3"/>
  <c r="K18" i="3"/>
  <c r="J18" i="3"/>
  <c r="I18" i="3"/>
  <c r="F18" i="3"/>
  <c r="DF17" i="3"/>
  <c r="DD17" i="3"/>
  <c r="DE17" i="3" s="1"/>
  <c r="DA17" i="3"/>
  <c r="CW17" i="3"/>
  <c r="CU17" i="3"/>
  <c r="CV17" i="3" s="1"/>
  <c r="CR17" i="3"/>
  <c r="CN17" i="3"/>
  <c r="CL17" i="3"/>
  <c r="CI17" i="3"/>
  <c r="CE17" i="3"/>
  <c r="CC17" i="3"/>
  <c r="BZ17" i="3"/>
  <c r="BV17" i="3"/>
  <c r="BT17" i="3"/>
  <c r="BU17" i="3" s="1"/>
  <c r="BQ17" i="3"/>
  <c r="BM17" i="3"/>
  <c r="BK17" i="3"/>
  <c r="BL17" i="3" s="1"/>
  <c r="BH17" i="3"/>
  <c r="BD17" i="3"/>
  <c r="BB17" i="3"/>
  <c r="AY17" i="3"/>
  <c r="AU17" i="3"/>
  <c r="AS17" i="3"/>
  <c r="AP17" i="3"/>
  <c r="AL17" i="3"/>
  <c r="AJ17" i="3"/>
  <c r="AK17" i="3" s="1"/>
  <c r="AG17" i="3"/>
  <c r="AC17" i="3"/>
  <c r="AA17" i="3"/>
  <c r="AB17" i="3" s="1"/>
  <c r="X17" i="3"/>
  <c r="T17" i="3"/>
  <c r="R17" i="3"/>
  <c r="O17" i="3"/>
  <c r="K17" i="3"/>
  <c r="I17" i="3"/>
  <c r="F17" i="3"/>
  <c r="DF16" i="3"/>
  <c r="DD16" i="3"/>
  <c r="DA16" i="3"/>
  <c r="CW16" i="3"/>
  <c r="CU16" i="3"/>
  <c r="CV16" i="3" s="1"/>
  <c r="CR16" i="3"/>
  <c r="CN16" i="3"/>
  <c r="CL16" i="3"/>
  <c r="CM16" i="3" s="1"/>
  <c r="CI16" i="3"/>
  <c r="CE16" i="3"/>
  <c r="CC16" i="3"/>
  <c r="BZ16" i="3"/>
  <c r="BV16" i="3"/>
  <c r="BT16" i="3"/>
  <c r="BQ16" i="3"/>
  <c r="BM16" i="3"/>
  <c r="BK16" i="3"/>
  <c r="BL16" i="3" s="1"/>
  <c r="BH16" i="3"/>
  <c r="BD16" i="3"/>
  <c r="BB16" i="3"/>
  <c r="BC16" i="3" s="1"/>
  <c r="AY16" i="3"/>
  <c r="AU16" i="3"/>
  <c r="AS16" i="3"/>
  <c r="AP16" i="3"/>
  <c r="AL16" i="3"/>
  <c r="AJ16" i="3"/>
  <c r="AG16" i="3"/>
  <c r="AC16" i="3"/>
  <c r="AA16" i="3"/>
  <c r="AB16" i="3" s="1"/>
  <c r="X16" i="3"/>
  <c r="T16" i="3"/>
  <c r="R16" i="3"/>
  <c r="S16" i="3" s="1"/>
  <c r="O16" i="3"/>
  <c r="K16" i="3"/>
  <c r="I16" i="3"/>
  <c r="F16" i="3"/>
  <c r="DF15" i="3"/>
  <c r="DD15" i="3"/>
  <c r="DE15" i="3" s="1"/>
  <c r="DA15" i="3"/>
  <c r="CW15" i="3"/>
  <c r="CU15" i="3"/>
  <c r="CV15" i="3" s="1"/>
  <c r="CR15" i="3"/>
  <c r="CN15" i="3"/>
  <c r="CL15" i="3"/>
  <c r="CM15" i="3" s="1"/>
  <c r="CI15" i="3"/>
  <c r="CE15" i="3"/>
  <c r="CC15" i="3"/>
  <c r="CD15" i="3" s="1"/>
  <c r="BZ15" i="3"/>
  <c r="BV15" i="3"/>
  <c r="BT15" i="3"/>
  <c r="BU15" i="3" s="1"/>
  <c r="BQ15" i="3"/>
  <c r="BM15" i="3"/>
  <c r="BK15" i="3"/>
  <c r="BL15" i="3" s="1"/>
  <c r="BH15" i="3"/>
  <c r="BD15" i="3"/>
  <c r="BB15" i="3"/>
  <c r="BC15" i="3" s="1"/>
  <c r="AY15" i="3"/>
  <c r="AU15" i="3"/>
  <c r="AS15" i="3"/>
  <c r="AT15" i="3" s="1"/>
  <c r="AP15" i="3"/>
  <c r="AL15" i="3"/>
  <c r="AJ15" i="3"/>
  <c r="AK15" i="3" s="1"/>
  <c r="AG15" i="3"/>
  <c r="AC15" i="3"/>
  <c r="AA15" i="3"/>
  <c r="AB15" i="3" s="1"/>
  <c r="X15" i="3"/>
  <c r="T15" i="3"/>
  <c r="R15" i="3"/>
  <c r="S15" i="3" s="1"/>
  <c r="O15" i="3"/>
  <c r="K15" i="3"/>
  <c r="I15" i="3"/>
  <c r="J15" i="3" s="1"/>
  <c r="F15" i="3"/>
  <c r="DF14" i="3"/>
  <c r="DE14" i="3"/>
  <c r="DD14" i="3"/>
  <c r="DA14" i="3"/>
  <c r="CW14" i="3"/>
  <c r="CV14" i="3"/>
  <c r="CU14" i="3"/>
  <c r="CR14" i="3"/>
  <c r="CN14" i="3"/>
  <c r="CM14" i="3"/>
  <c r="CL14" i="3"/>
  <c r="CI14" i="3"/>
  <c r="CE14" i="3"/>
  <c r="CD14" i="3"/>
  <c r="CC14" i="3"/>
  <c r="BZ14" i="3"/>
  <c r="BV14" i="3"/>
  <c r="BU14" i="3"/>
  <c r="BT14" i="3"/>
  <c r="BQ14" i="3"/>
  <c r="BM14" i="3"/>
  <c r="BL14" i="3"/>
  <c r="BK14" i="3"/>
  <c r="BH14" i="3"/>
  <c r="BD14" i="3"/>
  <c r="BC14" i="3"/>
  <c r="BB14" i="3"/>
  <c r="AY14" i="3"/>
  <c r="AU14" i="3"/>
  <c r="AT14" i="3"/>
  <c r="AS14" i="3"/>
  <c r="AP14" i="3"/>
  <c r="AL14" i="3"/>
  <c r="AK14" i="3"/>
  <c r="AJ14" i="3"/>
  <c r="AG14" i="3"/>
  <c r="AC14" i="3"/>
  <c r="AB14" i="3"/>
  <c r="AA14" i="3"/>
  <c r="X14" i="3"/>
  <c r="T14" i="3"/>
  <c r="S14" i="3"/>
  <c r="R14" i="3"/>
  <c r="O14" i="3"/>
  <c r="K14" i="3"/>
  <c r="J14" i="3"/>
  <c r="I14" i="3"/>
  <c r="F14" i="3"/>
  <c r="DF13" i="3"/>
  <c r="DD13" i="3"/>
  <c r="DE13" i="3" s="1"/>
  <c r="DA13" i="3"/>
  <c r="CW13" i="3"/>
  <c r="CU13" i="3"/>
  <c r="CV13" i="3" s="1"/>
  <c r="CR13" i="3"/>
  <c r="CN13" i="3"/>
  <c r="CL13" i="3"/>
  <c r="CI13" i="3"/>
  <c r="CE13" i="3"/>
  <c r="CC13" i="3"/>
  <c r="BZ13" i="3"/>
  <c r="BV13" i="3"/>
  <c r="BT13" i="3"/>
  <c r="BU13" i="3" s="1"/>
  <c r="BQ13" i="3"/>
  <c r="BM13" i="3"/>
  <c r="BK13" i="3"/>
  <c r="BL13" i="3" s="1"/>
  <c r="BH13" i="3"/>
  <c r="BD13" i="3"/>
  <c r="BB13" i="3"/>
  <c r="AY13" i="3"/>
  <c r="AU13" i="3"/>
  <c r="AS13" i="3"/>
  <c r="AP13" i="3"/>
  <c r="AL13" i="3"/>
  <c r="AJ13" i="3"/>
  <c r="AG13" i="3"/>
  <c r="AC13" i="3"/>
  <c r="AA13" i="3"/>
  <c r="AB13" i="3" s="1"/>
  <c r="X13" i="3"/>
  <c r="T13" i="3"/>
  <c r="R13" i="3"/>
  <c r="O13" i="3"/>
  <c r="K13" i="3"/>
  <c r="I13" i="3"/>
  <c r="F13" i="3"/>
  <c r="DF12" i="3"/>
  <c r="DD12" i="3"/>
  <c r="DE12" i="3" s="1"/>
  <c r="DA12" i="3"/>
  <c r="CW12" i="3"/>
  <c r="CU12" i="3"/>
  <c r="CV12" i="3" s="1"/>
  <c r="CR12" i="3"/>
  <c r="CN12" i="3"/>
  <c r="CL12" i="3"/>
  <c r="CM12" i="3" s="1"/>
  <c r="CI12" i="3"/>
  <c r="CE12" i="3"/>
  <c r="CC12" i="3"/>
  <c r="CD12" i="3" s="1"/>
  <c r="BZ12" i="3"/>
  <c r="BV12" i="3"/>
  <c r="BT12" i="3"/>
  <c r="BU12" i="3" s="1"/>
  <c r="BQ12" i="3"/>
  <c r="BM12" i="3"/>
  <c r="BK12" i="3"/>
  <c r="BL12" i="3" s="1"/>
  <c r="BH12" i="3"/>
  <c r="BD12" i="3"/>
  <c r="BB12" i="3"/>
  <c r="BC12" i="3" s="1"/>
  <c r="AY12" i="3"/>
  <c r="AU12" i="3"/>
  <c r="AS12" i="3"/>
  <c r="AT12" i="3" s="1"/>
  <c r="AP12" i="3"/>
  <c r="AL12" i="3"/>
  <c r="AJ12" i="3"/>
  <c r="AK12" i="3" s="1"/>
  <c r="AG12" i="3"/>
  <c r="AC12" i="3"/>
  <c r="AA12" i="3"/>
  <c r="AB12" i="3" s="1"/>
  <c r="X12" i="3"/>
  <c r="T12" i="3"/>
  <c r="R12" i="3"/>
  <c r="S12" i="3" s="1"/>
  <c r="O12" i="3"/>
  <c r="K12" i="3"/>
  <c r="I12" i="3"/>
  <c r="J12" i="3" s="1"/>
  <c r="F12" i="3"/>
  <c r="DF11" i="3"/>
  <c r="DE11" i="3"/>
  <c r="DD11" i="3"/>
  <c r="DA11" i="3"/>
  <c r="CW11" i="3"/>
  <c r="CV11" i="3"/>
  <c r="CU11" i="3"/>
  <c r="CR11" i="3"/>
  <c r="CN11" i="3"/>
  <c r="CM11" i="3"/>
  <c r="CL11" i="3"/>
  <c r="CI11" i="3"/>
  <c r="CE11" i="3"/>
  <c r="CD11" i="3"/>
  <c r="CC11" i="3"/>
  <c r="BZ11" i="3"/>
  <c r="BV11" i="3"/>
  <c r="BU11" i="3"/>
  <c r="BT11" i="3"/>
  <c r="BQ11" i="3"/>
  <c r="BM11" i="3"/>
  <c r="BL11" i="3"/>
  <c r="BK11" i="3"/>
  <c r="BH11" i="3"/>
  <c r="BD11" i="3"/>
  <c r="BC11" i="3"/>
  <c r="BB11" i="3"/>
  <c r="AY11" i="3"/>
  <c r="AU11" i="3"/>
  <c r="AT11" i="3"/>
  <c r="AS11" i="3"/>
  <c r="AP11" i="3"/>
  <c r="AL11" i="3"/>
  <c r="AK11" i="3"/>
  <c r="AJ11" i="3"/>
  <c r="AG11" i="3"/>
  <c r="AC11" i="3"/>
  <c r="AB11" i="3"/>
  <c r="AA11" i="3"/>
  <c r="X11" i="3"/>
  <c r="T11" i="3"/>
  <c r="S11" i="3"/>
  <c r="R11" i="3"/>
  <c r="O11" i="3"/>
  <c r="K11" i="3"/>
  <c r="J11" i="3"/>
  <c r="I11" i="3"/>
  <c r="F11" i="3"/>
  <c r="DF10" i="3"/>
  <c r="DD10" i="3"/>
  <c r="DA10" i="3"/>
  <c r="DE10" i="3" s="1"/>
  <c r="CW10" i="3"/>
  <c r="CU10" i="3"/>
  <c r="CR10" i="3"/>
  <c r="CV10" i="3" s="1"/>
  <c r="CN10" i="3"/>
  <c r="CL10" i="3"/>
  <c r="CI10" i="3"/>
  <c r="CM10" i="3" s="1"/>
  <c r="CE10" i="3"/>
  <c r="CC10" i="3"/>
  <c r="BZ10" i="3"/>
  <c r="CD10" i="3" s="1"/>
  <c r="BV10" i="3"/>
  <c r="BT10" i="3"/>
  <c r="BQ10" i="3"/>
  <c r="BU10" i="3" s="1"/>
  <c r="BM10" i="3"/>
  <c r="BK10" i="3"/>
  <c r="BH10" i="3"/>
  <c r="BL10" i="3" s="1"/>
  <c r="BD10" i="3"/>
  <c r="BB10" i="3"/>
  <c r="AY10" i="3"/>
  <c r="BC10" i="3" s="1"/>
  <c r="AU10" i="3"/>
  <c r="AS10" i="3"/>
  <c r="AP10" i="3"/>
  <c r="AT10" i="3" s="1"/>
  <c r="AL10" i="3"/>
  <c r="AJ10" i="3"/>
  <c r="AG10" i="3"/>
  <c r="AK10" i="3" s="1"/>
  <c r="AC10" i="3"/>
  <c r="AA10" i="3"/>
  <c r="X10" i="3"/>
  <c r="AB10" i="3" s="1"/>
  <c r="T10" i="3"/>
  <c r="R10" i="3"/>
  <c r="O10" i="3"/>
  <c r="S10" i="3" s="1"/>
  <c r="K10" i="3"/>
  <c r="I10" i="3"/>
  <c r="F10" i="3"/>
  <c r="J10" i="3" s="1"/>
  <c r="DF9" i="3"/>
  <c r="DD9" i="3"/>
  <c r="DA9" i="3"/>
  <c r="CW9" i="3"/>
  <c r="CU9" i="3"/>
  <c r="CV9" i="3" s="1"/>
  <c r="CR9" i="3"/>
  <c r="CN9" i="3"/>
  <c r="CL9" i="3"/>
  <c r="CI9" i="3"/>
  <c r="CE9" i="3"/>
  <c r="CC9" i="3"/>
  <c r="BZ9" i="3"/>
  <c r="BV9" i="3"/>
  <c r="BT9" i="3"/>
  <c r="BQ9" i="3"/>
  <c r="BM9" i="3"/>
  <c r="BK9" i="3"/>
  <c r="BL9" i="3" s="1"/>
  <c r="BH9" i="3"/>
  <c r="BD9" i="3"/>
  <c r="BB9" i="3"/>
  <c r="AY9" i="3"/>
  <c r="AU9" i="3"/>
  <c r="AS9" i="3"/>
  <c r="AP9" i="3"/>
  <c r="AL9" i="3"/>
  <c r="AJ9" i="3"/>
  <c r="AG9" i="3"/>
  <c r="AC9" i="3"/>
  <c r="AA9" i="3"/>
  <c r="AB9" i="3" s="1"/>
  <c r="X9" i="3"/>
  <c r="T9" i="3"/>
  <c r="R9" i="3"/>
  <c r="O9" i="3"/>
  <c r="K9" i="3"/>
  <c r="I9" i="3"/>
  <c r="F9" i="3"/>
  <c r="DF8" i="3"/>
  <c r="DD8" i="3"/>
  <c r="DE8" i="3" s="1"/>
  <c r="DA8" i="3"/>
  <c r="CW8" i="3"/>
  <c r="CU8" i="3"/>
  <c r="CV8" i="3" s="1"/>
  <c r="CR8" i="3"/>
  <c r="CN8" i="3"/>
  <c r="CL8" i="3"/>
  <c r="CM8" i="3" s="1"/>
  <c r="CI8" i="3"/>
  <c r="CE8" i="3"/>
  <c r="CC8" i="3"/>
  <c r="CD8" i="3" s="1"/>
  <c r="BZ8" i="3"/>
  <c r="BV8" i="3"/>
  <c r="BT8" i="3"/>
  <c r="BU8" i="3" s="1"/>
  <c r="BQ8" i="3"/>
  <c r="BM8" i="3"/>
  <c r="BK8" i="3"/>
  <c r="BL8" i="3" s="1"/>
  <c r="BH8" i="3"/>
  <c r="BD8" i="3"/>
  <c r="BB8" i="3"/>
  <c r="BC8" i="3" s="1"/>
  <c r="AY8" i="3"/>
  <c r="AU8" i="3"/>
  <c r="AS8" i="3"/>
  <c r="AT8" i="3" s="1"/>
  <c r="AP8" i="3"/>
  <c r="AL8" i="3"/>
  <c r="AJ8" i="3"/>
  <c r="AK8" i="3" s="1"/>
  <c r="AG8" i="3"/>
  <c r="AC8" i="3"/>
  <c r="AA8" i="3"/>
  <c r="AB8" i="3" s="1"/>
  <c r="X8" i="3"/>
  <c r="T8" i="3"/>
  <c r="R8" i="3"/>
  <c r="S8" i="3" s="1"/>
  <c r="O8" i="3"/>
  <c r="K8" i="3"/>
  <c r="I8" i="3"/>
  <c r="J8" i="3" s="1"/>
  <c r="F8" i="3"/>
  <c r="DF7" i="3"/>
  <c r="DE7" i="3"/>
  <c r="DD7" i="3"/>
  <c r="DA7" i="3"/>
  <c r="CW7" i="3"/>
  <c r="CV7" i="3"/>
  <c r="CU7" i="3"/>
  <c r="CR7" i="3"/>
  <c r="CN7" i="3"/>
  <c r="CM7" i="3"/>
  <c r="CL7" i="3"/>
  <c r="CI7" i="3"/>
  <c r="CE7" i="3"/>
  <c r="CD7" i="3"/>
  <c r="CC7" i="3"/>
  <c r="BZ7" i="3"/>
  <c r="BV7" i="3"/>
  <c r="BU7" i="3"/>
  <c r="BT7" i="3"/>
  <c r="BQ7" i="3"/>
  <c r="BM7" i="3"/>
  <c r="BL7" i="3"/>
  <c r="BK7" i="3"/>
  <c r="BH7" i="3"/>
  <c r="BD7" i="3"/>
  <c r="BC7" i="3"/>
  <c r="BB7" i="3"/>
  <c r="AY7" i="3"/>
  <c r="AU7" i="3"/>
  <c r="AT7" i="3"/>
  <c r="AS7" i="3"/>
  <c r="AP7" i="3"/>
  <c r="AL7" i="3"/>
  <c r="AK7" i="3"/>
  <c r="AJ7" i="3"/>
  <c r="AG7" i="3"/>
  <c r="AC7" i="3"/>
  <c r="AB7" i="3"/>
  <c r="AA7" i="3"/>
  <c r="X7" i="3"/>
  <c r="T7" i="3"/>
  <c r="S7" i="3"/>
  <c r="R7" i="3"/>
  <c r="O7" i="3"/>
  <c r="K7" i="3"/>
  <c r="J7" i="3"/>
  <c r="I7" i="3"/>
  <c r="F7" i="3"/>
  <c r="DF6" i="3"/>
  <c r="DD6" i="3"/>
  <c r="DA6" i="3"/>
  <c r="DE6" i="3" s="1"/>
  <c r="CW6" i="3"/>
  <c r="CU6" i="3"/>
  <c r="CR6" i="3"/>
  <c r="CV6" i="3" s="1"/>
  <c r="CN6" i="3"/>
  <c r="CL6" i="3"/>
  <c r="CI6" i="3"/>
  <c r="CM6" i="3" s="1"/>
  <c r="CE6" i="3"/>
  <c r="CC6" i="3"/>
  <c r="BZ6" i="3"/>
  <c r="CD6" i="3" s="1"/>
  <c r="BV6" i="3"/>
  <c r="BT6" i="3"/>
  <c r="BQ6" i="3"/>
  <c r="BU6" i="3" s="1"/>
  <c r="BM6" i="3"/>
  <c r="BK6" i="3"/>
  <c r="BH6" i="3"/>
  <c r="BL6" i="3" s="1"/>
  <c r="BD6" i="3"/>
  <c r="BB6" i="3"/>
  <c r="AY6" i="3"/>
  <c r="BC6" i="3" s="1"/>
  <c r="AU6" i="3"/>
  <c r="AS6" i="3"/>
  <c r="AP6" i="3"/>
  <c r="AT6" i="3" s="1"/>
  <c r="AL6" i="3"/>
  <c r="AJ6" i="3"/>
  <c r="AG6" i="3"/>
  <c r="AK6" i="3" s="1"/>
  <c r="AC6" i="3"/>
  <c r="AA6" i="3"/>
  <c r="X6" i="3"/>
  <c r="AB6" i="3" s="1"/>
  <c r="T6" i="3"/>
  <c r="R6" i="3"/>
  <c r="O6" i="3"/>
  <c r="S6" i="3" s="1"/>
  <c r="K6" i="3"/>
  <c r="I6" i="3"/>
  <c r="F6" i="3"/>
  <c r="J6" i="3" s="1"/>
  <c r="DF5" i="3"/>
  <c r="DD5" i="3"/>
  <c r="DA5" i="3"/>
  <c r="CW5" i="3"/>
  <c r="CU5" i="3"/>
  <c r="CV5" i="3" s="1"/>
  <c r="CR5" i="3"/>
  <c r="CN5" i="3"/>
  <c r="CL5" i="3"/>
  <c r="CI5" i="3"/>
  <c r="CE5" i="3"/>
  <c r="CC5" i="3"/>
  <c r="BZ5" i="3"/>
  <c r="BV5" i="3"/>
  <c r="BT5" i="3"/>
  <c r="BQ5" i="3"/>
  <c r="BM5" i="3"/>
  <c r="BK5" i="3"/>
  <c r="BL5" i="3" s="1"/>
  <c r="BH5" i="3"/>
  <c r="BD5" i="3"/>
  <c r="BB5" i="3"/>
  <c r="AY5" i="3"/>
  <c r="AU5" i="3"/>
  <c r="AS5" i="3"/>
  <c r="AP5" i="3"/>
  <c r="AL5" i="3"/>
  <c r="AJ5" i="3"/>
  <c r="AG5" i="3"/>
  <c r="AC5" i="3"/>
  <c r="AA5" i="3"/>
  <c r="AB5" i="3" s="1"/>
  <c r="X5" i="3"/>
  <c r="T5" i="3"/>
  <c r="R5" i="3"/>
  <c r="O5" i="3"/>
  <c r="K5" i="3"/>
  <c r="I5" i="3"/>
  <c r="F5" i="3"/>
  <c r="DF4" i="3"/>
  <c r="DD4" i="3"/>
  <c r="DE4" i="3" s="1"/>
  <c r="DA4" i="3"/>
  <c r="CW4" i="3"/>
  <c r="CU4" i="3"/>
  <c r="CV4" i="3" s="1"/>
  <c r="CR4" i="3"/>
  <c r="CN4" i="3"/>
  <c r="CL4" i="3"/>
  <c r="CM4" i="3" s="1"/>
  <c r="CI4" i="3"/>
  <c r="CE4" i="3"/>
  <c r="CC4" i="3"/>
  <c r="CD4" i="3" s="1"/>
  <c r="BZ4" i="3"/>
  <c r="BV4" i="3"/>
  <c r="BT4" i="3"/>
  <c r="BU4" i="3" s="1"/>
  <c r="BQ4" i="3"/>
  <c r="BM4" i="3"/>
  <c r="BK4" i="3"/>
  <c r="BL4" i="3" s="1"/>
  <c r="BH4" i="3"/>
  <c r="BD4" i="3"/>
  <c r="BB4" i="3"/>
  <c r="BC4" i="3" s="1"/>
  <c r="AY4" i="3"/>
  <c r="AU4" i="3"/>
  <c r="AS4" i="3"/>
  <c r="AT4" i="3" s="1"/>
  <c r="AP4" i="3"/>
  <c r="AL4" i="3"/>
  <c r="AJ4" i="3"/>
  <c r="AK4" i="3" s="1"/>
  <c r="AG4" i="3"/>
  <c r="AC4" i="3"/>
  <c r="AA4" i="3"/>
  <c r="AB4" i="3" s="1"/>
  <c r="X4" i="3"/>
  <c r="T4" i="3"/>
  <c r="R4" i="3"/>
  <c r="S4" i="3" s="1"/>
  <c r="O4" i="3"/>
  <c r="K4" i="3"/>
  <c r="I4" i="3"/>
  <c r="J4" i="3" s="1"/>
  <c r="F4" i="3"/>
  <c r="DF3" i="3"/>
  <c r="DE3" i="3"/>
  <c r="DD3" i="3"/>
  <c r="DA3" i="3"/>
  <c r="CW3" i="3"/>
  <c r="CV3" i="3"/>
  <c r="CU3" i="3"/>
  <c r="CR3" i="3"/>
  <c r="CN3" i="3"/>
  <c r="CM3" i="3"/>
  <c r="CL3" i="3"/>
  <c r="CI3" i="3"/>
  <c r="CE3" i="3"/>
  <c r="CD3" i="3"/>
  <c r="CC3" i="3"/>
  <c r="BZ3" i="3"/>
  <c r="BV3" i="3"/>
  <c r="BU3" i="3"/>
  <c r="BT3" i="3"/>
  <c r="BQ3" i="3"/>
  <c r="BM3" i="3"/>
  <c r="BL3" i="3"/>
  <c r="BK3" i="3"/>
  <c r="BH3" i="3"/>
  <c r="BD3" i="3"/>
  <c r="BC3" i="3"/>
  <c r="BB3" i="3"/>
  <c r="AY3" i="3"/>
  <c r="AU3" i="3"/>
  <c r="AT3" i="3"/>
  <c r="AS3" i="3"/>
  <c r="AP3" i="3"/>
  <c r="AL3" i="3"/>
  <c r="AK3" i="3"/>
  <c r="AJ3" i="3"/>
  <c r="AG3" i="3"/>
  <c r="AC3" i="3"/>
  <c r="AB3" i="3"/>
  <c r="AA3" i="3"/>
  <c r="X3" i="3"/>
  <c r="T3" i="3"/>
  <c r="S3" i="3"/>
  <c r="R3" i="3"/>
  <c r="O3" i="3"/>
  <c r="K3" i="3"/>
  <c r="J3" i="3"/>
  <c r="I3" i="3"/>
  <c r="F3" i="3"/>
  <c r="DF119" i="2"/>
  <c r="DD119" i="2"/>
  <c r="DE119" i="2" s="1"/>
  <c r="DA119" i="2"/>
  <c r="CW119" i="2"/>
  <c r="CU119" i="2"/>
  <c r="CR119" i="2"/>
  <c r="CN119" i="2"/>
  <c r="CL119" i="2"/>
  <c r="CI119" i="2"/>
  <c r="CE119" i="2"/>
  <c r="CC119" i="2"/>
  <c r="BZ119" i="2"/>
  <c r="BV119" i="2"/>
  <c r="BT119" i="2"/>
  <c r="BU119" i="2" s="1"/>
  <c r="BQ119" i="2"/>
  <c r="BM119" i="2"/>
  <c r="BK119" i="2"/>
  <c r="BH119" i="2"/>
  <c r="BD119" i="2"/>
  <c r="BB119" i="2"/>
  <c r="AY119" i="2"/>
  <c r="AU119" i="2"/>
  <c r="AS119" i="2"/>
  <c r="AP119" i="2"/>
  <c r="AL119" i="2"/>
  <c r="AJ119" i="2"/>
  <c r="AK119" i="2" s="1"/>
  <c r="AG119" i="2"/>
  <c r="AC119" i="2"/>
  <c r="AA119" i="2"/>
  <c r="X119" i="2"/>
  <c r="T119" i="2"/>
  <c r="R119" i="2"/>
  <c r="O119" i="2"/>
  <c r="K119" i="2"/>
  <c r="I119" i="2"/>
  <c r="F119" i="2"/>
  <c r="DF118" i="2"/>
  <c r="DD118" i="2"/>
  <c r="DA118" i="2"/>
  <c r="CW118" i="2"/>
  <c r="CU118" i="2"/>
  <c r="CV118" i="2" s="1"/>
  <c r="CR118" i="2"/>
  <c r="CN118" i="2"/>
  <c r="CL118" i="2"/>
  <c r="CI118" i="2"/>
  <c r="CE118" i="2"/>
  <c r="CC118" i="2"/>
  <c r="BZ118" i="2"/>
  <c r="BV118" i="2"/>
  <c r="BT118" i="2"/>
  <c r="BQ118" i="2"/>
  <c r="BM118" i="2"/>
  <c r="BK118" i="2"/>
  <c r="BL118" i="2" s="1"/>
  <c r="BH118" i="2"/>
  <c r="BD118" i="2"/>
  <c r="BB118" i="2"/>
  <c r="AY118" i="2"/>
  <c r="AU118" i="2"/>
  <c r="AS118" i="2"/>
  <c r="AP118" i="2"/>
  <c r="AL118" i="2"/>
  <c r="AJ118" i="2"/>
  <c r="AG118" i="2"/>
  <c r="AC118" i="2"/>
  <c r="AA118" i="2"/>
  <c r="AB118" i="2" s="1"/>
  <c r="X118" i="2"/>
  <c r="T118" i="2"/>
  <c r="R118" i="2"/>
  <c r="O118" i="2"/>
  <c r="K118" i="2"/>
  <c r="I118" i="2"/>
  <c r="F118" i="2"/>
  <c r="DF117" i="2"/>
  <c r="DD117" i="2"/>
  <c r="DE117" i="2" s="1"/>
  <c r="DA117" i="2"/>
  <c r="CW117" i="2"/>
  <c r="CU117" i="2"/>
  <c r="CV117" i="2" s="1"/>
  <c r="CR117" i="2"/>
  <c r="CN117" i="2"/>
  <c r="CL117" i="2"/>
  <c r="CM117" i="2" s="1"/>
  <c r="CI117" i="2"/>
  <c r="CE117" i="2"/>
  <c r="CC117" i="2"/>
  <c r="CD117" i="2" s="1"/>
  <c r="BZ117" i="2"/>
  <c r="BV117" i="2"/>
  <c r="BT117" i="2"/>
  <c r="BU117" i="2" s="1"/>
  <c r="BQ117" i="2"/>
  <c r="BM117" i="2"/>
  <c r="BK117" i="2"/>
  <c r="BL117" i="2" s="1"/>
  <c r="BH117" i="2"/>
  <c r="BD117" i="2"/>
  <c r="BB117" i="2"/>
  <c r="BC117" i="2" s="1"/>
  <c r="AY117" i="2"/>
  <c r="AU117" i="2"/>
  <c r="AS117" i="2"/>
  <c r="AT117" i="2" s="1"/>
  <c r="AP117" i="2"/>
  <c r="AL117" i="2"/>
  <c r="AJ117" i="2"/>
  <c r="AK117" i="2" s="1"/>
  <c r="AG117" i="2"/>
  <c r="AC117" i="2"/>
  <c r="AA117" i="2"/>
  <c r="AB117" i="2" s="1"/>
  <c r="X117" i="2"/>
  <c r="T117" i="2"/>
  <c r="R117" i="2"/>
  <c r="S117" i="2" s="1"/>
  <c r="O117" i="2"/>
  <c r="K117" i="2"/>
  <c r="I117" i="2"/>
  <c r="J117" i="2" s="1"/>
  <c r="F117" i="2"/>
  <c r="DF116" i="2"/>
  <c r="DE116" i="2"/>
  <c r="DD116" i="2"/>
  <c r="DA116" i="2"/>
  <c r="CW116" i="2"/>
  <c r="CV116" i="2"/>
  <c r="CU116" i="2"/>
  <c r="CR116" i="2"/>
  <c r="CN116" i="2"/>
  <c r="CM116" i="2"/>
  <c r="CL116" i="2"/>
  <c r="CI116" i="2"/>
  <c r="CE116" i="2"/>
  <c r="CD116" i="2"/>
  <c r="CC116" i="2"/>
  <c r="BZ116" i="2"/>
  <c r="BV116" i="2"/>
  <c r="BU116" i="2"/>
  <c r="BT116" i="2"/>
  <c r="BQ116" i="2"/>
  <c r="BM116" i="2"/>
  <c r="BL116" i="2"/>
  <c r="BK116" i="2"/>
  <c r="BH116" i="2"/>
  <c r="BD116" i="2"/>
  <c r="BC116" i="2"/>
  <c r="BB116" i="2"/>
  <c r="AY116" i="2"/>
  <c r="AU116" i="2"/>
  <c r="AT116" i="2"/>
  <c r="AS116" i="2"/>
  <c r="AP116" i="2"/>
  <c r="AL116" i="2"/>
  <c r="AK116" i="2"/>
  <c r="AJ116" i="2"/>
  <c r="AG116" i="2"/>
  <c r="AC116" i="2"/>
  <c r="AB116" i="2"/>
  <c r="AA116" i="2"/>
  <c r="X116" i="2"/>
  <c r="T116" i="2"/>
  <c r="S116" i="2"/>
  <c r="R116" i="2"/>
  <c r="O116" i="2"/>
  <c r="K116" i="2"/>
  <c r="J116" i="2"/>
  <c r="I116" i="2"/>
  <c r="F116" i="2"/>
  <c r="DF115" i="2"/>
  <c r="DD115" i="2"/>
  <c r="DE115" i="2" s="1"/>
  <c r="DA115" i="2"/>
  <c r="CW115" i="2"/>
  <c r="CU115" i="2"/>
  <c r="CR115" i="2"/>
  <c r="CN115" i="2"/>
  <c r="CL115" i="2"/>
  <c r="CI115" i="2"/>
  <c r="CE115" i="2"/>
  <c r="CC115" i="2"/>
  <c r="BZ115" i="2"/>
  <c r="BV115" i="2"/>
  <c r="BT115" i="2"/>
  <c r="BU115" i="2" s="1"/>
  <c r="BQ115" i="2"/>
  <c r="BM115" i="2"/>
  <c r="BK115" i="2"/>
  <c r="BH115" i="2"/>
  <c r="BD115" i="2"/>
  <c r="BB115" i="2"/>
  <c r="AY115" i="2"/>
  <c r="AU115" i="2"/>
  <c r="AS115" i="2"/>
  <c r="AP115" i="2"/>
  <c r="AL115" i="2"/>
  <c r="AJ115" i="2"/>
  <c r="AK115" i="2" s="1"/>
  <c r="AG115" i="2"/>
  <c r="AC115" i="2"/>
  <c r="AA115" i="2"/>
  <c r="X115" i="2"/>
  <c r="T115" i="2"/>
  <c r="R115" i="2"/>
  <c r="O115" i="2"/>
  <c r="K115" i="2"/>
  <c r="I115" i="2"/>
  <c r="F115" i="2"/>
  <c r="DF114" i="2"/>
  <c r="DD114" i="2"/>
  <c r="DA114" i="2"/>
  <c r="CW114" i="2"/>
  <c r="CU114" i="2"/>
  <c r="CV114" i="2" s="1"/>
  <c r="CR114" i="2"/>
  <c r="CN114" i="2"/>
  <c r="CL114" i="2"/>
  <c r="CI114" i="2"/>
  <c r="CE114" i="2"/>
  <c r="CC114" i="2"/>
  <c r="BZ114" i="2"/>
  <c r="BV114" i="2"/>
  <c r="BT114" i="2"/>
  <c r="BQ114" i="2"/>
  <c r="BM114" i="2"/>
  <c r="BK114" i="2"/>
  <c r="BL114" i="2" s="1"/>
  <c r="BH114" i="2"/>
  <c r="BD114" i="2"/>
  <c r="BB114" i="2"/>
  <c r="AY114" i="2"/>
  <c r="AU114" i="2"/>
  <c r="AS114" i="2"/>
  <c r="AP114" i="2"/>
  <c r="AL114" i="2"/>
  <c r="AJ114" i="2"/>
  <c r="AG114" i="2"/>
  <c r="AC114" i="2"/>
  <c r="AA114" i="2"/>
  <c r="AB114" i="2" s="1"/>
  <c r="X114" i="2"/>
  <c r="T114" i="2"/>
  <c r="R114" i="2"/>
  <c r="O114" i="2"/>
  <c r="K114" i="2"/>
  <c r="I114" i="2"/>
  <c r="F114" i="2"/>
  <c r="DF113" i="2"/>
  <c r="DD113" i="2"/>
  <c r="DE113" i="2" s="1"/>
  <c r="DA113" i="2"/>
  <c r="CW113" i="2"/>
  <c r="CU113" i="2"/>
  <c r="CV113" i="2" s="1"/>
  <c r="CR113" i="2"/>
  <c r="CN113" i="2"/>
  <c r="CL113" i="2"/>
  <c r="CM113" i="2" s="1"/>
  <c r="CI113" i="2"/>
  <c r="CE113" i="2"/>
  <c r="CC113" i="2"/>
  <c r="CD113" i="2" s="1"/>
  <c r="BZ113" i="2"/>
  <c r="BV113" i="2"/>
  <c r="BT113" i="2"/>
  <c r="BU113" i="2" s="1"/>
  <c r="BQ113" i="2"/>
  <c r="BM113" i="2"/>
  <c r="BK113" i="2"/>
  <c r="BL113" i="2" s="1"/>
  <c r="BH113" i="2"/>
  <c r="BD113" i="2"/>
  <c r="BB113" i="2"/>
  <c r="BC113" i="2" s="1"/>
  <c r="AY113" i="2"/>
  <c r="AU113" i="2"/>
  <c r="AS113" i="2"/>
  <c r="AT113" i="2" s="1"/>
  <c r="AP113" i="2"/>
  <c r="AL113" i="2"/>
  <c r="AJ113" i="2"/>
  <c r="AK113" i="2" s="1"/>
  <c r="AG113" i="2"/>
  <c r="AC113" i="2"/>
  <c r="AA113" i="2"/>
  <c r="AB113" i="2" s="1"/>
  <c r="X113" i="2"/>
  <c r="T113" i="2"/>
  <c r="R113" i="2"/>
  <c r="S113" i="2" s="1"/>
  <c r="O113" i="2"/>
  <c r="K113" i="2"/>
  <c r="I113" i="2"/>
  <c r="J113" i="2" s="1"/>
  <c r="F113" i="2"/>
  <c r="DF112" i="2"/>
  <c r="DE112" i="2"/>
  <c r="DD112" i="2"/>
  <c r="DA112" i="2"/>
  <c r="CW112" i="2"/>
  <c r="CV112" i="2"/>
  <c r="CU112" i="2"/>
  <c r="CR112" i="2"/>
  <c r="CN112" i="2"/>
  <c r="CM112" i="2"/>
  <c r="CL112" i="2"/>
  <c r="CI112" i="2"/>
  <c r="CE112" i="2"/>
  <c r="CD112" i="2"/>
  <c r="CC112" i="2"/>
  <c r="BZ112" i="2"/>
  <c r="BV112" i="2"/>
  <c r="BU112" i="2"/>
  <c r="BT112" i="2"/>
  <c r="BQ112" i="2"/>
  <c r="BM112" i="2"/>
  <c r="BL112" i="2"/>
  <c r="BK112" i="2"/>
  <c r="BH112" i="2"/>
  <c r="BD112" i="2"/>
  <c r="BC112" i="2"/>
  <c r="BB112" i="2"/>
  <c r="AY112" i="2"/>
  <c r="AU112" i="2"/>
  <c r="AT112" i="2"/>
  <c r="AS112" i="2"/>
  <c r="AP112" i="2"/>
  <c r="AL112" i="2"/>
  <c r="AK112" i="2"/>
  <c r="AJ112" i="2"/>
  <c r="AG112" i="2"/>
  <c r="AC112" i="2"/>
  <c r="AB112" i="2"/>
  <c r="AA112" i="2"/>
  <c r="X112" i="2"/>
  <c r="T112" i="2"/>
  <c r="S112" i="2"/>
  <c r="R112" i="2"/>
  <c r="O112" i="2"/>
  <c r="K112" i="2"/>
  <c r="J112" i="2"/>
  <c r="I112" i="2"/>
  <c r="F112" i="2"/>
  <c r="DF111" i="2"/>
  <c r="DD111" i="2"/>
  <c r="DE111" i="2" s="1"/>
  <c r="DA111" i="2"/>
  <c r="CW111" i="2"/>
  <c r="CU111" i="2"/>
  <c r="CR111" i="2"/>
  <c r="CN111" i="2"/>
  <c r="CL111" i="2"/>
  <c r="CI111" i="2"/>
  <c r="CE111" i="2"/>
  <c r="CC111" i="2"/>
  <c r="BZ111" i="2"/>
  <c r="BV111" i="2"/>
  <c r="BT111" i="2"/>
  <c r="BU111" i="2" s="1"/>
  <c r="BQ111" i="2"/>
  <c r="BM111" i="2"/>
  <c r="BK111" i="2"/>
  <c r="BH111" i="2"/>
  <c r="BD111" i="2"/>
  <c r="BB111" i="2"/>
  <c r="AY111" i="2"/>
  <c r="AU111" i="2"/>
  <c r="AS111" i="2"/>
  <c r="AP111" i="2"/>
  <c r="AL111" i="2"/>
  <c r="AJ111" i="2"/>
  <c r="AK111" i="2" s="1"/>
  <c r="AG111" i="2"/>
  <c r="AC111" i="2"/>
  <c r="AA111" i="2"/>
  <c r="X111" i="2"/>
  <c r="T111" i="2"/>
  <c r="R111" i="2"/>
  <c r="O111" i="2"/>
  <c r="K111" i="2"/>
  <c r="I111" i="2"/>
  <c r="F111" i="2"/>
  <c r="DF110" i="2"/>
  <c r="DD110" i="2"/>
  <c r="DA110" i="2"/>
  <c r="CW110" i="2"/>
  <c r="CU110" i="2"/>
  <c r="CV110" i="2" s="1"/>
  <c r="CR110" i="2"/>
  <c r="CN110" i="2"/>
  <c r="CL110" i="2"/>
  <c r="CI110" i="2"/>
  <c r="CE110" i="2"/>
  <c r="CC110" i="2"/>
  <c r="BZ110" i="2"/>
  <c r="BV110" i="2"/>
  <c r="BT110" i="2"/>
  <c r="BQ110" i="2"/>
  <c r="BM110" i="2"/>
  <c r="BK110" i="2"/>
  <c r="BL110" i="2" s="1"/>
  <c r="BH110" i="2"/>
  <c r="BD110" i="2"/>
  <c r="BB110" i="2"/>
  <c r="AY110" i="2"/>
  <c r="AU110" i="2"/>
  <c r="AS110" i="2"/>
  <c r="AP110" i="2"/>
  <c r="AL110" i="2"/>
  <c r="AJ110" i="2"/>
  <c r="AG110" i="2"/>
  <c r="AC110" i="2"/>
  <c r="AA110" i="2"/>
  <c r="AB110" i="2" s="1"/>
  <c r="X110" i="2"/>
  <c r="T110" i="2"/>
  <c r="R110" i="2"/>
  <c r="O110" i="2"/>
  <c r="K110" i="2"/>
  <c r="I110" i="2"/>
  <c r="F110" i="2"/>
  <c r="DF109" i="2"/>
  <c r="DD109" i="2"/>
  <c r="DE109" i="2" s="1"/>
  <c r="DA109" i="2"/>
  <c r="CW109" i="2"/>
  <c r="CU109" i="2"/>
  <c r="CV109" i="2" s="1"/>
  <c r="CR109" i="2"/>
  <c r="CN109" i="2"/>
  <c r="CL109" i="2"/>
  <c r="CM109" i="2" s="1"/>
  <c r="CI109" i="2"/>
  <c r="CE109" i="2"/>
  <c r="CC109" i="2"/>
  <c r="CD109" i="2" s="1"/>
  <c r="BZ109" i="2"/>
  <c r="BV109" i="2"/>
  <c r="BT109" i="2"/>
  <c r="BU109" i="2" s="1"/>
  <c r="BQ109" i="2"/>
  <c r="BM109" i="2"/>
  <c r="BK109" i="2"/>
  <c r="BL109" i="2" s="1"/>
  <c r="BH109" i="2"/>
  <c r="BD109" i="2"/>
  <c r="BB109" i="2"/>
  <c r="BC109" i="2" s="1"/>
  <c r="AY109" i="2"/>
  <c r="AU109" i="2"/>
  <c r="AS109" i="2"/>
  <c r="AT109" i="2" s="1"/>
  <c r="AP109" i="2"/>
  <c r="AL109" i="2"/>
  <c r="AJ109" i="2"/>
  <c r="AK109" i="2" s="1"/>
  <c r="AG109" i="2"/>
  <c r="AC109" i="2"/>
  <c r="AA109" i="2"/>
  <c r="AB109" i="2" s="1"/>
  <c r="X109" i="2"/>
  <c r="T109" i="2"/>
  <c r="R109" i="2"/>
  <c r="S109" i="2" s="1"/>
  <c r="O109" i="2"/>
  <c r="K109" i="2"/>
  <c r="I109" i="2"/>
  <c r="J109" i="2" s="1"/>
  <c r="F109" i="2"/>
  <c r="DF108" i="2"/>
  <c r="DE108" i="2"/>
  <c r="DD108" i="2"/>
  <c r="DA108" i="2"/>
  <c r="CW108" i="2"/>
  <c r="CV108" i="2"/>
  <c r="CU108" i="2"/>
  <c r="CR108" i="2"/>
  <c r="CN108" i="2"/>
  <c r="CM108" i="2"/>
  <c r="CL108" i="2"/>
  <c r="CI108" i="2"/>
  <c r="CE108" i="2"/>
  <c r="CD108" i="2"/>
  <c r="CC108" i="2"/>
  <c r="BZ108" i="2"/>
  <c r="BV108" i="2"/>
  <c r="BU108" i="2"/>
  <c r="BT108" i="2"/>
  <c r="BQ108" i="2"/>
  <c r="BM108" i="2"/>
  <c r="BL108" i="2"/>
  <c r="BK108" i="2"/>
  <c r="BH108" i="2"/>
  <c r="BD108" i="2"/>
  <c r="BC108" i="2"/>
  <c r="BB108" i="2"/>
  <c r="AY108" i="2"/>
  <c r="AU108" i="2"/>
  <c r="AT108" i="2"/>
  <c r="AS108" i="2"/>
  <c r="AP108" i="2"/>
  <c r="AL108" i="2"/>
  <c r="AK108" i="2"/>
  <c r="AJ108" i="2"/>
  <c r="AG108" i="2"/>
  <c r="AC108" i="2"/>
  <c r="AB108" i="2"/>
  <c r="AA108" i="2"/>
  <c r="X108" i="2"/>
  <c r="T108" i="2"/>
  <c r="S108" i="2"/>
  <c r="R108" i="2"/>
  <c r="O108" i="2"/>
  <c r="K108" i="2"/>
  <c r="J108" i="2"/>
  <c r="I108" i="2"/>
  <c r="F108" i="2"/>
  <c r="DF107" i="2"/>
  <c r="DD107" i="2"/>
  <c r="DE107" i="2" s="1"/>
  <c r="DA107" i="2"/>
  <c r="CW107" i="2"/>
  <c r="CU107" i="2"/>
  <c r="CR107" i="2"/>
  <c r="CN107" i="2"/>
  <c r="CL107" i="2"/>
  <c r="CI107" i="2"/>
  <c r="CE107" i="2"/>
  <c r="CC107" i="2"/>
  <c r="BZ107" i="2"/>
  <c r="BV107" i="2"/>
  <c r="BT107" i="2"/>
  <c r="BU107" i="2" s="1"/>
  <c r="BQ107" i="2"/>
  <c r="BM107" i="2"/>
  <c r="BK107" i="2"/>
  <c r="BH107" i="2"/>
  <c r="BD107" i="2"/>
  <c r="BB107" i="2"/>
  <c r="AY107" i="2"/>
  <c r="AU107" i="2"/>
  <c r="AS107" i="2"/>
  <c r="AP107" i="2"/>
  <c r="AL107" i="2"/>
  <c r="AJ107" i="2"/>
  <c r="AK107" i="2" s="1"/>
  <c r="AG107" i="2"/>
  <c r="AC107" i="2"/>
  <c r="AA107" i="2"/>
  <c r="X107" i="2"/>
  <c r="T107" i="2"/>
  <c r="R107" i="2"/>
  <c r="O107" i="2"/>
  <c r="K107" i="2"/>
  <c r="I107" i="2"/>
  <c r="F107" i="2"/>
  <c r="DF106" i="2"/>
  <c r="DD106" i="2"/>
  <c r="DA106" i="2"/>
  <c r="CW106" i="2"/>
  <c r="CU106" i="2"/>
  <c r="CV106" i="2" s="1"/>
  <c r="CR106" i="2"/>
  <c r="CN106" i="2"/>
  <c r="CL106" i="2"/>
  <c r="CI106" i="2"/>
  <c r="CE106" i="2"/>
  <c r="CC106" i="2"/>
  <c r="BZ106" i="2"/>
  <c r="BV106" i="2"/>
  <c r="BT106" i="2"/>
  <c r="BQ106" i="2"/>
  <c r="BM106" i="2"/>
  <c r="BK106" i="2"/>
  <c r="BL106" i="2" s="1"/>
  <c r="BH106" i="2"/>
  <c r="BD106" i="2"/>
  <c r="BB106" i="2"/>
  <c r="AY106" i="2"/>
  <c r="AU106" i="2"/>
  <c r="AS106" i="2"/>
  <c r="AP106" i="2"/>
  <c r="AL106" i="2"/>
  <c r="AJ106" i="2"/>
  <c r="AG106" i="2"/>
  <c r="AC106" i="2"/>
  <c r="AA106" i="2"/>
  <c r="AB106" i="2" s="1"/>
  <c r="X106" i="2"/>
  <c r="T106" i="2"/>
  <c r="R106" i="2"/>
  <c r="O106" i="2"/>
  <c r="K106" i="2"/>
  <c r="I106" i="2"/>
  <c r="F106" i="2"/>
  <c r="DF105" i="2"/>
  <c r="DD105" i="2"/>
  <c r="DE105" i="2" s="1"/>
  <c r="DA105" i="2"/>
  <c r="CW105" i="2"/>
  <c r="CU105" i="2"/>
  <c r="CV105" i="2" s="1"/>
  <c r="CR105" i="2"/>
  <c r="CN105" i="2"/>
  <c r="CL105" i="2"/>
  <c r="CM105" i="2" s="1"/>
  <c r="CI105" i="2"/>
  <c r="CE105" i="2"/>
  <c r="CC105" i="2"/>
  <c r="CD105" i="2" s="1"/>
  <c r="BZ105" i="2"/>
  <c r="BV105" i="2"/>
  <c r="BT105" i="2"/>
  <c r="BU105" i="2" s="1"/>
  <c r="BQ105" i="2"/>
  <c r="BM105" i="2"/>
  <c r="BK105" i="2"/>
  <c r="BL105" i="2" s="1"/>
  <c r="BH105" i="2"/>
  <c r="BD105" i="2"/>
  <c r="BB105" i="2"/>
  <c r="BC105" i="2" s="1"/>
  <c r="AY105" i="2"/>
  <c r="AU105" i="2"/>
  <c r="AS105" i="2"/>
  <c r="AT105" i="2" s="1"/>
  <c r="AP105" i="2"/>
  <c r="AL105" i="2"/>
  <c r="AJ105" i="2"/>
  <c r="AK105" i="2" s="1"/>
  <c r="AG105" i="2"/>
  <c r="AC105" i="2"/>
  <c r="AA105" i="2"/>
  <c r="AB105" i="2" s="1"/>
  <c r="X105" i="2"/>
  <c r="T105" i="2"/>
  <c r="R105" i="2"/>
  <c r="S105" i="2" s="1"/>
  <c r="O105" i="2"/>
  <c r="K105" i="2"/>
  <c r="I105" i="2"/>
  <c r="J105" i="2" s="1"/>
  <c r="F105" i="2"/>
  <c r="DF104" i="2"/>
  <c r="DE104" i="2"/>
  <c r="DD104" i="2"/>
  <c r="DA104" i="2"/>
  <c r="CW104" i="2"/>
  <c r="CV104" i="2"/>
  <c r="CU104" i="2"/>
  <c r="CR104" i="2"/>
  <c r="CN104" i="2"/>
  <c r="CM104" i="2"/>
  <c r="CL104" i="2"/>
  <c r="CI104" i="2"/>
  <c r="CE104" i="2"/>
  <c r="CD104" i="2"/>
  <c r="CC104" i="2"/>
  <c r="BZ104" i="2"/>
  <c r="BV104" i="2"/>
  <c r="BU104" i="2"/>
  <c r="BT104" i="2"/>
  <c r="BQ104" i="2"/>
  <c r="BM104" i="2"/>
  <c r="BL104" i="2"/>
  <c r="BK104" i="2"/>
  <c r="BH104" i="2"/>
  <c r="BD104" i="2"/>
  <c r="BC104" i="2"/>
  <c r="BB104" i="2"/>
  <c r="AY104" i="2"/>
  <c r="AU104" i="2"/>
  <c r="AT104" i="2"/>
  <c r="AS104" i="2"/>
  <c r="AP104" i="2"/>
  <c r="AL104" i="2"/>
  <c r="AK104" i="2"/>
  <c r="AJ104" i="2"/>
  <c r="AG104" i="2"/>
  <c r="AC104" i="2"/>
  <c r="AB104" i="2"/>
  <c r="AA104" i="2"/>
  <c r="X104" i="2"/>
  <c r="T104" i="2"/>
  <c r="S104" i="2"/>
  <c r="R104" i="2"/>
  <c r="O104" i="2"/>
  <c r="K104" i="2"/>
  <c r="J104" i="2"/>
  <c r="I104" i="2"/>
  <c r="F104" i="2"/>
  <c r="DF103" i="2"/>
  <c r="DD103" i="2"/>
  <c r="DE103" i="2" s="1"/>
  <c r="DA103" i="2"/>
  <c r="CW103" i="2"/>
  <c r="CU103" i="2"/>
  <c r="CR103" i="2"/>
  <c r="CN103" i="2"/>
  <c r="CL103" i="2"/>
  <c r="CI103" i="2"/>
  <c r="CE103" i="2"/>
  <c r="CC103" i="2"/>
  <c r="BZ103" i="2"/>
  <c r="BV103" i="2"/>
  <c r="BT103" i="2"/>
  <c r="BU103" i="2" s="1"/>
  <c r="BQ103" i="2"/>
  <c r="BM103" i="2"/>
  <c r="BK103" i="2"/>
  <c r="BH103" i="2"/>
  <c r="BD103" i="2"/>
  <c r="BB103" i="2"/>
  <c r="AY103" i="2"/>
  <c r="AU103" i="2"/>
  <c r="AS103" i="2"/>
  <c r="AP103" i="2"/>
  <c r="AL103" i="2"/>
  <c r="AJ103" i="2"/>
  <c r="AK103" i="2" s="1"/>
  <c r="AG103" i="2"/>
  <c r="AC103" i="2"/>
  <c r="AA103" i="2"/>
  <c r="X103" i="2"/>
  <c r="T103" i="2"/>
  <c r="R103" i="2"/>
  <c r="O103" i="2"/>
  <c r="K103" i="2"/>
  <c r="I103" i="2"/>
  <c r="F103" i="2"/>
  <c r="DF102" i="2"/>
  <c r="DD102" i="2"/>
  <c r="DE102" i="2" s="1"/>
  <c r="DA102" i="2"/>
  <c r="CW102" i="2"/>
  <c r="CU102" i="2"/>
  <c r="CV102" i="2" s="1"/>
  <c r="CR102" i="2"/>
  <c r="CN102" i="2"/>
  <c r="CL102" i="2"/>
  <c r="CM102" i="2" s="1"/>
  <c r="CI102" i="2"/>
  <c r="CE102" i="2"/>
  <c r="CC102" i="2"/>
  <c r="CD102" i="2" s="1"/>
  <c r="BZ102" i="2"/>
  <c r="BV102" i="2"/>
  <c r="BT102" i="2"/>
  <c r="BU102" i="2" s="1"/>
  <c r="BQ102" i="2"/>
  <c r="BM102" i="2"/>
  <c r="BK102" i="2"/>
  <c r="BL102" i="2" s="1"/>
  <c r="BH102" i="2"/>
  <c r="BD102" i="2"/>
  <c r="BB102" i="2"/>
  <c r="BC102" i="2" s="1"/>
  <c r="AY102" i="2"/>
  <c r="AU102" i="2"/>
  <c r="AS102" i="2"/>
  <c r="AT102" i="2" s="1"/>
  <c r="AP102" i="2"/>
  <c r="AL102" i="2"/>
  <c r="AJ102" i="2"/>
  <c r="AK102" i="2" s="1"/>
  <c r="AG102" i="2"/>
  <c r="AC102" i="2"/>
  <c r="AA102" i="2"/>
  <c r="AB102" i="2" s="1"/>
  <c r="X102" i="2"/>
  <c r="T102" i="2"/>
  <c r="R102" i="2"/>
  <c r="S102" i="2" s="1"/>
  <c r="O102" i="2"/>
  <c r="K102" i="2"/>
  <c r="I102" i="2"/>
  <c r="J102" i="2" s="1"/>
  <c r="F102" i="2"/>
  <c r="DF101" i="2"/>
  <c r="DD101" i="2"/>
  <c r="DE101" i="2" s="1"/>
  <c r="DA101" i="2"/>
  <c r="CW101" i="2"/>
  <c r="CU101" i="2"/>
  <c r="CV101" i="2" s="1"/>
  <c r="CR101" i="2"/>
  <c r="CN101" i="2"/>
  <c r="CL101" i="2"/>
  <c r="CM101" i="2" s="1"/>
  <c r="CI101" i="2"/>
  <c r="CE101" i="2"/>
  <c r="CC101" i="2"/>
  <c r="CD101" i="2" s="1"/>
  <c r="BZ101" i="2"/>
  <c r="BV101" i="2"/>
  <c r="BT101" i="2"/>
  <c r="BU101" i="2" s="1"/>
  <c r="BQ101" i="2"/>
  <c r="BM101" i="2"/>
  <c r="BK101" i="2"/>
  <c r="BL101" i="2" s="1"/>
  <c r="BH101" i="2"/>
  <c r="BD101" i="2"/>
  <c r="BB101" i="2"/>
  <c r="BC101" i="2" s="1"/>
  <c r="AY101" i="2"/>
  <c r="AU101" i="2"/>
  <c r="AS101" i="2"/>
  <c r="AT101" i="2" s="1"/>
  <c r="AP101" i="2"/>
  <c r="AL101" i="2"/>
  <c r="AJ101" i="2"/>
  <c r="AK101" i="2" s="1"/>
  <c r="AG101" i="2"/>
  <c r="AC101" i="2"/>
  <c r="AA101" i="2"/>
  <c r="AB101" i="2" s="1"/>
  <c r="X101" i="2"/>
  <c r="T101" i="2"/>
  <c r="R101" i="2"/>
  <c r="S101" i="2" s="1"/>
  <c r="O101" i="2"/>
  <c r="K101" i="2"/>
  <c r="I101" i="2"/>
  <c r="J101" i="2" s="1"/>
  <c r="F101" i="2"/>
  <c r="DF100" i="2"/>
  <c r="DE100" i="2"/>
  <c r="DD100" i="2"/>
  <c r="DA100" i="2"/>
  <c r="CW100" i="2"/>
  <c r="CV100" i="2"/>
  <c r="CU100" i="2"/>
  <c r="CR100" i="2"/>
  <c r="CN100" i="2"/>
  <c r="CM100" i="2"/>
  <c r="CL100" i="2"/>
  <c r="CI100" i="2"/>
  <c r="CE100" i="2"/>
  <c r="CD100" i="2"/>
  <c r="CC100" i="2"/>
  <c r="BZ100" i="2"/>
  <c r="BV100" i="2"/>
  <c r="BU100" i="2"/>
  <c r="BT100" i="2"/>
  <c r="BQ100" i="2"/>
  <c r="BM100" i="2"/>
  <c r="BL100" i="2"/>
  <c r="BK100" i="2"/>
  <c r="BH100" i="2"/>
  <c r="BD100" i="2"/>
  <c r="BC100" i="2"/>
  <c r="BB100" i="2"/>
  <c r="AY100" i="2"/>
  <c r="AU100" i="2"/>
  <c r="AT100" i="2"/>
  <c r="AS100" i="2"/>
  <c r="AP100" i="2"/>
  <c r="AL100" i="2"/>
  <c r="AK100" i="2"/>
  <c r="AJ100" i="2"/>
  <c r="AG100" i="2"/>
  <c r="AC100" i="2"/>
  <c r="AB100" i="2"/>
  <c r="AA100" i="2"/>
  <c r="X100" i="2"/>
  <c r="T100" i="2"/>
  <c r="S100" i="2"/>
  <c r="R100" i="2"/>
  <c r="O100" i="2"/>
  <c r="K100" i="2"/>
  <c r="J100" i="2"/>
  <c r="I100" i="2"/>
  <c r="F100" i="2"/>
  <c r="DF99" i="2"/>
  <c r="DD99" i="2"/>
  <c r="DE99" i="2" s="1"/>
  <c r="DA99" i="2"/>
  <c r="CW99" i="2"/>
  <c r="CU99" i="2"/>
  <c r="CR99" i="2"/>
  <c r="CL99" i="2"/>
  <c r="CH99" i="2"/>
  <c r="CC99" i="2"/>
  <c r="CD99" i="2" s="1"/>
  <c r="BZ99" i="2"/>
  <c r="BY99" i="2"/>
  <c r="CE99" i="2" s="1"/>
  <c r="BV99" i="2"/>
  <c r="BT99" i="2"/>
  <c r="BU99" i="2" s="1"/>
  <c r="BQ99" i="2"/>
  <c r="BM99" i="2"/>
  <c r="BK99" i="2"/>
  <c r="BL99" i="2" s="1"/>
  <c r="BH99" i="2"/>
  <c r="BD99" i="2"/>
  <c r="BB99" i="2"/>
  <c r="BC99" i="2" s="1"/>
  <c r="AY99" i="2"/>
  <c r="AU99" i="2"/>
  <c r="AS99" i="2"/>
  <c r="AT99" i="2" s="1"/>
  <c r="AP99" i="2"/>
  <c r="AL99" i="2"/>
  <c r="AJ99" i="2"/>
  <c r="AK99" i="2" s="1"/>
  <c r="AG99" i="2"/>
  <c r="AC99" i="2"/>
  <c r="AA99" i="2"/>
  <c r="AB99" i="2" s="1"/>
  <c r="X99" i="2"/>
  <c r="T99" i="2"/>
  <c r="R99" i="2"/>
  <c r="S99" i="2" s="1"/>
  <c r="O99" i="2"/>
  <c r="K99" i="2"/>
  <c r="I99" i="2"/>
  <c r="J99" i="2" s="1"/>
  <c r="F99" i="2"/>
  <c r="DF98" i="2"/>
  <c r="DE98" i="2"/>
  <c r="DD98" i="2"/>
  <c r="DA98" i="2"/>
  <c r="CW98" i="2"/>
  <c r="CV98" i="2"/>
  <c r="CU98" i="2"/>
  <c r="CR98" i="2"/>
  <c r="CN98" i="2"/>
  <c r="CM98" i="2"/>
  <c r="CL98" i="2"/>
  <c r="CI98" i="2"/>
  <c r="CE98" i="2"/>
  <c r="CD98" i="2"/>
  <c r="CC98" i="2"/>
  <c r="BZ98" i="2"/>
  <c r="BV98" i="2"/>
  <c r="BU98" i="2"/>
  <c r="BT98" i="2"/>
  <c r="BQ98" i="2"/>
  <c r="BM98" i="2"/>
  <c r="BL98" i="2"/>
  <c r="BK98" i="2"/>
  <c r="BH98" i="2"/>
  <c r="BD98" i="2"/>
  <c r="BC98" i="2"/>
  <c r="BB98" i="2"/>
  <c r="AY98" i="2"/>
  <c r="AU98" i="2"/>
  <c r="AT98" i="2"/>
  <c r="AS98" i="2"/>
  <c r="AP98" i="2"/>
  <c r="AL98" i="2"/>
  <c r="AK98" i="2"/>
  <c r="AJ98" i="2"/>
  <c r="AG98" i="2"/>
  <c r="AC98" i="2"/>
  <c r="AB98" i="2"/>
  <c r="AA98" i="2"/>
  <c r="X98" i="2"/>
  <c r="T98" i="2"/>
  <c r="S98" i="2"/>
  <c r="R98" i="2"/>
  <c r="O98" i="2"/>
  <c r="K98" i="2"/>
  <c r="J98" i="2"/>
  <c r="I98" i="2"/>
  <c r="F98" i="2"/>
  <c r="DF97" i="2"/>
  <c r="DD97" i="2"/>
  <c r="DE97" i="2" s="1"/>
  <c r="DA97" i="2"/>
  <c r="CW97" i="2"/>
  <c r="CU97" i="2"/>
  <c r="CR97" i="2"/>
  <c r="CN97" i="2"/>
  <c r="CL97" i="2"/>
  <c r="CI97" i="2"/>
  <c r="CE97" i="2"/>
  <c r="CC97" i="2"/>
  <c r="BZ97" i="2"/>
  <c r="BV97" i="2"/>
  <c r="BT97" i="2"/>
  <c r="BU97" i="2" s="1"/>
  <c r="BQ97" i="2"/>
  <c r="BM97" i="2"/>
  <c r="BK97" i="2"/>
  <c r="BH97" i="2"/>
  <c r="BD97" i="2"/>
  <c r="BB97" i="2"/>
  <c r="AY97" i="2"/>
  <c r="AU97" i="2"/>
  <c r="AS97" i="2"/>
  <c r="AP97" i="2"/>
  <c r="AL97" i="2"/>
  <c r="AJ97" i="2"/>
  <c r="AK97" i="2" s="1"/>
  <c r="AG97" i="2"/>
  <c r="AC97" i="2"/>
  <c r="AA97" i="2"/>
  <c r="X97" i="2"/>
  <c r="T97" i="2"/>
  <c r="R97" i="2"/>
  <c r="O97" i="2"/>
  <c r="K97" i="2"/>
  <c r="I97" i="2"/>
  <c r="F97" i="2"/>
  <c r="DF96" i="2"/>
  <c r="DD96" i="2"/>
  <c r="DE96" i="2" s="1"/>
  <c r="DA96" i="2"/>
  <c r="CW96" i="2"/>
  <c r="CU96" i="2"/>
  <c r="CV96" i="2" s="1"/>
  <c r="CR96" i="2"/>
  <c r="CN96" i="2"/>
  <c r="CL96" i="2"/>
  <c r="CM96" i="2" s="1"/>
  <c r="CI96" i="2"/>
  <c r="CE96" i="2"/>
  <c r="CC96" i="2"/>
  <c r="CD96" i="2" s="1"/>
  <c r="BZ96" i="2"/>
  <c r="BV96" i="2"/>
  <c r="BT96" i="2"/>
  <c r="BU96" i="2" s="1"/>
  <c r="BQ96" i="2"/>
  <c r="BM96" i="2"/>
  <c r="BK96" i="2"/>
  <c r="BL96" i="2" s="1"/>
  <c r="BH96" i="2"/>
  <c r="BD96" i="2"/>
  <c r="BB96" i="2"/>
  <c r="BC96" i="2" s="1"/>
  <c r="AY96" i="2"/>
  <c r="AU96" i="2"/>
  <c r="AS96" i="2"/>
  <c r="AT96" i="2" s="1"/>
  <c r="AP96" i="2"/>
  <c r="AL96" i="2"/>
  <c r="AJ96" i="2"/>
  <c r="AK96" i="2" s="1"/>
  <c r="AG96" i="2"/>
  <c r="AC96" i="2"/>
  <c r="AA96" i="2"/>
  <c r="AB96" i="2" s="1"/>
  <c r="X96" i="2"/>
  <c r="T96" i="2"/>
  <c r="R96" i="2"/>
  <c r="S96" i="2" s="1"/>
  <c r="O96" i="2"/>
  <c r="K96" i="2"/>
  <c r="I96" i="2"/>
  <c r="J96" i="2" s="1"/>
  <c r="F96" i="2"/>
  <c r="DF95" i="2"/>
  <c r="DD95" i="2"/>
  <c r="DE95" i="2" s="1"/>
  <c r="DA95" i="2"/>
  <c r="CW95" i="2"/>
  <c r="CU95" i="2"/>
  <c r="CV95" i="2" s="1"/>
  <c r="CR95" i="2"/>
  <c r="CN95" i="2"/>
  <c r="CL95" i="2"/>
  <c r="CM95" i="2" s="1"/>
  <c r="CI95" i="2"/>
  <c r="CE95" i="2"/>
  <c r="CC95" i="2"/>
  <c r="CD95" i="2" s="1"/>
  <c r="BZ95" i="2"/>
  <c r="BV95" i="2"/>
  <c r="BT95" i="2"/>
  <c r="BU95" i="2" s="1"/>
  <c r="BQ95" i="2"/>
  <c r="BM95" i="2"/>
  <c r="BK95" i="2"/>
  <c r="BL95" i="2" s="1"/>
  <c r="BH95" i="2"/>
  <c r="BD95" i="2"/>
  <c r="BB95" i="2"/>
  <c r="BC95" i="2" s="1"/>
  <c r="AY95" i="2"/>
  <c r="AU95" i="2"/>
  <c r="AS95" i="2"/>
  <c r="AT95" i="2" s="1"/>
  <c r="AP95" i="2"/>
  <c r="AL95" i="2"/>
  <c r="AJ95" i="2"/>
  <c r="AK95" i="2" s="1"/>
  <c r="AG95" i="2"/>
  <c r="AC95" i="2"/>
  <c r="AA95" i="2"/>
  <c r="AB95" i="2" s="1"/>
  <c r="X95" i="2"/>
  <c r="T95" i="2"/>
  <c r="R95" i="2"/>
  <c r="S95" i="2" s="1"/>
  <c r="O95" i="2"/>
  <c r="K95" i="2"/>
  <c r="I95" i="2"/>
  <c r="J95" i="2" s="1"/>
  <c r="F95" i="2"/>
  <c r="DF94" i="2"/>
  <c r="DE94" i="2"/>
  <c r="DD94" i="2"/>
  <c r="DA94" i="2"/>
  <c r="CW94" i="2"/>
  <c r="CV94" i="2"/>
  <c r="CU94" i="2"/>
  <c r="CR94" i="2"/>
  <c r="CN94" i="2"/>
  <c r="CM94" i="2"/>
  <c r="CL94" i="2"/>
  <c r="CI94" i="2"/>
  <c r="CE94" i="2"/>
  <c r="CD94" i="2"/>
  <c r="CC94" i="2"/>
  <c r="BZ94" i="2"/>
  <c r="BV94" i="2"/>
  <c r="BU94" i="2"/>
  <c r="BT94" i="2"/>
  <c r="BQ94" i="2"/>
  <c r="BM94" i="2"/>
  <c r="BL94" i="2"/>
  <c r="BK94" i="2"/>
  <c r="BH94" i="2"/>
  <c r="BD94" i="2"/>
  <c r="BC94" i="2"/>
  <c r="BB94" i="2"/>
  <c r="AY94" i="2"/>
  <c r="AU94" i="2"/>
  <c r="AT94" i="2"/>
  <c r="AS94" i="2"/>
  <c r="AP94" i="2"/>
  <c r="AL94" i="2"/>
  <c r="AK94" i="2"/>
  <c r="AJ94" i="2"/>
  <c r="AG94" i="2"/>
  <c r="AC94" i="2"/>
  <c r="AB94" i="2"/>
  <c r="AA94" i="2"/>
  <c r="X94" i="2"/>
  <c r="T94" i="2"/>
  <c r="S94" i="2"/>
  <c r="R94" i="2"/>
  <c r="O94" i="2"/>
  <c r="K94" i="2"/>
  <c r="J94" i="2"/>
  <c r="I94" i="2"/>
  <c r="F94" i="2"/>
  <c r="DF93" i="2"/>
  <c r="DD93" i="2"/>
  <c r="DE93" i="2" s="1"/>
  <c r="DA93" i="2"/>
  <c r="CW93" i="2"/>
  <c r="CU93" i="2"/>
  <c r="CR93" i="2"/>
  <c r="CN93" i="2"/>
  <c r="CL93" i="2"/>
  <c r="CI93" i="2"/>
  <c r="CE93" i="2"/>
  <c r="CC93" i="2"/>
  <c r="BZ93" i="2"/>
  <c r="BV93" i="2"/>
  <c r="BT93" i="2"/>
  <c r="BU93" i="2" s="1"/>
  <c r="BQ93" i="2"/>
  <c r="BM93" i="2"/>
  <c r="BK93" i="2"/>
  <c r="BH93" i="2"/>
  <c r="BD93" i="2"/>
  <c r="BB93" i="2"/>
  <c r="AY93" i="2"/>
  <c r="AU93" i="2"/>
  <c r="AS93" i="2"/>
  <c r="AP93" i="2"/>
  <c r="AL93" i="2"/>
  <c r="AJ93" i="2"/>
  <c r="AK93" i="2" s="1"/>
  <c r="AG93" i="2"/>
  <c r="AC93" i="2"/>
  <c r="AA93" i="2"/>
  <c r="X93" i="2"/>
  <c r="T93" i="2"/>
  <c r="R93" i="2"/>
  <c r="O93" i="2"/>
  <c r="K93" i="2"/>
  <c r="I93" i="2"/>
  <c r="F93" i="2"/>
  <c r="DF92" i="2"/>
  <c r="DD92" i="2"/>
  <c r="DE92" i="2" s="1"/>
  <c r="DA92" i="2"/>
  <c r="CW92" i="2"/>
  <c r="CU92" i="2"/>
  <c r="CV92" i="2" s="1"/>
  <c r="CR92" i="2"/>
  <c r="CN92" i="2"/>
  <c r="CL92" i="2"/>
  <c r="CM92" i="2" s="1"/>
  <c r="CI92" i="2"/>
  <c r="CE92" i="2"/>
  <c r="CC92" i="2"/>
  <c r="CD92" i="2" s="1"/>
  <c r="BZ92" i="2"/>
  <c r="BV92" i="2"/>
  <c r="BT92" i="2"/>
  <c r="BU92" i="2" s="1"/>
  <c r="BQ92" i="2"/>
  <c r="BM92" i="2"/>
  <c r="BK92" i="2"/>
  <c r="BL92" i="2" s="1"/>
  <c r="BH92" i="2"/>
  <c r="BD92" i="2"/>
  <c r="BB92" i="2"/>
  <c r="BC92" i="2" s="1"/>
  <c r="AY92" i="2"/>
  <c r="AU92" i="2"/>
  <c r="AS92" i="2"/>
  <c r="AT92" i="2" s="1"/>
  <c r="AP92" i="2"/>
  <c r="AL92" i="2"/>
  <c r="AJ92" i="2"/>
  <c r="AK92" i="2" s="1"/>
  <c r="AG92" i="2"/>
  <c r="AC92" i="2"/>
  <c r="AA92" i="2"/>
  <c r="AB92" i="2" s="1"/>
  <c r="X92" i="2"/>
  <c r="T92" i="2"/>
  <c r="R92" i="2"/>
  <c r="S92" i="2" s="1"/>
  <c r="O92" i="2"/>
  <c r="K92" i="2"/>
  <c r="I92" i="2"/>
  <c r="J92" i="2" s="1"/>
  <c r="F92" i="2"/>
  <c r="DF91" i="2"/>
  <c r="DD91" i="2"/>
  <c r="DE91" i="2" s="1"/>
  <c r="DA91" i="2"/>
  <c r="CW91" i="2"/>
  <c r="CU91" i="2"/>
  <c r="CV91" i="2" s="1"/>
  <c r="CR91" i="2"/>
  <c r="CN91" i="2"/>
  <c r="CL91" i="2"/>
  <c r="CM91" i="2" s="1"/>
  <c r="CI91" i="2"/>
  <c r="CE91" i="2"/>
  <c r="CC91" i="2"/>
  <c r="CD91" i="2" s="1"/>
  <c r="BZ91" i="2"/>
  <c r="BV91" i="2"/>
  <c r="BT91" i="2"/>
  <c r="BU91" i="2" s="1"/>
  <c r="BQ91" i="2"/>
  <c r="BM91" i="2"/>
  <c r="BK91" i="2"/>
  <c r="BL91" i="2" s="1"/>
  <c r="BH91" i="2"/>
  <c r="BD91" i="2"/>
  <c r="BB91" i="2"/>
  <c r="BC91" i="2" s="1"/>
  <c r="AY91" i="2"/>
  <c r="AU91" i="2"/>
  <c r="AS91" i="2"/>
  <c r="AT91" i="2" s="1"/>
  <c r="AP91" i="2"/>
  <c r="AL91" i="2"/>
  <c r="AJ91" i="2"/>
  <c r="AK91" i="2" s="1"/>
  <c r="AG91" i="2"/>
  <c r="AC91" i="2"/>
  <c r="AA91" i="2"/>
  <c r="AB91" i="2" s="1"/>
  <c r="X91" i="2"/>
  <c r="T91" i="2"/>
  <c r="R91" i="2"/>
  <c r="S91" i="2" s="1"/>
  <c r="O91" i="2"/>
  <c r="K91" i="2"/>
  <c r="I91" i="2"/>
  <c r="J91" i="2" s="1"/>
  <c r="F91" i="2"/>
  <c r="DF90" i="2"/>
  <c r="DE90" i="2"/>
  <c r="DD90" i="2"/>
  <c r="DA90" i="2"/>
  <c r="CW90" i="2"/>
  <c r="CV90" i="2"/>
  <c r="CU90" i="2"/>
  <c r="CR90" i="2"/>
  <c r="CN90" i="2"/>
  <c r="CM90" i="2"/>
  <c r="CL90" i="2"/>
  <c r="CI90" i="2"/>
  <c r="CE90" i="2"/>
  <c r="CD90" i="2"/>
  <c r="CC90" i="2"/>
  <c r="BZ90" i="2"/>
  <c r="BV90" i="2"/>
  <c r="BU90" i="2"/>
  <c r="BT90" i="2"/>
  <c r="BQ90" i="2"/>
  <c r="BM90" i="2"/>
  <c r="BL90" i="2"/>
  <c r="BK90" i="2"/>
  <c r="BH90" i="2"/>
  <c r="BD90" i="2"/>
  <c r="BC90" i="2"/>
  <c r="BB90" i="2"/>
  <c r="AY90" i="2"/>
  <c r="AU90" i="2"/>
  <c r="AT90" i="2"/>
  <c r="AS90" i="2"/>
  <c r="AP90" i="2"/>
  <c r="AL90" i="2"/>
  <c r="AK90" i="2"/>
  <c r="AJ90" i="2"/>
  <c r="AG90" i="2"/>
  <c r="AC90" i="2"/>
  <c r="AB90" i="2"/>
  <c r="AA90" i="2"/>
  <c r="X90" i="2"/>
  <c r="T90" i="2"/>
  <c r="S90" i="2"/>
  <c r="R90" i="2"/>
  <c r="O90" i="2"/>
  <c r="K90" i="2"/>
  <c r="J90" i="2"/>
  <c r="I90" i="2"/>
  <c r="F90" i="2"/>
  <c r="DF89" i="2"/>
  <c r="DD89" i="2"/>
  <c r="DE89" i="2" s="1"/>
  <c r="DA89" i="2"/>
  <c r="CW89" i="2"/>
  <c r="CU89" i="2"/>
  <c r="CR89" i="2"/>
  <c r="CN89" i="2"/>
  <c r="CL89" i="2"/>
  <c r="CI89" i="2"/>
  <c r="CE89" i="2"/>
  <c r="CC89" i="2"/>
  <c r="BZ89" i="2"/>
  <c r="BV89" i="2"/>
  <c r="BT89" i="2"/>
  <c r="BU89" i="2" s="1"/>
  <c r="BQ89" i="2"/>
  <c r="BM89" i="2"/>
  <c r="BK89" i="2"/>
  <c r="BH89" i="2"/>
  <c r="BD89" i="2"/>
  <c r="BB89" i="2"/>
  <c r="AY89" i="2"/>
  <c r="AU89" i="2"/>
  <c r="AS89" i="2"/>
  <c r="AP89" i="2"/>
  <c r="AL89" i="2"/>
  <c r="AJ89" i="2"/>
  <c r="AK89" i="2" s="1"/>
  <c r="AG89" i="2"/>
  <c r="AC89" i="2"/>
  <c r="AA89" i="2"/>
  <c r="X89" i="2"/>
  <c r="T89" i="2"/>
  <c r="R89" i="2"/>
  <c r="O89" i="2"/>
  <c r="K89" i="2"/>
  <c r="I89" i="2"/>
  <c r="F89" i="2"/>
  <c r="DF88" i="2"/>
  <c r="DD88" i="2"/>
  <c r="DE88" i="2" s="1"/>
  <c r="DA88" i="2"/>
  <c r="CV88" i="2"/>
  <c r="CU88" i="2"/>
  <c r="CR88" i="2"/>
  <c r="CQ88" i="2"/>
  <c r="CW88" i="2" s="1"/>
  <c r="CN88" i="2"/>
  <c r="CL88" i="2"/>
  <c r="CM88" i="2" s="1"/>
  <c r="CH88" i="2"/>
  <c r="CI88" i="2" s="1"/>
  <c r="CC88" i="2"/>
  <c r="BY88" i="2"/>
  <c r="BZ88" i="2" s="1"/>
  <c r="CD88" i="2" s="1"/>
  <c r="BT88" i="2"/>
  <c r="BP88" i="2"/>
  <c r="BK88" i="2"/>
  <c r="BL88" i="2" s="1"/>
  <c r="BH88" i="2"/>
  <c r="BG88" i="2"/>
  <c r="BM88" i="2" s="1"/>
  <c r="BD88" i="2"/>
  <c r="BB88" i="2"/>
  <c r="BC88" i="2" s="1"/>
  <c r="AY88" i="2"/>
  <c r="AS88" i="2"/>
  <c r="AO88" i="2"/>
  <c r="AL88" i="2"/>
  <c r="AJ88" i="2"/>
  <c r="AG88" i="2"/>
  <c r="AK88" i="2" s="1"/>
  <c r="AC88" i="2"/>
  <c r="AA88" i="2"/>
  <c r="X88" i="2"/>
  <c r="AB88" i="2" s="1"/>
  <c r="T88" i="2"/>
  <c r="R88" i="2"/>
  <c r="O88" i="2"/>
  <c r="S88" i="2" s="1"/>
  <c r="K88" i="2"/>
  <c r="I88" i="2"/>
  <c r="F88" i="2"/>
  <c r="J88" i="2" s="1"/>
  <c r="DF87" i="2"/>
  <c r="DD87" i="2"/>
  <c r="DA87" i="2"/>
  <c r="CW87" i="2"/>
  <c r="CU87" i="2"/>
  <c r="CR87" i="2"/>
  <c r="CN87" i="2"/>
  <c r="CL87" i="2"/>
  <c r="CI87" i="2"/>
  <c r="CE87" i="2"/>
  <c r="CC87" i="2"/>
  <c r="CD87" i="2" s="1"/>
  <c r="BZ87" i="2"/>
  <c r="BV87" i="2"/>
  <c r="BT87" i="2"/>
  <c r="BQ87" i="2"/>
  <c r="BM87" i="2"/>
  <c r="BK87" i="2"/>
  <c r="BH87" i="2"/>
  <c r="BD87" i="2"/>
  <c r="BB87" i="2"/>
  <c r="AY87" i="2"/>
  <c r="AU87" i="2"/>
  <c r="AS87" i="2"/>
  <c r="AT87" i="2" s="1"/>
  <c r="AP87" i="2"/>
  <c r="AL87" i="2"/>
  <c r="AJ87" i="2"/>
  <c r="AG87" i="2"/>
  <c r="AC87" i="2"/>
  <c r="AA87" i="2"/>
  <c r="X87" i="2"/>
  <c r="T87" i="2"/>
  <c r="R87" i="2"/>
  <c r="O87" i="2"/>
  <c r="K87" i="2"/>
  <c r="I87" i="2"/>
  <c r="J87" i="2" s="1"/>
  <c r="F87" i="2"/>
  <c r="DF86" i="2"/>
  <c r="DE86" i="2"/>
  <c r="DD86" i="2"/>
  <c r="DA86" i="2"/>
  <c r="CW86" i="2"/>
  <c r="CV86" i="2"/>
  <c r="CU86" i="2"/>
  <c r="CR86" i="2"/>
  <c r="CN86" i="2"/>
  <c r="CM86" i="2"/>
  <c r="CL86" i="2"/>
  <c r="CI86" i="2"/>
  <c r="CE86" i="2"/>
  <c r="CD86" i="2"/>
  <c r="CC86" i="2"/>
  <c r="BZ86" i="2"/>
  <c r="BV86" i="2"/>
  <c r="BU86" i="2"/>
  <c r="BT86" i="2"/>
  <c r="BQ86" i="2"/>
  <c r="BM86" i="2"/>
  <c r="BL86" i="2"/>
  <c r="BK86" i="2"/>
  <c r="BH86" i="2"/>
  <c r="BD86" i="2"/>
  <c r="BC86" i="2"/>
  <c r="BB86" i="2"/>
  <c r="AY86" i="2"/>
  <c r="AU86" i="2"/>
  <c r="AT86" i="2"/>
  <c r="AS86" i="2"/>
  <c r="AP86" i="2"/>
  <c r="AL86" i="2"/>
  <c r="AK86" i="2"/>
  <c r="AJ86" i="2"/>
  <c r="AG86" i="2"/>
  <c r="AC86" i="2"/>
  <c r="AB86" i="2"/>
  <c r="AA86" i="2"/>
  <c r="X86" i="2"/>
  <c r="T86" i="2"/>
  <c r="S86" i="2"/>
  <c r="R86" i="2"/>
  <c r="O86" i="2"/>
  <c r="K86" i="2"/>
  <c r="J86" i="2"/>
  <c r="I86" i="2"/>
  <c r="F86" i="2"/>
  <c r="DF85" i="2"/>
  <c r="DD85" i="2"/>
  <c r="DE85" i="2" s="1"/>
  <c r="DA85" i="2"/>
  <c r="CW85" i="2"/>
  <c r="CU85" i="2"/>
  <c r="CV85" i="2" s="1"/>
  <c r="CR85" i="2"/>
  <c r="CN85" i="2"/>
  <c r="CL85" i="2"/>
  <c r="CM85" i="2" s="1"/>
  <c r="CI85" i="2"/>
  <c r="CE85" i="2"/>
  <c r="CC85" i="2"/>
  <c r="CD85" i="2" s="1"/>
  <c r="BZ85" i="2"/>
  <c r="BV85" i="2"/>
  <c r="BT85" i="2"/>
  <c r="BU85" i="2" s="1"/>
  <c r="BQ85" i="2"/>
  <c r="BM85" i="2"/>
  <c r="BK85" i="2"/>
  <c r="BL85" i="2" s="1"/>
  <c r="BH85" i="2"/>
  <c r="BD85" i="2"/>
  <c r="BB85" i="2"/>
  <c r="BC85" i="2" s="1"/>
  <c r="AY85" i="2"/>
  <c r="AU85" i="2"/>
  <c r="AS85" i="2"/>
  <c r="AT85" i="2" s="1"/>
  <c r="AP85" i="2"/>
  <c r="AL85" i="2"/>
  <c r="AJ85" i="2"/>
  <c r="AK85" i="2" s="1"/>
  <c r="AG85" i="2"/>
  <c r="AC85" i="2"/>
  <c r="AA85" i="2"/>
  <c r="AB85" i="2" s="1"/>
  <c r="X85" i="2"/>
  <c r="T85" i="2"/>
  <c r="R85" i="2"/>
  <c r="S85" i="2" s="1"/>
  <c r="O85" i="2"/>
  <c r="K85" i="2"/>
  <c r="I85" i="2"/>
  <c r="J85" i="2" s="1"/>
  <c r="F85" i="2"/>
  <c r="DF84" i="2"/>
  <c r="DD84" i="2"/>
  <c r="DA84" i="2"/>
  <c r="DE84" i="2" s="1"/>
  <c r="CW84" i="2"/>
  <c r="CU84" i="2"/>
  <c r="CR84" i="2"/>
  <c r="CV84" i="2" s="1"/>
  <c r="CN84" i="2"/>
  <c r="CL84" i="2"/>
  <c r="CI84" i="2"/>
  <c r="CM84" i="2" s="1"/>
  <c r="CE84" i="2"/>
  <c r="CC84" i="2"/>
  <c r="BZ84" i="2"/>
  <c r="CD84" i="2" s="1"/>
  <c r="BV84" i="2"/>
  <c r="BT84" i="2"/>
  <c r="BQ84" i="2"/>
  <c r="BU84" i="2" s="1"/>
  <c r="BM84" i="2"/>
  <c r="BK84" i="2"/>
  <c r="BH84" i="2"/>
  <c r="BL84" i="2" s="1"/>
  <c r="BD84" i="2"/>
  <c r="BB84" i="2"/>
  <c r="AY84" i="2"/>
  <c r="BC84" i="2" s="1"/>
  <c r="AU84" i="2"/>
  <c r="AS84" i="2"/>
  <c r="AP84" i="2"/>
  <c r="AT84" i="2" s="1"/>
  <c r="AL84" i="2"/>
  <c r="AJ84" i="2"/>
  <c r="AG84" i="2"/>
  <c r="AK84" i="2" s="1"/>
  <c r="AC84" i="2"/>
  <c r="AA84" i="2"/>
  <c r="X84" i="2"/>
  <c r="AB84" i="2" s="1"/>
  <c r="T84" i="2"/>
  <c r="R84" i="2"/>
  <c r="O84" i="2"/>
  <c r="S84" i="2" s="1"/>
  <c r="K84" i="2"/>
  <c r="I84" i="2"/>
  <c r="F84" i="2"/>
  <c r="J84" i="2" s="1"/>
  <c r="DF83" i="2"/>
  <c r="DD83" i="2"/>
  <c r="DA83" i="2"/>
  <c r="CW83" i="2"/>
  <c r="CU83" i="2"/>
  <c r="CR83" i="2"/>
  <c r="CN83" i="2"/>
  <c r="CL83" i="2"/>
  <c r="CI83" i="2"/>
  <c r="CE83" i="2"/>
  <c r="CC83" i="2"/>
  <c r="CD83" i="2" s="1"/>
  <c r="BZ83" i="2"/>
  <c r="BV83" i="2"/>
  <c r="BT83" i="2"/>
  <c r="BQ83" i="2"/>
  <c r="BM83" i="2"/>
  <c r="BK83" i="2"/>
  <c r="BH83" i="2"/>
  <c r="BD83" i="2"/>
  <c r="BB83" i="2"/>
  <c r="AY83" i="2"/>
  <c r="AU83" i="2"/>
  <c r="AS83" i="2"/>
  <c r="AT83" i="2" s="1"/>
  <c r="AP83" i="2"/>
  <c r="AL83" i="2"/>
  <c r="AJ83" i="2"/>
  <c r="AG83" i="2"/>
  <c r="AC83" i="2"/>
  <c r="AA83" i="2"/>
  <c r="X83" i="2"/>
  <c r="T83" i="2"/>
  <c r="R83" i="2"/>
  <c r="N83" i="2"/>
  <c r="O83" i="2" s="1"/>
  <c r="K83" i="2"/>
  <c r="I83" i="2"/>
  <c r="J83" i="2" s="1"/>
  <c r="F83" i="2"/>
  <c r="DF82" i="2"/>
  <c r="DD82" i="2"/>
  <c r="DE82" i="2" s="1"/>
  <c r="DA82" i="2"/>
  <c r="CW82" i="2"/>
  <c r="CU82" i="2"/>
  <c r="CV82" i="2" s="1"/>
  <c r="CR82" i="2"/>
  <c r="CN82" i="2"/>
  <c r="CL82" i="2"/>
  <c r="CM82" i="2" s="1"/>
  <c r="CI82" i="2"/>
  <c r="CE82" i="2"/>
  <c r="CC82" i="2"/>
  <c r="CD82" i="2" s="1"/>
  <c r="BZ82" i="2"/>
  <c r="BV82" i="2"/>
  <c r="BT82" i="2"/>
  <c r="BU82" i="2" s="1"/>
  <c r="BQ82" i="2"/>
  <c r="BM82" i="2"/>
  <c r="BK82" i="2"/>
  <c r="BL82" i="2" s="1"/>
  <c r="BH82" i="2"/>
  <c r="BD82" i="2"/>
  <c r="BB82" i="2"/>
  <c r="BC82" i="2" s="1"/>
  <c r="AY82" i="2"/>
  <c r="AU82" i="2"/>
  <c r="AS82" i="2"/>
  <c r="AT82" i="2" s="1"/>
  <c r="AP82" i="2"/>
  <c r="AL82" i="2"/>
  <c r="AJ82" i="2"/>
  <c r="AK82" i="2" s="1"/>
  <c r="AC82" i="2"/>
  <c r="AA82" i="2"/>
  <c r="AB82" i="2" s="1"/>
  <c r="X82" i="2"/>
  <c r="T82" i="2"/>
  <c r="R82" i="2"/>
  <c r="S82" i="2" s="1"/>
  <c r="O82" i="2"/>
  <c r="K82" i="2"/>
  <c r="I82" i="2"/>
  <c r="J82" i="2" s="1"/>
  <c r="F82" i="2"/>
  <c r="DF81" i="2"/>
  <c r="DD81" i="2"/>
  <c r="DE81" i="2" s="1"/>
  <c r="DA81" i="2"/>
  <c r="CW81" i="2"/>
  <c r="CU81" i="2"/>
  <c r="CV81" i="2" s="1"/>
  <c r="CR81" i="2"/>
  <c r="CN81" i="2"/>
  <c r="CL81" i="2"/>
  <c r="CM81" i="2" s="1"/>
  <c r="CI81" i="2"/>
  <c r="CE81" i="2"/>
  <c r="CC81" i="2"/>
  <c r="CD81" i="2" s="1"/>
  <c r="BZ81" i="2"/>
  <c r="BT81" i="2"/>
  <c r="BP81" i="2"/>
  <c r="BV81" i="2" s="1"/>
  <c r="BO81" i="2"/>
  <c r="BM81" i="2"/>
  <c r="BK81" i="2"/>
  <c r="BH81" i="2"/>
  <c r="BD81" i="2"/>
  <c r="BB81" i="2"/>
  <c r="AY81" i="2"/>
  <c r="AU81" i="2"/>
  <c r="AS81" i="2"/>
  <c r="AP81" i="2"/>
  <c r="AL81" i="2"/>
  <c r="AJ81" i="2"/>
  <c r="AK81" i="2" s="1"/>
  <c r="AG81" i="2"/>
  <c r="AC81" i="2"/>
  <c r="AA81" i="2"/>
  <c r="X81" i="2"/>
  <c r="T81" i="2"/>
  <c r="R81" i="2"/>
  <c r="O81" i="2"/>
  <c r="K81" i="2"/>
  <c r="I81" i="2"/>
  <c r="F81" i="2"/>
  <c r="DF80" i="2"/>
  <c r="DD80" i="2"/>
  <c r="DE80" i="2" s="1"/>
  <c r="DA80" i="2"/>
  <c r="CW80" i="2"/>
  <c r="CU80" i="2"/>
  <c r="CV80" i="2" s="1"/>
  <c r="CR80" i="2"/>
  <c r="CN80" i="2"/>
  <c r="CL80" i="2"/>
  <c r="CM80" i="2" s="1"/>
  <c r="CI80" i="2"/>
  <c r="CE80" i="2"/>
  <c r="CC80" i="2"/>
  <c r="CD80" i="2" s="1"/>
  <c r="BZ80" i="2"/>
  <c r="BV80" i="2"/>
  <c r="BT80" i="2"/>
  <c r="BU80" i="2" s="1"/>
  <c r="BQ80" i="2"/>
  <c r="BM80" i="2"/>
  <c r="BK80" i="2"/>
  <c r="BL80" i="2" s="1"/>
  <c r="BH80" i="2"/>
  <c r="BD80" i="2"/>
  <c r="BB80" i="2"/>
  <c r="BC80" i="2" s="1"/>
  <c r="AY80" i="2"/>
  <c r="AU80" i="2"/>
  <c r="AS80" i="2"/>
  <c r="AT80" i="2" s="1"/>
  <c r="AP80" i="2"/>
  <c r="AL80" i="2"/>
  <c r="AJ80" i="2"/>
  <c r="AK80" i="2" s="1"/>
  <c r="AG80" i="2"/>
  <c r="AC80" i="2"/>
  <c r="AA80" i="2"/>
  <c r="AB80" i="2" s="1"/>
  <c r="X80" i="2"/>
  <c r="T80" i="2"/>
  <c r="R80" i="2"/>
  <c r="S80" i="2" s="1"/>
  <c r="O80" i="2"/>
  <c r="K80" i="2"/>
  <c r="I80" i="2"/>
  <c r="J80" i="2" s="1"/>
  <c r="F80" i="2"/>
  <c r="DF79" i="2"/>
  <c r="DD79" i="2"/>
  <c r="DE79" i="2" s="1"/>
  <c r="DA79" i="2"/>
  <c r="CW79" i="2"/>
  <c r="CU79" i="2"/>
  <c r="CV79" i="2" s="1"/>
  <c r="CR79" i="2"/>
  <c r="CN79" i="2"/>
  <c r="CL79" i="2"/>
  <c r="CM79" i="2" s="1"/>
  <c r="CI79" i="2"/>
  <c r="CE79" i="2"/>
  <c r="CC79" i="2"/>
  <c r="CD79" i="2" s="1"/>
  <c r="BZ79" i="2"/>
  <c r="BV79" i="2"/>
  <c r="BT79" i="2"/>
  <c r="BU79" i="2" s="1"/>
  <c r="BQ79" i="2"/>
  <c r="BM79" i="2"/>
  <c r="BK79" i="2"/>
  <c r="BL79" i="2" s="1"/>
  <c r="BH79" i="2"/>
  <c r="BD79" i="2"/>
  <c r="BB79" i="2"/>
  <c r="BC79" i="2" s="1"/>
  <c r="AY79" i="2"/>
  <c r="AU79" i="2"/>
  <c r="AS79" i="2"/>
  <c r="AT79" i="2" s="1"/>
  <c r="AP79" i="2"/>
  <c r="AL79" i="2"/>
  <c r="AJ79" i="2"/>
  <c r="AK79" i="2" s="1"/>
  <c r="AG79" i="2"/>
  <c r="AC79" i="2"/>
  <c r="AA79" i="2"/>
  <c r="AB79" i="2" s="1"/>
  <c r="X79" i="2"/>
  <c r="T79" i="2"/>
  <c r="R79" i="2"/>
  <c r="S79" i="2" s="1"/>
  <c r="O79" i="2"/>
  <c r="K79" i="2"/>
  <c r="I79" i="2"/>
  <c r="J79" i="2" s="1"/>
  <c r="F79" i="2"/>
  <c r="DF78" i="2"/>
  <c r="DE78" i="2"/>
  <c r="DD78" i="2"/>
  <c r="DA78" i="2"/>
  <c r="CW78" i="2"/>
  <c r="CV78" i="2"/>
  <c r="CU78" i="2"/>
  <c r="CR78" i="2"/>
  <c r="CN78" i="2"/>
  <c r="CM78" i="2"/>
  <c r="CL78" i="2"/>
  <c r="CI78" i="2"/>
  <c r="CE78" i="2"/>
  <c r="CD78" i="2"/>
  <c r="CC78" i="2"/>
  <c r="BZ78" i="2"/>
  <c r="BT78" i="2"/>
  <c r="BO78" i="2"/>
  <c r="BQ78" i="2" s="1"/>
  <c r="BU78" i="2" s="1"/>
  <c r="BM78" i="2"/>
  <c r="BK78" i="2"/>
  <c r="BL78" i="2" s="1"/>
  <c r="BH78" i="2"/>
  <c r="BD78" i="2"/>
  <c r="BB78" i="2"/>
  <c r="AY78" i="2"/>
  <c r="AU78" i="2"/>
  <c r="AS78" i="2"/>
  <c r="AP78" i="2"/>
  <c r="AL78" i="2"/>
  <c r="AJ78" i="2"/>
  <c r="AG78" i="2"/>
  <c r="AC78" i="2"/>
  <c r="AA78" i="2"/>
  <c r="AB78" i="2" s="1"/>
  <c r="X78" i="2"/>
  <c r="T78" i="2"/>
  <c r="R78" i="2"/>
  <c r="O78" i="2"/>
  <c r="K78" i="2"/>
  <c r="I78" i="2"/>
  <c r="F78" i="2"/>
  <c r="DF77" i="2"/>
  <c r="DD77" i="2"/>
  <c r="DA77" i="2"/>
  <c r="CW77" i="2"/>
  <c r="CU77" i="2"/>
  <c r="CV77" i="2" s="1"/>
  <c r="CR77" i="2"/>
  <c r="CN77" i="2"/>
  <c r="CL77" i="2"/>
  <c r="CM77" i="2" s="1"/>
  <c r="CI77" i="2"/>
  <c r="CE77" i="2"/>
  <c r="CC77" i="2"/>
  <c r="BZ77" i="2"/>
  <c r="BV77" i="2"/>
  <c r="BT77" i="2"/>
  <c r="BQ77" i="2"/>
  <c r="BM77" i="2"/>
  <c r="BK77" i="2"/>
  <c r="BL77" i="2" s="1"/>
  <c r="BH77" i="2"/>
  <c r="BD77" i="2"/>
  <c r="BB77" i="2"/>
  <c r="BC77" i="2" s="1"/>
  <c r="AY77" i="2"/>
  <c r="AU77" i="2"/>
  <c r="AS77" i="2"/>
  <c r="AP77" i="2"/>
  <c r="AL77" i="2"/>
  <c r="AJ77" i="2"/>
  <c r="AG77" i="2"/>
  <c r="AC77" i="2"/>
  <c r="AA77" i="2"/>
  <c r="AB77" i="2" s="1"/>
  <c r="X77" i="2"/>
  <c r="T77" i="2"/>
  <c r="R77" i="2"/>
  <c r="S77" i="2" s="1"/>
  <c r="O77" i="2"/>
  <c r="K77" i="2"/>
  <c r="I77" i="2"/>
  <c r="F77" i="2"/>
  <c r="DF76" i="2"/>
  <c r="DD76" i="2"/>
  <c r="DA76" i="2"/>
  <c r="CW76" i="2"/>
  <c r="CU76" i="2"/>
  <c r="CV76" i="2" s="1"/>
  <c r="CR76" i="2"/>
  <c r="CN76" i="2"/>
  <c r="CL76" i="2"/>
  <c r="CM76" i="2" s="1"/>
  <c r="CI76" i="2"/>
  <c r="CE76" i="2"/>
  <c r="CC76" i="2"/>
  <c r="BZ76" i="2"/>
  <c r="BV76" i="2"/>
  <c r="BT76" i="2"/>
  <c r="BQ76" i="2"/>
  <c r="BM76" i="2"/>
  <c r="BK76" i="2"/>
  <c r="BL76" i="2" s="1"/>
  <c r="BH76" i="2"/>
  <c r="BD76" i="2"/>
  <c r="BB76" i="2"/>
  <c r="BC76" i="2" s="1"/>
  <c r="AY76" i="2"/>
  <c r="AU76" i="2"/>
  <c r="AS76" i="2"/>
  <c r="AP76" i="2"/>
  <c r="AL76" i="2"/>
  <c r="AJ76" i="2"/>
  <c r="AG76" i="2"/>
  <c r="AC76" i="2"/>
  <c r="AA76" i="2"/>
  <c r="AB76" i="2" s="1"/>
  <c r="X76" i="2"/>
  <c r="T76" i="2"/>
  <c r="R76" i="2"/>
  <c r="S76" i="2" s="1"/>
  <c r="O76" i="2"/>
  <c r="K76" i="2"/>
  <c r="I76" i="2"/>
  <c r="F76" i="2"/>
  <c r="DF75" i="2"/>
  <c r="DD75" i="2"/>
  <c r="DE75" i="2" s="1"/>
  <c r="DA75" i="2"/>
  <c r="CW75" i="2"/>
  <c r="CU75" i="2"/>
  <c r="CV75" i="2" s="1"/>
  <c r="CR75" i="2"/>
  <c r="CN75" i="2"/>
  <c r="CL75" i="2"/>
  <c r="CM75" i="2" s="1"/>
  <c r="CI75" i="2"/>
  <c r="CE75" i="2"/>
  <c r="CC75" i="2"/>
  <c r="CD75" i="2" s="1"/>
  <c r="BZ75" i="2"/>
  <c r="BV75" i="2"/>
  <c r="BT75" i="2"/>
  <c r="BU75" i="2" s="1"/>
  <c r="BQ75" i="2"/>
  <c r="BM75" i="2"/>
  <c r="BK75" i="2"/>
  <c r="BL75" i="2" s="1"/>
  <c r="BH75" i="2"/>
  <c r="BD75" i="2"/>
  <c r="BB75" i="2"/>
  <c r="BC75" i="2" s="1"/>
  <c r="AY75" i="2"/>
  <c r="AU75" i="2"/>
  <c r="AS75" i="2"/>
  <c r="AT75" i="2" s="1"/>
  <c r="AP75" i="2"/>
  <c r="AL75" i="2"/>
  <c r="AJ75" i="2"/>
  <c r="AK75" i="2" s="1"/>
  <c r="AG75" i="2"/>
  <c r="AC75" i="2"/>
  <c r="AA75" i="2"/>
  <c r="AB75" i="2" s="1"/>
  <c r="X75" i="2"/>
  <c r="T75" i="2"/>
  <c r="R75" i="2"/>
  <c r="S75" i="2" s="1"/>
  <c r="O75" i="2"/>
  <c r="K75" i="2"/>
  <c r="I75" i="2"/>
  <c r="J75" i="2" s="1"/>
  <c r="F75" i="2"/>
  <c r="DF74" i="2"/>
  <c r="DE74" i="2"/>
  <c r="DD74" i="2"/>
  <c r="DA74" i="2"/>
  <c r="CW74" i="2"/>
  <c r="CV74" i="2"/>
  <c r="CU74" i="2"/>
  <c r="CR74" i="2"/>
  <c r="CN74" i="2"/>
  <c r="CM74" i="2"/>
  <c r="CL74" i="2"/>
  <c r="CI74" i="2"/>
  <c r="CE74" i="2"/>
  <c r="CD74" i="2"/>
  <c r="CC74" i="2"/>
  <c r="BZ74" i="2"/>
  <c r="BV74" i="2"/>
  <c r="BU74" i="2"/>
  <c r="BT74" i="2"/>
  <c r="BQ74" i="2"/>
  <c r="BM74" i="2"/>
  <c r="BL74" i="2"/>
  <c r="BK74" i="2"/>
  <c r="BH74" i="2"/>
  <c r="BD74" i="2"/>
  <c r="BC74" i="2"/>
  <c r="BB74" i="2"/>
  <c r="AY74" i="2"/>
  <c r="AU74" i="2"/>
  <c r="AT74" i="2"/>
  <c r="AS74" i="2"/>
  <c r="AP74" i="2"/>
  <c r="AL74" i="2"/>
  <c r="AK74" i="2"/>
  <c r="AJ74" i="2"/>
  <c r="AG74" i="2"/>
  <c r="AC74" i="2"/>
  <c r="AB74" i="2"/>
  <c r="AA74" i="2"/>
  <c r="X74" i="2"/>
  <c r="T74" i="2"/>
  <c r="S74" i="2"/>
  <c r="R74" i="2"/>
  <c r="O74" i="2"/>
  <c r="K74" i="2"/>
  <c r="J74" i="2"/>
  <c r="I74" i="2"/>
  <c r="F74" i="2"/>
  <c r="DF73" i="2"/>
  <c r="DD73" i="2"/>
  <c r="DA73" i="2"/>
  <c r="CW73" i="2"/>
  <c r="CU73" i="2"/>
  <c r="CV73" i="2" s="1"/>
  <c r="CR73" i="2"/>
  <c r="CN73" i="2"/>
  <c r="CL73" i="2"/>
  <c r="CI73" i="2"/>
  <c r="CE73" i="2"/>
  <c r="CC73" i="2"/>
  <c r="BZ73" i="2"/>
  <c r="BV73" i="2"/>
  <c r="BT73" i="2"/>
  <c r="BQ73" i="2"/>
  <c r="BM73" i="2"/>
  <c r="BK73" i="2"/>
  <c r="BL73" i="2" s="1"/>
  <c r="BH73" i="2"/>
  <c r="BD73" i="2"/>
  <c r="BB73" i="2"/>
  <c r="AY73" i="2"/>
  <c r="AU73" i="2"/>
  <c r="AS73" i="2"/>
  <c r="AP73" i="2"/>
  <c r="AL73" i="2"/>
  <c r="AJ73" i="2"/>
  <c r="AG73" i="2"/>
  <c r="AC73" i="2"/>
  <c r="AA73" i="2"/>
  <c r="AB73" i="2" s="1"/>
  <c r="X73" i="2"/>
  <c r="T73" i="2"/>
  <c r="R73" i="2"/>
  <c r="O73" i="2"/>
  <c r="K73" i="2"/>
  <c r="I73" i="2"/>
  <c r="F73" i="2"/>
  <c r="DF72" i="2"/>
  <c r="DD72" i="2"/>
  <c r="DA72" i="2"/>
  <c r="CW72" i="2"/>
  <c r="CU72" i="2"/>
  <c r="CV72" i="2" s="1"/>
  <c r="CR72" i="2"/>
  <c r="CN72" i="2"/>
  <c r="CL72" i="2"/>
  <c r="CM72" i="2" s="1"/>
  <c r="CI72" i="2"/>
  <c r="CE72" i="2"/>
  <c r="CC72" i="2"/>
  <c r="BZ72" i="2"/>
  <c r="BV72" i="2"/>
  <c r="BT72" i="2"/>
  <c r="BQ72" i="2"/>
  <c r="BM72" i="2"/>
  <c r="BK72" i="2"/>
  <c r="BL72" i="2" s="1"/>
  <c r="BH72" i="2"/>
  <c r="BD72" i="2"/>
  <c r="BB72" i="2"/>
  <c r="BC72" i="2" s="1"/>
  <c r="AY72" i="2"/>
  <c r="AU72" i="2"/>
  <c r="AS72" i="2"/>
  <c r="AP72" i="2"/>
  <c r="AL72" i="2"/>
  <c r="AJ72" i="2"/>
  <c r="AG72" i="2"/>
  <c r="AC72" i="2"/>
  <c r="AA72" i="2"/>
  <c r="AB72" i="2" s="1"/>
  <c r="X72" i="2"/>
  <c r="T72" i="2"/>
  <c r="R72" i="2"/>
  <c r="S72" i="2" s="1"/>
  <c r="O72" i="2"/>
  <c r="K72" i="2"/>
  <c r="I72" i="2"/>
  <c r="F72" i="2"/>
  <c r="DF71" i="2"/>
  <c r="DD71" i="2"/>
  <c r="DE71" i="2" s="1"/>
  <c r="DA71" i="2"/>
  <c r="CW71" i="2"/>
  <c r="CU71" i="2"/>
  <c r="CV71" i="2" s="1"/>
  <c r="CR71" i="2"/>
  <c r="CN71" i="2"/>
  <c r="CL71" i="2"/>
  <c r="CM71" i="2" s="1"/>
  <c r="CI71" i="2"/>
  <c r="CE71" i="2"/>
  <c r="CC71" i="2"/>
  <c r="CD71" i="2" s="1"/>
  <c r="BZ71" i="2"/>
  <c r="BV71" i="2"/>
  <c r="BT71" i="2"/>
  <c r="BU71" i="2" s="1"/>
  <c r="BQ71" i="2"/>
  <c r="BM71" i="2"/>
  <c r="BK71" i="2"/>
  <c r="BL71" i="2" s="1"/>
  <c r="BH71" i="2"/>
  <c r="BD71" i="2"/>
  <c r="BB71" i="2"/>
  <c r="BC71" i="2" s="1"/>
  <c r="AY71" i="2"/>
  <c r="AU71" i="2"/>
  <c r="AS71" i="2"/>
  <c r="AT71" i="2" s="1"/>
  <c r="AP71" i="2"/>
  <c r="AL71" i="2"/>
  <c r="AJ71" i="2"/>
  <c r="AK71" i="2" s="1"/>
  <c r="AG71" i="2"/>
  <c r="AC71" i="2"/>
  <c r="AA71" i="2"/>
  <c r="AB71" i="2" s="1"/>
  <c r="X71" i="2"/>
  <c r="T71" i="2"/>
  <c r="R71" i="2"/>
  <c r="S71" i="2" s="1"/>
  <c r="O71" i="2"/>
  <c r="K71" i="2"/>
  <c r="I71" i="2"/>
  <c r="J71" i="2" s="1"/>
  <c r="F71" i="2"/>
  <c r="DF70" i="2"/>
  <c r="DE70" i="2"/>
  <c r="DD70" i="2"/>
  <c r="DA70" i="2"/>
  <c r="CW70" i="2"/>
  <c r="CV70" i="2"/>
  <c r="CU70" i="2"/>
  <c r="CR70" i="2"/>
  <c r="CN70" i="2"/>
  <c r="CM70" i="2"/>
  <c r="CL70" i="2"/>
  <c r="CI70" i="2"/>
  <c r="CE70" i="2"/>
  <c r="CD70" i="2"/>
  <c r="CC70" i="2"/>
  <c r="BZ70" i="2"/>
  <c r="BV70" i="2"/>
  <c r="BU70" i="2"/>
  <c r="BT70" i="2"/>
  <c r="BQ70" i="2"/>
  <c r="BM70" i="2"/>
  <c r="BL70" i="2"/>
  <c r="BK70" i="2"/>
  <c r="BH70" i="2"/>
  <c r="BD70" i="2"/>
  <c r="BC70" i="2"/>
  <c r="BB70" i="2"/>
  <c r="AY70" i="2"/>
  <c r="AU70" i="2"/>
  <c r="AT70" i="2"/>
  <c r="AS70" i="2"/>
  <c r="AP70" i="2"/>
  <c r="AL70" i="2"/>
  <c r="AK70" i="2"/>
  <c r="AJ70" i="2"/>
  <c r="AG70" i="2"/>
  <c r="AC70" i="2"/>
  <c r="AB70" i="2"/>
  <c r="AA70" i="2"/>
  <c r="X70" i="2"/>
  <c r="T70" i="2"/>
  <c r="S70" i="2"/>
  <c r="R70" i="2"/>
  <c r="O70" i="2"/>
  <c r="K70" i="2"/>
  <c r="J70" i="2"/>
  <c r="I70" i="2"/>
  <c r="F70" i="2"/>
  <c r="DF69" i="2"/>
  <c r="DD69" i="2"/>
  <c r="DA69" i="2"/>
  <c r="CW69" i="2"/>
  <c r="CU69" i="2"/>
  <c r="CV69" i="2" s="1"/>
  <c r="CR69" i="2"/>
  <c r="CN69" i="2"/>
  <c r="CL69" i="2"/>
  <c r="CI69" i="2"/>
  <c r="CE69" i="2"/>
  <c r="CC69" i="2"/>
  <c r="CD69" i="2" s="1"/>
  <c r="BZ69" i="2"/>
  <c r="BV69" i="2"/>
  <c r="BT69" i="2"/>
  <c r="BQ69" i="2"/>
  <c r="BM69" i="2"/>
  <c r="BK69" i="2"/>
  <c r="BL69" i="2" s="1"/>
  <c r="BH69" i="2"/>
  <c r="BD69" i="2"/>
  <c r="BB69" i="2"/>
  <c r="AY69" i="2"/>
  <c r="AU69" i="2"/>
  <c r="AS69" i="2"/>
  <c r="AT69" i="2" s="1"/>
  <c r="AP69" i="2"/>
  <c r="AL69" i="2"/>
  <c r="AJ69" i="2"/>
  <c r="AG69" i="2"/>
  <c r="AC69" i="2"/>
  <c r="AA69" i="2"/>
  <c r="AB69" i="2" s="1"/>
  <c r="X69" i="2"/>
  <c r="T69" i="2"/>
  <c r="R69" i="2"/>
  <c r="O69" i="2"/>
  <c r="K69" i="2"/>
  <c r="I69" i="2"/>
  <c r="J69" i="2" s="1"/>
  <c r="F69" i="2"/>
  <c r="DF68" i="2"/>
  <c r="DD68" i="2"/>
  <c r="DA68" i="2"/>
  <c r="DE68" i="2" s="1"/>
  <c r="CW68" i="2"/>
  <c r="CU68" i="2"/>
  <c r="CR68" i="2"/>
  <c r="CV68" i="2" s="1"/>
  <c r="CN68" i="2"/>
  <c r="CL68" i="2"/>
  <c r="CI68" i="2"/>
  <c r="CM68" i="2" s="1"/>
  <c r="CE68" i="2"/>
  <c r="CC68" i="2"/>
  <c r="BZ68" i="2"/>
  <c r="CD68" i="2" s="1"/>
  <c r="BV68" i="2"/>
  <c r="BT68" i="2"/>
  <c r="BQ68" i="2"/>
  <c r="BU68" i="2" s="1"/>
  <c r="BM68" i="2"/>
  <c r="BK68" i="2"/>
  <c r="BH68" i="2"/>
  <c r="BL68" i="2" s="1"/>
  <c r="BD68" i="2"/>
  <c r="BB68" i="2"/>
  <c r="AY68" i="2"/>
  <c r="BC68" i="2" s="1"/>
  <c r="AU68" i="2"/>
  <c r="AS68" i="2"/>
  <c r="AP68" i="2"/>
  <c r="AT68" i="2" s="1"/>
  <c r="AL68" i="2"/>
  <c r="AJ68" i="2"/>
  <c r="AG68" i="2"/>
  <c r="AK68" i="2" s="1"/>
  <c r="AC68" i="2"/>
  <c r="AA68" i="2"/>
  <c r="X68" i="2"/>
  <c r="AB68" i="2" s="1"/>
  <c r="T68" i="2"/>
  <c r="R68" i="2"/>
  <c r="O68" i="2"/>
  <c r="S68" i="2" s="1"/>
  <c r="K68" i="2"/>
  <c r="I68" i="2"/>
  <c r="F68" i="2"/>
  <c r="J68" i="2" s="1"/>
  <c r="DF67" i="2"/>
  <c r="DD67" i="2"/>
  <c r="DE67" i="2" s="1"/>
  <c r="DA67" i="2"/>
  <c r="CW67" i="2"/>
  <c r="CU67" i="2"/>
  <c r="CV67" i="2" s="1"/>
  <c r="CR67" i="2"/>
  <c r="CN67" i="2"/>
  <c r="CL67" i="2"/>
  <c r="CM67" i="2" s="1"/>
  <c r="CI67" i="2"/>
  <c r="CE67" i="2"/>
  <c r="CC67" i="2"/>
  <c r="CD67" i="2" s="1"/>
  <c r="BZ67" i="2"/>
  <c r="BV67" i="2"/>
  <c r="BT67" i="2"/>
  <c r="BU67" i="2" s="1"/>
  <c r="BQ67" i="2"/>
  <c r="BM67" i="2"/>
  <c r="BK67" i="2"/>
  <c r="BL67" i="2" s="1"/>
  <c r="BH67" i="2"/>
  <c r="BD67" i="2"/>
  <c r="BB67" i="2"/>
  <c r="BC67" i="2" s="1"/>
  <c r="AY67" i="2"/>
  <c r="AU67" i="2"/>
  <c r="AS67" i="2"/>
  <c r="AT67" i="2" s="1"/>
  <c r="AP67" i="2"/>
  <c r="AL67" i="2"/>
  <c r="AJ67" i="2"/>
  <c r="AK67" i="2" s="1"/>
  <c r="AG67" i="2"/>
  <c r="AC67" i="2"/>
  <c r="AA67" i="2"/>
  <c r="AB67" i="2" s="1"/>
  <c r="X67" i="2"/>
  <c r="T67" i="2"/>
  <c r="R67" i="2"/>
  <c r="S67" i="2" s="1"/>
  <c r="O67" i="2"/>
  <c r="K67" i="2"/>
  <c r="I67" i="2"/>
  <c r="J67" i="2" s="1"/>
  <c r="F67" i="2"/>
  <c r="DF66" i="2"/>
  <c r="DE66" i="2"/>
  <c r="DD66" i="2"/>
  <c r="DA66" i="2"/>
  <c r="CW66" i="2"/>
  <c r="CV66" i="2"/>
  <c r="CU66" i="2"/>
  <c r="CR66" i="2"/>
  <c r="CN66" i="2"/>
  <c r="CM66" i="2"/>
  <c r="CL66" i="2"/>
  <c r="CI66" i="2"/>
  <c r="CE66" i="2"/>
  <c r="CD66" i="2"/>
  <c r="CC66" i="2"/>
  <c r="BZ66" i="2"/>
  <c r="BV66" i="2"/>
  <c r="BU66" i="2"/>
  <c r="BT66" i="2"/>
  <c r="BQ66" i="2"/>
  <c r="BM66" i="2"/>
  <c r="BL66" i="2"/>
  <c r="BK66" i="2"/>
  <c r="BH66" i="2"/>
  <c r="BD66" i="2"/>
  <c r="BC66" i="2"/>
  <c r="BB66" i="2"/>
  <c r="AY66" i="2"/>
  <c r="AU66" i="2"/>
  <c r="AT66" i="2"/>
  <c r="AS66" i="2"/>
  <c r="AP66" i="2"/>
  <c r="AL66" i="2"/>
  <c r="AK66" i="2"/>
  <c r="AJ66" i="2"/>
  <c r="AG66" i="2"/>
  <c r="AC66" i="2"/>
  <c r="AB66" i="2"/>
  <c r="AA66" i="2"/>
  <c r="X66" i="2"/>
  <c r="T66" i="2"/>
  <c r="S66" i="2"/>
  <c r="R66" i="2"/>
  <c r="O66" i="2"/>
  <c r="K66" i="2"/>
  <c r="J66" i="2"/>
  <c r="I66" i="2"/>
  <c r="F66" i="2"/>
  <c r="DF65" i="2"/>
  <c r="DD65" i="2"/>
  <c r="DA65" i="2"/>
  <c r="CW65" i="2"/>
  <c r="CU65" i="2"/>
  <c r="CV65" i="2" s="1"/>
  <c r="CR65" i="2"/>
  <c r="CN65" i="2"/>
  <c r="CL65" i="2"/>
  <c r="CI65" i="2"/>
  <c r="CE65" i="2"/>
  <c r="CC65" i="2"/>
  <c r="CD65" i="2" s="1"/>
  <c r="BZ65" i="2"/>
  <c r="BV65" i="2"/>
  <c r="BT65" i="2"/>
  <c r="BQ65" i="2"/>
  <c r="BM65" i="2"/>
  <c r="BK65" i="2"/>
  <c r="BL65" i="2" s="1"/>
  <c r="BH65" i="2"/>
  <c r="BD65" i="2"/>
  <c r="BB65" i="2"/>
  <c r="AY65" i="2"/>
  <c r="AU65" i="2"/>
  <c r="AS65" i="2"/>
  <c r="AT65" i="2" s="1"/>
  <c r="AP65" i="2"/>
  <c r="AL65" i="2"/>
  <c r="AJ65" i="2"/>
  <c r="AG65" i="2"/>
  <c r="AC65" i="2"/>
  <c r="AA65" i="2"/>
  <c r="AB65" i="2" s="1"/>
  <c r="X65" i="2"/>
  <c r="T65" i="2"/>
  <c r="R65" i="2"/>
  <c r="O65" i="2"/>
  <c r="K65" i="2"/>
  <c r="I65" i="2"/>
  <c r="J65" i="2" s="1"/>
  <c r="F65" i="2"/>
  <c r="DF64" i="2"/>
  <c r="DD64" i="2"/>
  <c r="DA64" i="2"/>
  <c r="DE64" i="2" s="1"/>
  <c r="CW64" i="2"/>
  <c r="CU64" i="2"/>
  <c r="CR64" i="2"/>
  <c r="CV64" i="2" s="1"/>
  <c r="CN64" i="2"/>
  <c r="CL64" i="2"/>
  <c r="CI64" i="2"/>
  <c r="CM64" i="2" s="1"/>
  <c r="CE64" i="2"/>
  <c r="CC64" i="2"/>
  <c r="BZ64" i="2"/>
  <c r="CD64" i="2" s="1"/>
  <c r="BV64" i="2"/>
  <c r="BT64" i="2"/>
  <c r="BQ64" i="2"/>
  <c r="BU64" i="2" s="1"/>
  <c r="BM64" i="2"/>
  <c r="BK64" i="2"/>
  <c r="BH64" i="2"/>
  <c r="BL64" i="2" s="1"/>
  <c r="BD64" i="2"/>
  <c r="BB64" i="2"/>
  <c r="AY64" i="2"/>
  <c r="BC64" i="2" s="1"/>
  <c r="AU64" i="2"/>
  <c r="AS64" i="2"/>
  <c r="AP64" i="2"/>
  <c r="AT64" i="2" s="1"/>
  <c r="AL64" i="2"/>
  <c r="AJ64" i="2"/>
  <c r="AG64" i="2"/>
  <c r="AK64" i="2" s="1"/>
  <c r="AC64" i="2"/>
  <c r="AA64" i="2"/>
  <c r="X64" i="2"/>
  <c r="AB64" i="2" s="1"/>
  <c r="T64" i="2"/>
  <c r="R64" i="2"/>
  <c r="O64" i="2"/>
  <c r="S64" i="2" s="1"/>
  <c r="K64" i="2"/>
  <c r="I64" i="2"/>
  <c r="F64" i="2"/>
  <c r="J64" i="2" s="1"/>
  <c r="DF63" i="2"/>
  <c r="DD63" i="2"/>
  <c r="DE63" i="2" s="1"/>
  <c r="DA63" i="2"/>
  <c r="CW63" i="2"/>
  <c r="CU63" i="2"/>
  <c r="CV63" i="2" s="1"/>
  <c r="CR63" i="2"/>
  <c r="CN63" i="2"/>
  <c r="CL63" i="2"/>
  <c r="CM63" i="2" s="1"/>
  <c r="CI63" i="2"/>
  <c r="CE63" i="2"/>
  <c r="CC63" i="2"/>
  <c r="CD63" i="2" s="1"/>
  <c r="BZ63" i="2"/>
  <c r="BV63" i="2"/>
  <c r="BT63" i="2"/>
  <c r="BU63" i="2" s="1"/>
  <c r="BQ63" i="2"/>
  <c r="BM63" i="2"/>
  <c r="BK63" i="2"/>
  <c r="BL63" i="2" s="1"/>
  <c r="BH63" i="2"/>
  <c r="BD63" i="2"/>
  <c r="BB63" i="2"/>
  <c r="BC63" i="2" s="1"/>
  <c r="AY63" i="2"/>
  <c r="AU63" i="2"/>
  <c r="AS63" i="2"/>
  <c r="AT63" i="2" s="1"/>
  <c r="AP63" i="2"/>
  <c r="AL63" i="2"/>
  <c r="AJ63" i="2"/>
  <c r="AK63" i="2" s="1"/>
  <c r="AG63" i="2"/>
  <c r="AC63" i="2"/>
  <c r="AA63" i="2"/>
  <c r="AB63" i="2" s="1"/>
  <c r="X63" i="2"/>
  <c r="T63" i="2"/>
  <c r="R63" i="2"/>
  <c r="S63" i="2" s="1"/>
  <c r="O63" i="2"/>
  <c r="K63" i="2"/>
  <c r="I63" i="2"/>
  <c r="J63" i="2" s="1"/>
  <c r="F63" i="2"/>
  <c r="DF62" i="2"/>
  <c r="DE62" i="2"/>
  <c r="DD62" i="2"/>
  <c r="DA62" i="2"/>
  <c r="CW62" i="2"/>
  <c r="CV62" i="2"/>
  <c r="CU62" i="2"/>
  <c r="CR62" i="2"/>
  <c r="CN62" i="2"/>
  <c r="CM62" i="2"/>
  <c r="CL62" i="2"/>
  <c r="CI62" i="2"/>
  <c r="CE62" i="2"/>
  <c r="CD62" i="2"/>
  <c r="CC62" i="2"/>
  <c r="BZ62" i="2"/>
  <c r="BV62" i="2"/>
  <c r="BU62" i="2"/>
  <c r="BT62" i="2"/>
  <c r="BQ62" i="2"/>
  <c r="BM62" i="2"/>
  <c r="BL62" i="2"/>
  <c r="BK62" i="2"/>
  <c r="BH62" i="2"/>
  <c r="BD62" i="2"/>
  <c r="BC62" i="2"/>
  <c r="BB62" i="2"/>
  <c r="AY62" i="2"/>
  <c r="AU62" i="2"/>
  <c r="AT62" i="2"/>
  <c r="AS62" i="2"/>
  <c r="AP62" i="2"/>
  <c r="AL62" i="2"/>
  <c r="AK62" i="2"/>
  <c r="AJ62" i="2"/>
  <c r="AG62" i="2"/>
  <c r="AC62" i="2"/>
  <c r="AB62" i="2"/>
  <c r="AA62" i="2"/>
  <c r="X62" i="2"/>
  <c r="T62" i="2"/>
  <c r="S62" i="2"/>
  <c r="R62" i="2"/>
  <c r="O62" i="2"/>
  <c r="K62" i="2"/>
  <c r="J62" i="2"/>
  <c r="I62" i="2"/>
  <c r="F62" i="2"/>
  <c r="DF61" i="2"/>
  <c r="DD61" i="2"/>
  <c r="DA61" i="2"/>
  <c r="CW61" i="2"/>
  <c r="CU61" i="2"/>
  <c r="CV61" i="2" s="1"/>
  <c r="CR61" i="2"/>
  <c r="CN61" i="2"/>
  <c r="CL61" i="2"/>
  <c r="CI61" i="2"/>
  <c r="CE61" i="2"/>
  <c r="CC61" i="2"/>
  <c r="CD61" i="2" s="1"/>
  <c r="BZ61" i="2"/>
  <c r="BV61" i="2"/>
  <c r="BT61" i="2"/>
  <c r="BQ61" i="2"/>
  <c r="BM61" i="2"/>
  <c r="BK61" i="2"/>
  <c r="BL61" i="2" s="1"/>
  <c r="BH61" i="2"/>
  <c r="BD61" i="2"/>
  <c r="BB61" i="2"/>
  <c r="AY61" i="2"/>
  <c r="AU61" i="2"/>
  <c r="AS61" i="2"/>
  <c r="AT61" i="2" s="1"/>
  <c r="AP61" i="2"/>
  <c r="AL61" i="2"/>
  <c r="AJ61" i="2"/>
  <c r="AG61" i="2"/>
  <c r="AC61" i="2"/>
  <c r="AA61" i="2"/>
  <c r="AB61" i="2" s="1"/>
  <c r="X61" i="2"/>
  <c r="T61" i="2"/>
  <c r="R61" i="2"/>
  <c r="O61" i="2"/>
  <c r="K61" i="2"/>
  <c r="I61" i="2"/>
  <c r="J61" i="2" s="1"/>
  <c r="F61" i="2"/>
  <c r="DF60" i="2"/>
  <c r="DD60" i="2"/>
  <c r="DA60" i="2"/>
  <c r="DE60" i="2" s="1"/>
  <c r="CW60" i="2"/>
  <c r="CU60" i="2"/>
  <c r="CR60" i="2"/>
  <c r="CV60" i="2" s="1"/>
  <c r="CN60" i="2"/>
  <c r="CL60" i="2"/>
  <c r="CI60" i="2"/>
  <c r="CM60" i="2" s="1"/>
  <c r="CE60" i="2"/>
  <c r="CC60" i="2"/>
  <c r="BZ60" i="2"/>
  <c r="CD60" i="2" s="1"/>
  <c r="BV60" i="2"/>
  <c r="BT60" i="2"/>
  <c r="BQ60" i="2"/>
  <c r="BU60" i="2" s="1"/>
  <c r="BM60" i="2"/>
  <c r="BK60" i="2"/>
  <c r="BH60" i="2"/>
  <c r="BL60" i="2" s="1"/>
  <c r="BD60" i="2"/>
  <c r="BB60" i="2"/>
  <c r="AY60" i="2"/>
  <c r="BC60" i="2" s="1"/>
  <c r="AU60" i="2"/>
  <c r="AS60" i="2"/>
  <c r="AP60" i="2"/>
  <c r="AT60" i="2" s="1"/>
  <c r="AL60" i="2"/>
  <c r="AJ60" i="2"/>
  <c r="AG60" i="2"/>
  <c r="AK60" i="2" s="1"/>
  <c r="AC60" i="2"/>
  <c r="AA60" i="2"/>
  <c r="X60" i="2"/>
  <c r="AB60" i="2" s="1"/>
  <c r="T60" i="2"/>
  <c r="R60" i="2"/>
  <c r="O60" i="2"/>
  <c r="S60" i="2" s="1"/>
  <c r="K60" i="2"/>
  <c r="I60" i="2"/>
  <c r="F60" i="2"/>
  <c r="J60" i="2" s="1"/>
  <c r="DF59" i="2"/>
  <c r="DD59" i="2"/>
  <c r="DE59" i="2" s="1"/>
  <c r="DA59" i="2"/>
  <c r="CW59" i="2"/>
  <c r="CU59" i="2"/>
  <c r="CV59" i="2" s="1"/>
  <c r="CR59" i="2"/>
  <c r="CN59" i="2"/>
  <c r="CL59" i="2"/>
  <c r="CM59" i="2" s="1"/>
  <c r="CI59" i="2"/>
  <c r="CE59" i="2"/>
  <c r="CC59" i="2"/>
  <c r="CD59" i="2" s="1"/>
  <c r="BZ59" i="2"/>
  <c r="BV59" i="2"/>
  <c r="BT59" i="2"/>
  <c r="BU59" i="2" s="1"/>
  <c r="BQ59" i="2"/>
  <c r="BM59" i="2"/>
  <c r="BK59" i="2"/>
  <c r="BL59" i="2" s="1"/>
  <c r="BH59" i="2"/>
  <c r="BD59" i="2"/>
  <c r="BB59" i="2"/>
  <c r="BC59" i="2" s="1"/>
  <c r="AY59" i="2"/>
  <c r="AU59" i="2"/>
  <c r="AS59" i="2"/>
  <c r="AT59" i="2" s="1"/>
  <c r="AP59" i="2"/>
  <c r="AL59" i="2"/>
  <c r="AJ59" i="2"/>
  <c r="AK59" i="2" s="1"/>
  <c r="AG59" i="2"/>
  <c r="AC59" i="2"/>
  <c r="AA59" i="2"/>
  <c r="AB59" i="2" s="1"/>
  <c r="X59" i="2"/>
  <c r="T59" i="2"/>
  <c r="R59" i="2"/>
  <c r="S59" i="2" s="1"/>
  <c r="O59" i="2"/>
  <c r="K59" i="2"/>
  <c r="I59" i="2"/>
  <c r="J59" i="2" s="1"/>
  <c r="F59" i="2"/>
  <c r="DF58" i="2"/>
  <c r="DE58" i="2"/>
  <c r="DD58" i="2"/>
  <c r="DA58" i="2"/>
  <c r="CW58" i="2"/>
  <c r="CV58" i="2"/>
  <c r="CU58" i="2"/>
  <c r="CR58" i="2"/>
  <c r="CN58" i="2"/>
  <c r="CM58" i="2"/>
  <c r="CL58" i="2"/>
  <c r="CI58" i="2"/>
  <c r="CE58" i="2"/>
  <c r="CD58" i="2"/>
  <c r="CC58" i="2"/>
  <c r="BZ58" i="2"/>
  <c r="BU58" i="2"/>
  <c r="BT58" i="2"/>
  <c r="BQ58" i="2"/>
  <c r="BP58" i="2"/>
  <c r="BV58" i="2" s="1"/>
  <c r="BM58" i="2"/>
  <c r="BK58" i="2"/>
  <c r="BH58" i="2"/>
  <c r="BG58" i="2"/>
  <c r="BD58" i="2"/>
  <c r="BB58" i="2"/>
  <c r="BC58" i="2" s="1"/>
  <c r="AY58" i="2"/>
  <c r="AU58" i="2"/>
  <c r="AS58" i="2"/>
  <c r="AT58" i="2" s="1"/>
  <c r="AP58" i="2"/>
  <c r="AL58" i="2"/>
  <c r="AJ58" i="2"/>
  <c r="AK58" i="2" s="1"/>
  <c r="AG58" i="2"/>
  <c r="AC58" i="2"/>
  <c r="AA58" i="2"/>
  <c r="AB58" i="2" s="1"/>
  <c r="X58" i="2"/>
  <c r="T58" i="2"/>
  <c r="R58" i="2"/>
  <c r="S58" i="2" s="1"/>
  <c r="O58" i="2"/>
  <c r="K58" i="2"/>
  <c r="I58" i="2"/>
  <c r="J58" i="2" s="1"/>
  <c r="F58" i="2"/>
  <c r="DF57" i="2"/>
  <c r="DE57" i="2"/>
  <c r="DD57" i="2"/>
  <c r="DA57" i="2"/>
  <c r="CW57" i="2"/>
  <c r="CV57" i="2"/>
  <c r="CU57" i="2"/>
  <c r="CR57" i="2"/>
  <c r="CN57" i="2"/>
  <c r="CM57" i="2"/>
  <c r="CL57" i="2"/>
  <c r="CI57" i="2"/>
  <c r="CE57" i="2"/>
  <c r="CD57" i="2"/>
  <c r="CC57" i="2"/>
  <c r="BZ57" i="2"/>
  <c r="BV57" i="2"/>
  <c r="BU57" i="2"/>
  <c r="BT57" i="2"/>
  <c r="BQ57" i="2"/>
  <c r="BM57" i="2"/>
  <c r="BL57" i="2"/>
  <c r="BK57" i="2"/>
  <c r="BH57" i="2"/>
  <c r="BD57" i="2"/>
  <c r="BC57" i="2"/>
  <c r="BB57" i="2"/>
  <c r="AY57" i="2"/>
  <c r="AU57" i="2"/>
  <c r="AT57" i="2"/>
  <c r="AS57" i="2"/>
  <c r="AP57" i="2"/>
  <c r="AL57" i="2"/>
  <c r="AK57" i="2"/>
  <c r="AJ57" i="2"/>
  <c r="AG57" i="2"/>
  <c r="AC57" i="2"/>
  <c r="AB57" i="2"/>
  <c r="AA57" i="2"/>
  <c r="X57" i="2"/>
  <c r="T57" i="2"/>
  <c r="S57" i="2"/>
  <c r="R57" i="2"/>
  <c r="O57" i="2"/>
  <c r="K57" i="2"/>
  <c r="J57" i="2"/>
  <c r="I57" i="2"/>
  <c r="F57" i="2"/>
  <c r="DF56" i="2"/>
  <c r="DE56" i="2"/>
  <c r="DD56" i="2"/>
  <c r="DA56" i="2"/>
  <c r="CW56" i="2"/>
  <c r="CV56" i="2"/>
  <c r="CU56" i="2"/>
  <c r="CR56" i="2"/>
  <c r="CN56" i="2"/>
  <c r="CM56" i="2"/>
  <c r="CL56" i="2"/>
  <c r="CI56" i="2"/>
  <c r="CE56" i="2"/>
  <c r="CD56" i="2"/>
  <c r="CC56" i="2"/>
  <c r="BZ56" i="2"/>
  <c r="BT56" i="2"/>
  <c r="BP56" i="2"/>
  <c r="BQ56" i="2" s="1"/>
  <c r="BU56" i="2" s="1"/>
  <c r="BM56" i="2"/>
  <c r="BK56" i="2"/>
  <c r="BL56" i="2" s="1"/>
  <c r="BH56" i="2"/>
  <c r="BD56" i="2"/>
  <c r="BB56" i="2"/>
  <c r="AY56" i="2"/>
  <c r="AU56" i="2"/>
  <c r="AS56" i="2"/>
  <c r="AT56" i="2" s="1"/>
  <c r="AP56" i="2"/>
  <c r="AL56" i="2"/>
  <c r="AJ56" i="2"/>
  <c r="AG56" i="2"/>
  <c r="AC56" i="2"/>
  <c r="AA56" i="2"/>
  <c r="AB56" i="2" s="1"/>
  <c r="X56" i="2"/>
  <c r="T56" i="2"/>
  <c r="R56" i="2"/>
  <c r="O56" i="2"/>
  <c r="K56" i="2"/>
  <c r="I56" i="2"/>
  <c r="J56" i="2" s="1"/>
  <c r="F56" i="2"/>
  <c r="DF55" i="2"/>
  <c r="DD55" i="2"/>
  <c r="DA55" i="2"/>
  <c r="DE55" i="2" s="1"/>
  <c r="CW55" i="2"/>
  <c r="CU55" i="2"/>
  <c r="CR55" i="2"/>
  <c r="CV55" i="2" s="1"/>
  <c r="CN55" i="2"/>
  <c r="CL55" i="2"/>
  <c r="CI55" i="2"/>
  <c r="CM55" i="2" s="1"/>
  <c r="CE55" i="2"/>
  <c r="CC55" i="2"/>
  <c r="BZ55" i="2"/>
  <c r="CD55" i="2" s="1"/>
  <c r="BV55" i="2"/>
  <c r="BT55" i="2"/>
  <c r="BQ55" i="2"/>
  <c r="BU55" i="2" s="1"/>
  <c r="BM55" i="2"/>
  <c r="BK55" i="2"/>
  <c r="BH55" i="2"/>
  <c r="BL55" i="2" s="1"/>
  <c r="BD55" i="2"/>
  <c r="BB55" i="2"/>
  <c r="AY55" i="2"/>
  <c r="BC55" i="2" s="1"/>
  <c r="AU55" i="2"/>
  <c r="AS55" i="2"/>
  <c r="AP55" i="2"/>
  <c r="AT55" i="2" s="1"/>
  <c r="AL55" i="2"/>
  <c r="AJ55" i="2"/>
  <c r="AG55" i="2"/>
  <c r="AK55" i="2" s="1"/>
  <c r="AC55" i="2"/>
  <c r="AA55" i="2"/>
  <c r="X55" i="2"/>
  <c r="AB55" i="2" s="1"/>
  <c r="T55" i="2"/>
  <c r="R55" i="2"/>
  <c r="O55" i="2"/>
  <c r="S55" i="2" s="1"/>
  <c r="K55" i="2"/>
  <c r="I55" i="2"/>
  <c r="F55" i="2"/>
  <c r="J55" i="2" s="1"/>
  <c r="DF54" i="2"/>
  <c r="DD54" i="2"/>
  <c r="DE54" i="2" s="1"/>
  <c r="DA54" i="2"/>
  <c r="CW54" i="2"/>
  <c r="CU54" i="2"/>
  <c r="CV54" i="2" s="1"/>
  <c r="CR54" i="2"/>
  <c r="CN54" i="2"/>
  <c r="CL54" i="2"/>
  <c r="CM54" i="2" s="1"/>
  <c r="CI54" i="2"/>
  <c r="CE54" i="2"/>
  <c r="CC54" i="2"/>
  <c r="CD54" i="2" s="1"/>
  <c r="BZ54" i="2"/>
  <c r="BV54" i="2"/>
  <c r="BT54" i="2"/>
  <c r="BU54" i="2" s="1"/>
  <c r="BQ54" i="2"/>
  <c r="BM54" i="2"/>
  <c r="BK54" i="2"/>
  <c r="BL54" i="2" s="1"/>
  <c r="BH54" i="2"/>
  <c r="BD54" i="2"/>
  <c r="BB54" i="2"/>
  <c r="BC54" i="2" s="1"/>
  <c r="AY54" i="2"/>
  <c r="AU54" i="2"/>
  <c r="AS54" i="2"/>
  <c r="AT54" i="2" s="1"/>
  <c r="AP54" i="2"/>
  <c r="AL54" i="2"/>
  <c r="AJ54" i="2"/>
  <c r="AK54" i="2" s="1"/>
  <c r="AG54" i="2"/>
  <c r="AC54" i="2"/>
  <c r="AA54" i="2"/>
  <c r="AB54" i="2" s="1"/>
  <c r="X54" i="2"/>
  <c r="T54" i="2"/>
  <c r="R54" i="2"/>
  <c r="S54" i="2" s="1"/>
  <c r="O54" i="2"/>
  <c r="K54" i="2"/>
  <c r="I54" i="2"/>
  <c r="J54" i="2" s="1"/>
  <c r="F54" i="2"/>
  <c r="DF53" i="2"/>
  <c r="DE53" i="2"/>
  <c r="DD53" i="2"/>
  <c r="DA53" i="2"/>
  <c r="CW53" i="2"/>
  <c r="CV53" i="2"/>
  <c r="CU53" i="2"/>
  <c r="CR53" i="2"/>
  <c r="CN53" i="2"/>
  <c r="CM53" i="2"/>
  <c r="CL53" i="2"/>
  <c r="CI53" i="2"/>
  <c r="CE53" i="2"/>
  <c r="CD53" i="2"/>
  <c r="CC53" i="2"/>
  <c r="BZ53" i="2"/>
  <c r="BV53" i="2"/>
  <c r="BU53" i="2"/>
  <c r="BT53" i="2"/>
  <c r="BQ53" i="2"/>
  <c r="BM53" i="2"/>
  <c r="BL53" i="2"/>
  <c r="BK53" i="2"/>
  <c r="BH53" i="2"/>
  <c r="BD53" i="2"/>
  <c r="BC53" i="2"/>
  <c r="BB53" i="2"/>
  <c r="AY53" i="2"/>
  <c r="AU53" i="2"/>
  <c r="AT53" i="2"/>
  <c r="AS53" i="2"/>
  <c r="AP53" i="2"/>
  <c r="AL53" i="2"/>
  <c r="AK53" i="2"/>
  <c r="AJ53" i="2"/>
  <c r="AG53" i="2"/>
  <c r="AC53" i="2"/>
  <c r="AB53" i="2"/>
  <c r="AA53" i="2"/>
  <c r="X53" i="2"/>
  <c r="T53" i="2"/>
  <c r="S53" i="2"/>
  <c r="R53" i="2"/>
  <c r="O53" i="2"/>
  <c r="K53" i="2"/>
  <c r="J53" i="2"/>
  <c r="I53" i="2"/>
  <c r="F53" i="2"/>
  <c r="DF52" i="2"/>
  <c r="DD52" i="2"/>
  <c r="DE52" i="2" s="1"/>
  <c r="DA52" i="2"/>
  <c r="CW52" i="2"/>
  <c r="CU52" i="2"/>
  <c r="CV52" i="2" s="1"/>
  <c r="CR52" i="2"/>
  <c r="CN52" i="2"/>
  <c r="CL52" i="2"/>
  <c r="CM52" i="2" s="1"/>
  <c r="CI52" i="2"/>
  <c r="CE52" i="2"/>
  <c r="CC52" i="2"/>
  <c r="CD52" i="2" s="1"/>
  <c r="BZ52" i="2"/>
  <c r="BV52" i="2"/>
  <c r="BT52" i="2"/>
  <c r="BU52" i="2" s="1"/>
  <c r="BQ52" i="2"/>
  <c r="BM52" i="2"/>
  <c r="BK52" i="2"/>
  <c r="BL52" i="2" s="1"/>
  <c r="BH52" i="2"/>
  <c r="BD52" i="2"/>
  <c r="BB52" i="2"/>
  <c r="BC52" i="2" s="1"/>
  <c r="AY52" i="2"/>
  <c r="AU52" i="2"/>
  <c r="AS52" i="2"/>
  <c r="AT52" i="2" s="1"/>
  <c r="AP52" i="2"/>
  <c r="AL52" i="2"/>
  <c r="AJ52" i="2"/>
  <c r="AK52" i="2" s="1"/>
  <c r="AG52" i="2"/>
  <c r="AC52" i="2"/>
  <c r="AA52" i="2"/>
  <c r="AB52" i="2" s="1"/>
  <c r="X52" i="2"/>
  <c r="T52" i="2"/>
  <c r="R52" i="2"/>
  <c r="S52" i="2" s="1"/>
  <c r="O52" i="2"/>
  <c r="K52" i="2"/>
  <c r="I52" i="2"/>
  <c r="J52" i="2" s="1"/>
  <c r="F52" i="2"/>
  <c r="DF51" i="2"/>
  <c r="DD51" i="2"/>
  <c r="DA51" i="2"/>
  <c r="DE51" i="2" s="1"/>
  <c r="CW51" i="2"/>
  <c r="CU51" i="2"/>
  <c r="CR51" i="2"/>
  <c r="CV51" i="2" s="1"/>
  <c r="CN51" i="2"/>
  <c r="CL51" i="2"/>
  <c r="CI51" i="2"/>
  <c r="CM51" i="2" s="1"/>
  <c r="CE51" i="2"/>
  <c r="CC51" i="2"/>
  <c r="BZ51" i="2"/>
  <c r="CD51" i="2" s="1"/>
  <c r="BV51" i="2"/>
  <c r="BT51" i="2"/>
  <c r="BQ51" i="2"/>
  <c r="BU51" i="2" s="1"/>
  <c r="BM51" i="2"/>
  <c r="BK51" i="2"/>
  <c r="BH51" i="2"/>
  <c r="BL51" i="2" s="1"/>
  <c r="BD51" i="2"/>
  <c r="BB51" i="2"/>
  <c r="AY51" i="2"/>
  <c r="BC51" i="2" s="1"/>
  <c r="AU51" i="2"/>
  <c r="AS51" i="2"/>
  <c r="AP51" i="2"/>
  <c r="AT51" i="2" s="1"/>
  <c r="AL51" i="2"/>
  <c r="AJ51" i="2"/>
  <c r="AG51" i="2"/>
  <c r="AK51" i="2" s="1"/>
  <c r="AC51" i="2"/>
  <c r="AA51" i="2"/>
  <c r="X51" i="2"/>
  <c r="AB51" i="2" s="1"/>
  <c r="T51" i="2"/>
  <c r="R51" i="2"/>
  <c r="O51" i="2"/>
  <c r="S51" i="2" s="1"/>
  <c r="K51" i="2"/>
  <c r="I51" i="2"/>
  <c r="F51" i="2"/>
  <c r="J51" i="2" s="1"/>
  <c r="DF50" i="2"/>
  <c r="DD50" i="2"/>
  <c r="DE50" i="2" s="1"/>
  <c r="DA50" i="2"/>
  <c r="CW50" i="2"/>
  <c r="CU50" i="2"/>
  <c r="CV50" i="2" s="1"/>
  <c r="CR50" i="2"/>
  <c r="CN50" i="2"/>
  <c r="CL50" i="2"/>
  <c r="CM50" i="2" s="1"/>
  <c r="CI50" i="2"/>
  <c r="CE50" i="2"/>
  <c r="CC50" i="2"/>
  <c r="CD50" i="2" s="1"/>
  <c r="BZ50" i="2"/>
  <c r="BV50" i="2"/>
  <c r="BT50" i="2"/>
  <c r="BU50" i="2" s="1"/>
  <c r="BQ50" i="2"/>
  <c r="BM50" i="2"/>
  <c r="BK50" i="2"/>
  <c r="BL50" i="2" s="1"/>
  <c r="BH50" i="2"/>
  <c r="BD50" i="2"/>
  <c r="BB50" i="2"/>
  <c r="BC50" i="2" s="1"/>
  <c r="AY50" i="2"/>
  <c r="AU50" i="2"/>
  <c r="AS50" i="2"/>
  <c r="AT50" i="2" s="1"/>
  <c r="AP50" i="2"/>
  <c r="AL50" i="2"/>
  <c r="AJ50" i="2"/>
  <c r="AK50" i="2" s="1"/>
  <c r="AG50" i="2"/>
  <c r="AC50" i="2"/>
  <c r="AA50" i="2"/>
  <c r="AB50" i="2" s="1"/>
  <c r="X50" i="2"/>
  <c r="T50" i="2"/>
  <c r="R50" i="2"/>
  <c r="S50" i="2" s="1"/>
  <c r="O50" i="2"/>
  <c r="K50" i="2"/>
  <c r="I50" i="2"/>
  <c r="J50" i="2" s="1"/>
  <c r="F50" i="2"/>
  <c r="DF49" i="2"/>
  <c r="DE49" i="2"/>
  <c r="DD49" i="2"/>
  <c r="DA49" i="2"/>
  <c r="CW49" i="2"/>
  <c r="CV49" i="2"/>
  <c r="CU49" i="2"/>
  <c r="CR49" i="2"/>
  <c r="CN49" i="2"/>
  <c r="CM49" i="2"/>
  <c r="CL49" i="2"/>
  <c r="CI49" i="2"/>
  <c r="CE49" i="2"/>
  <c r="CD49" i="2"/>
  <c r="CC49" i="2"/>
  <c r="BZ49" i="2"/>
  <c r="BV49" i="2"/>
  <c r="BU49" i="2"/>
  <c r="BT49" i="2"/>
  <c r="BQ49" i="2"/>
  <c r="BM49" i="2"/>
  <c r="BL49" i="2"/>
  <c r="BK49" i="2"/>
  <c r="BH49" i="2"/>
  <c r="BD49" i="2"/>
  <c r="BC49" i="2"/>
  <c r="BB49" i="2"/>
  <c r="AY49" i="2"/>
  <c r="AU49" i="2"/>
  <c r="AT49" i="2"/>
  <c r="AS49" i="2"/>
  <c r="AP49" i="2"/>
  <c r="AL49" i="2"/>
  <c r="AK49" i="2"/>
  <c r="AJ49" i="2"/>
  <c r="AG49" i="2"/>
  <c r="AC49" i="2"/>
  <c r="AB49" i="2"/>
  <c r="AA49" i="2"/>
  <c r="X49" i="2"/>
  <c r="T49" i="2"/>
  <c r="S49" i="2"/>
  <c r="R49" i="2"/>
  <c r="O49" i="2"/>
  <c r="K49" i="2"/>
  <c r="J49" i="2"/>
  <c r="I49" i="2"/>
  <c r="F49" i="2"/>
  <c r="DF48" i="2"/>
  <c r="DD48" i="2"/>
  <c r="DE48" i="2" s="1"/>
  <c r="DA48" i="2"/>
  <c r="CW48" i="2"/>
  <c r="CU48" i="2"/>
  <c r="CV48" i="2" s="1"/>
  <c r="CR48" i="2"/>
  <c r="CN48" i="2"/>
  <c r="CL48" i="2"/>
  <c r="CM48" i="2" s="1"/>
  <c r="CI48" i="2"/>
  <c r="CE48" i="2"/>
  <c r="CC48" i="2"/>
  <c r="CD48" i="2" s="1"/>
  <c r="BZ48" i="2"/>
  <c r="BV48" i="2"/>
  <c r="BT48" i="2"/>
  <c r="BU48" i="2" s="1"/>
  <c r="BQ48" i="2"/>
  <c r="BM48" i="2"/>
  <c r="BK48" i="2"/>
  <c r="BL48" i="2" s="1"/>
  <c r="BH48" i="2"/>
  <c r="BD48" i="2"/>
  <c r="BB48" i="2"/>
  <c r="BC48" i="2" s="1"/>
  <c r="AY48" i="2"/>
  <c r="AU48" i="2"/>
  <c r="AS48" i="2"/>
  <c r="AT48" i="2" s="1"/>
  <c r="AP48" i="2"/>
  <c r="AL48" i="2"/>
  <c r="AJ48" i="2"/>
  <c r="AK48" i="2" s="1"/>
  <c r="AG48" i="2"/>
  <c r="AC48" i="2"/>
  <c r="AA48" i="2"/>
  <c r="AB48" i="2" s="1"/>
  <c r="X48" i="2"/>
  <c r="T48" i="2"/>
  <c r="R48" i="2"/>
  <c r="S48" i="2" s="1"/>
  <c r="O48" i="2"/>
  <c r="K48" i="2"/>
  <c r="I48" i="2"/>
  <c r="J48" i="2" s="1"/>
  <c r="F48" i="2"/>
  <c r="DF47" i="2"/>
  <c r="DD47" i="2"/>
  <c r="DA47" i="2"/>
  <c r="DE47" i="2" s="1"/>
  <c r="CW47" i="2"/>
  <c r="CU47" i="2"/>
  <c r="CR47" i="2"/>
  <c r="CV47" i="2" s="1"/>
  <c r="CN47" i="2"/>
  <c r="CL47" i="2"/>
  <c r="CI47" i="2"/>
  <c r="CM47" i="2" s="1"/>
  <c r="CE47" i="2"/>
  <c r="CC47" i="2"/>
  <c r="BZ47" i="2"/>
  <c r="CD47" i="2" s="1"/>
  <c r="BV47" i="2"/>
  <c r="BT47" i="2"/>
  <c r="BQ47" i="2"/>
  <c r="BU47" i="2" s="1"/>
  <c r="BM47" i="2"/>
  <c r="BK47" i="2"/>
  <c r="BH47" i="2"/>
  <c r="BL47" i="2" s="1"/>
  <c r="BD47" i="2"/>
  <c r="BB47" i="2"/>
  <c r="AY47" i="2"/>
  <c r="BC47" i="2" s="1"/>
  <c r="AU47" i="2"/>
  <c r="AS47" i="2"/>
  <c r="AP47" i="2"/>
  <c r="AT47" i="2" s="1"/>
  <c r="AL47" i="2"/>
  <c r="AJ47" i="2"/>
  <c r="AG47" i="2"/>
  <c r="AK47" i="2" s="1"/>
  <c r="AC47" i="2"/>
  <c r="AA47" i="2"/>
  <c r="X47" i="2"/>
  <c r="AB47" i="2" s="1"/>
  <c r="T47" i="2"/>
  <c r="R47" i="2"/>
  <c r="O47" i="2"/>
  <c r="S47" i="2" s="1"/>
  <c r="K47" i="2"/>
  <c r="I47" i="2"/>
  <c r="F47" i="2"/>
  <c r="J47" i="2" s="1"/>
  <c r="DF46" i="2"/>
  <c r="DD46" i="2"/>
  <c r="DE46" i="2" s="1"/>
  <c r="DA46" i="2"/>
  <c r="CW46" i="2"/>
  <c r="CU46" i="2"/>
  <c r="CV46" i="2" s="1"/>
  <c r="CR46" i="2"/>
  <c r="CN46" i="2"/>
  <c r="CL46" i="2"/>
  <c r="CM46" i="2" s="1"/>
  <c r="CI46" i="2"/>
  <c r="CE46" i="2"/>
  <c r="CC46" i="2"/>
  <c r="CD46" i="2" s="1"/>
  <c r="BZ46" i="2"/>
  <c r="BV46" i="2"/>
  <c r="BT46" i="2"/>
  <c r="BU46" i="2" s="1"/>
  <c r="BQ46" i="2"/>
  <c r="BM46" i="2"/>
  <c r="BK46" i="2"/>
  <c r="BL46" i="2" s="1"/>
  <c r="BH46" i="2"/>
  <c r="BD46" i="2"/>
  <c r="BB46" i="2"/>
  <c r="BC46" i="2" s="1"/>
  <c r="AY46" i="2"/>
  <c r="AU46" i="2"/>
  <c r="AS46" i="2"/>
  <c r="AT46" i="2" s="1"/>
  <c r="AP46" i="2"/>
  <c r="AL46" i="2"/>
  <c r="AJ46" i="2"/>
  <c r="AK46" i="2" s="1"/>
  <c r="AG46" i="2"/>
  <c r="AC46" i="2"/>
  <c r="AA46" i="2"/>
  <c r="AB46" i="2" s="1"/>
  <c r="X46" i="2"/>
  <c r="T46" i="2"/>
  <c r="R46" i="2"/>
  <c r="S46" i="2" s="1"/>
  <c r="O46" i="2"/>
  <c r="K46" i="2"/>
  <c r="I46" i="2"/>
  <c r="J46" i="2" s="1"/>
  <c r="F46" i="2"/>
  <c r="DF45" i="2"/>
  <c r="DE45" i="2"/>
  <c r="DD45" i="2"/>
  <c r="DA45" i="2"/>
  <c r="CW45" i="2"/>
  <c r="CV45" i="2"/>
  <c r="CU45" i="2"/>
  <c r="CR45" i="2"/>
  <c r="CN45" i="2"/>
  <c r="CM45" i="2"/>
  <c r="CL45" i="2"/>
  <c r="CI45" i="2"/>
  <c r="CE45" i="2"/>
  <c r="CD45" i="2"/>
  <c r="CC45" i="2"/>
  <c r="BZ45" i="2"/>
  <c r="BV45" i="2"/>
  <c r="BU45" i="2"/>
  <c r="BT45" i="2"/>
  <c r="BQ45" i="2"/>
  <c r="BM45" i="2"/>
  <c r="BL45" i="2"/>
  <c r="BK45" i="2"/>
  <c r="BH45" i="2"/>
  <c r="BD45" i="2"/>
  <c r="BC45" i="2"/>
  <c r="BB45" i="2"/>
  <c r="AY45" i="2"/>
  <c r="AU45" i="2"/>
  <c r="AT45" i="2"/>
  <c r="AS45" i="2"/>
  <c r="AP45" i="2"/>
  <c r="AL45" i="2"/>
  <c r="AK45" i="2"/>
  <c r="AJ45" i="2"/>
  <c r="AG45" i="2"/>
  <c r="AC45" i="2"/>
  <c r="AB45" i="2"/>
  <c r="AA45" i="2"/>
  <c r="X45" i="2"/>
  <c r="T45" i="2"/>
  <c r="S45" i="2"/>
  <c r="R45" i="2"/>
  <c r="O45" i="2"/>
  <c r="K45" i="2"/>
  <c r="J45" i="2"/>
  <c r="I45" i="2"/>
  <c r="F45" i="2"/>
  <c r="DF44" i="2"/>
  <c r="DD44" i="2"/>
  <c r="DE44" i="2" s="1"/>
  <c r="DA44" i="2"/>
  <c r="CW44" i="2"/>
  <c r="CU44" i="2"/>
  <c r="CV44" i="2" s="1"/>
  <c r="CR44" i="2"/>
  <c r="CN44" i="2"/>
  <c r="CL44" i="2"/>
  <c r="CM44" i="2" s="1"/>
  <c r="CI44" i="2"/>
  <c r="CE44" i="2"/>
  <c r="CC44" i="2"/>
  <c r="CD44" i="2" s="1"/>
  <c r="BZ44" i="2"/>
  <c r="BV44" i="2"/>
  <c r="BT44" i="2"/>
  <c r="BU44" i="2" s="1"/>
  <c r="BQ44" i="2"/>
  <c r="BM44" i="2"/>
  <c r="BK44" i="2"/>
  <c r="BL44" i="2" s="1"/>
  <c r="BH44" i="2"/>
  <c r="BD44" i="2"/>
  <c r="BB44" i="2"/>
  <c r="BC44" i="2" s="1"/>
  <c r="AY44" i="2"/>
  <c r="AU44" i="2"/>
  <c r="AS44" i="2"/>
  <c r="AT44" i="2" s="1"/>
  <c r="AP44" i="2"/>
  <c r="AL44" i="2"/>
  <c r="AJ44" i="2"/>
  <c r="AK44" i="2" s="1"/>
  <c r="AG44" i="2"/>
  <c r="AC44" i="2"/>
  <c r="AA44" i="2"/>
  <c r="AB44" i="2" s="1"/>
  <c r="X44" i="2"/>
  <c r="T44" i="2"/>
  <c r="R44" i="2"/>
  <c r="S44" i="2" s="1"/>
  <c r="O44" i="2"/>
  <c r="K44" i="2"/>
  <c r="I44" i="2"/>
  <c r="J44" i="2" s="1"/>
  <c r="F44" i="2"/>
  <c r="DF43" i="2"/>
  <c r="DD43" i="2"/>
  <c r="DA43" i="2"/>
  <c r="DE43" i="2" s="1"/>
  <c r="CW43" i="2"/>
  <c r="CU43" i="2"/>
  <c r="CR43" i="2"/>
  <c r="CV43" i="2" s="1"/>
  <c r="CN43" i="2"/>
  <c r="CL43" i="2"/>
  <c r="CI43" i="2"/>
  <c r="CM43" i="2" s="1"/>
  <c r="CE43" i="2"/>
  <c r="CC43" i="2"/>
  <c r="BZ43" i="2"/>
  <c r="CD43" i="2" s="1"/>
  <c r="BV43" i="2"/>
  <c r="BT43" i="2"/>
  <c r="BQ43" i="2"/>
  <c r="BU43" i="2" s="1"/>
  <c r="BM43" i="2"/>
  <c r="BK43" i="2"/>
  <c r="BH43" i="2"/>
  <c r="BL43" i="2" s="1"/>
  <c r="BD43" i="2"/>
  <c r="BB43" i="2"/>
  <c r="AY43" i="2"/>
  <c r="BC43" i="2" s="1"/>
  <c r="AU43" i="2"/>
  <c r="AS43" i="2"/>
  <c r="AP43" i="2"/>
  <c r="AT43" i="2" s="1"/>
  <c r="AL43" i="2"/>
  <c r="AJ43" i="2"/>
  <c r="AG43" i="2"/>
  <c r="AK43" i="2" s="1"/>
  <c r="AC43" i="2"/>
  <c r="AA43" i="2"/>
  <c r="X43" i="2"/>
  <c r="AB43" i="2" s="1"/>
  <c r="T43" i="2"/>
  <c r="R43" i="2"/>
  <c r="O43" i="2"/>
  <c r="S43" i="2" s="1"/>
  <c r="K43" i="2"/>
  <c r="I43" i="2"/>
  <c r="F43" i="2"/>
  <c r="J43" i="2" s="1"/>
  <c r="DF42" i="2"/>
  <c r="DD42" i="2"/>
  <c r="DE42" i="2" s="1"/>
  <c r="DA42" i="2"/>
  <c r="CW42" i="2"/>
  <c r="CU42" i="2"/>
  <c r="CV42" i="2" s="1"/>
  <c r="CR42" i="2"/>
  <c r="CN42" i="2"/>
  <c r="CL42" i="2"/>
  <c r="CM42" i="2" s="1"/>
  <c r="CI42" i="2"/>
  <c r="CE42" i="2"/>
  <c r="CC42" i="2"/>
  <c r="CD42" i="2" s="1"/>
  <c r="BZ42" i="2"/>
  <c r="BV42" i="2"/>
  <c r="BT42" i="2"/>
  <c r="BU42" i="2" s="1"/>
  <c r="BQ42" i="2"/>
  <c r="BM42" i="2"/>
  <c r="BK42" i="2"/>
  <c r="BL42" i="2" s="1"/>
  <c r="BH42" i="2"/>
  <c r="BD42" i="2"/>
  <c r="BB42" i="2"/>
  <c r="BC42" i="2" s="1"/>
  <c r="AY42" i="2"/>
  <c r="AU42" i="2"/>
  <c r="AS42" i="2"/>
  <c r="AT42" i="2" s="1"/>
  <c r="AP42" i="2"/>
  <c r="AL42" i="2"/>
  <c r="AJ42" i="2"/>
  <c r="AK42" i="2" s="1"/>
  <c r="AG42" i="2"/>
  <c r="AC42" i="2"/>
  <c r="AA42" i="2"/>
  <c r="AB42" i="2" s="1"/>
  <c r="X42" i="2"/>
  <c r="T42" i="2"/>
  <c r="R42" i="2"/>
  <c r="S42" i="2" s="1"/>
  <c r="O42" i="2"/>
  <c r="K42" i="2"/>
  <c r="I42" i="2"/>
  <c r="J42" i="2" s="1"/>
  <c r="F42" i="2"/>
  <c r="DF41" i="2"/>
  <c r="DE41" i="2"/>
  <c r="DD41" i="2"/>
  <c r="DA41" i="2"/>
  <c r="CW41" i="2"/>
  <c r="CV41" i="2"/>
  <c r="CU41" i="2"/>
  <c r="CR41" i="2"/>
  <c r="CN41" i="2"/>
  <c r="CM41" i="2"/>
  <c r="CL41" i="2"/>
  <c r="CI41" i="2"/>
  <c r="CE41" i="2"/>
  <c r="CD41" i="2"/>
  <c r="CC41" i="2"/>
  <c r="BZ41" i="2"/>
  <c r="BV41" i="2"/>
  <c r="BU41" i="2"/>
  <c r="BT41" i="2"/>
  <c r="BQ41" i="2"/>
  <c r="BM41" i="2"/>
  <c r="BL41" i="2"/>
  <c r="BK41" i="2"/>
  <c r="BH41" i="2"/>
  <c r="BD41" i="2"/>
  <c r="BC41" i="2"/>
  <c r="BB41" i="2"/>
  <c r="AY41" i="2"/>
  <c r="AU41" i="2"/>
  <c r="AT41" i="2"/>
  <c r="AS41" i="2"/>
  <c r="AP41" i="2"/>
  <c r="AL41" i="2"/>
  <c r="AK41" i="2"/>
  <c r="AJ41" i="2"/>
  <c r="AG41" i="2"/>
  <c r="AC41" i="2"/>
  <c r="AB41" i="2"/>
  <c r="AA41" i="2"/>
  <c r="X41" i="2"/>
  <c r="T41" i="2"/>
  <c r="S41" i="2"/>
  <c r="R41" i="2"/>
  <c r="O41" i="2"/>
  <c r="K41" i="2"/>
  <c r="J41" i="2"/>
  <c r="I41" i="2"/>
  <c r="F41" i="2"/>
  <c r="DF40" i="2"/>
  <c r="DD40" i="2"/>
  <c r="DE40" i="2" s="1"/>
  <c r="DA40" i="2"/>
  <c r="CW40" i="2"/>
  <c r="CU40" i="2"/>
  <c r="CV40" i="2" s="1"/>
  <c r="CR40" i="2"/>
  <c r="CN40" i="2"/>
  <c r="CL40" i="2"/>
  <c r="CM40" i="2" s="1"/>
  <c r="CI40" i="2"/>
  <c r="CE40" i="2"/>
  <c r="CC40" i="2"/>
  <c r="CD40" i="2" s="1"/>
  <c r="BZ40" i="2"/>
  <c r="BV40" i="2"/>
  <c r="BT40" i="2"/>
  <c r="BU40" i="2" s="1"/>
  <c r="BQ40" i="2"/>
  <c r="BM40" i="2"/>
  <c r="BK40" i="2"/>
  <c r="BL40" i="2" s="1"/>
  <c r="BH40" i="2"/>
  <c r="BD40" i="2"/>
  <c r="BB40" i="2"/>
  <c r="BC40" i="2" s="1"/>
  <c r="AY40" i="2"/>
  <c r="AU40" i="2"/>
  <c r="AS40" i="2"/>
  <c r="AT40" i="2" s="1"/>
  <c r="AP40" i="2"/>
  <c r="AL40" i="2"/>
  <c r="AJ40" i="2"/>
  <c r="AK40" i="2" s="1"/>
  <c r="AG40" i="2"/>
  <c r="AC40" i="2"/>
  <c r="AA40" i="2"/>
  <c r="AB40" i="2" s="1"/>
  <c r="X40" i="2"/>
  <c r="T40" i="2"/>
  <c r="R40" i="2"/>
  <c r="S40" i="2" s="1"/>
  <c r="O40" i="2"/>
  <c r="K40" i="2"/>
  <c r="I40" i="2"/>
  <c r="J40" i="2" s="1"/>
  <c r="F40" i="2"/>
  <c r="DF39" i="2"/>
  <c r="DD39" i="2"/>
  <c r="DA39" i="2"/>
  <c r="DE39" i="2" s="1"/>
  <c r="CW39" i="2"/>
  <c r="CU39" i="2"/>
  <c r="CR39" i="2"/>
  <c r="CV39" i="2" s="1"/>
  <c r="CN39" i="2"/>
  <c r="CL39" i="2"/>
  <c r="CI39" i="2"/>
  <c r="CM39" i="2" s="1"/>
  <c r="CE39" i="2"/>
  <c r="CC39" i="2"/>
  <c r="BZ39" i="2"/>
  <c r="CD39" i="2" s="1"/>
  <c r="BV39" i="2"/>
  <c r="BT39" i="2"/>
  <c r="BQ39" i="2"/>
  <c r="BU39" i="2" s="1"/>
  <c r="BM39" i="2"/>
  <c r="BK39" i="2"/>
  <c r="BH39" i="2"/>
  <c r="BL39" i="2" s="1"/>
  <c r="BD39" i="2"/>
  <c r="BB39" i="2"/>
  <c r="AY39" i="2"/>
  <c r="BC39" i="2" s="1"/>
  <c r="AU39" i="2"/>
  <c r="AS39" i="2"/>
  <c r="AP39" i="2"/>
  <c r="AT39" i="2" s="1"/>
  <c r="AL39" i="2"/>
  <c r="AJ39" i="2"/>
  <c r="AG39" i="2"/>
  <c r="AK39" i="2" s="1"/>
  <c r="AC39" i="2"/>
  <c r="AA39" i="2"/>
  <c r="X39" i="2"/>
  <c r="AB39" i="2" s="1"/>
  <c r="T39" i="2"/>
  <c r="R39" i="2"/>
  <c r="O39" i="2"/>
  <c r="S39" i="2" s="1"/>
  <c r="K39" i="2"/>
  <c r="I39" i="2"/>
  <c r="F39" i="2"/>
  <c r="J39" i="2" s="1"/>
  <c r="DF38" i="2"/>
  <c r="DD38" i="2"/>
  <c r="DE38" i="2" s="1"/>
  <c r="DA38" i="2"/>
  <c r="CW38" i="2"/>
  <c r="CU38" i="2"/>
  <c r="CV38" i="2" s="1"/>
  <c r="CR38" i="2"/>
  <c r="CN38" i="2"/>
  <c r="CL38" i="2"/>
  <c r="CM38" i="2" s="1"/>
  <c r="CI38" i="2"/>
  <c r="CE38" i="2"/>
  <c r="CC38" i="2"/>
  <c r="CD38" i="2" s="1"/>
  <c r="BZ38" i="2"/>
  <c r="BV38" i="2"/>
  <c r="BT38" i="2"/>
  <c r="BU38" i="2" s="1"/>
  <c r="BQ38" i="2"/>
  <c r="BM38" i="2"/>
  <c r="BK38" i="2"/>
  <c r="BL38" i="2" s="1"/>
  <c r="BH38" i="2"/>
  <c r="BD38" i="2"/>
  <c r="BB38" i="2"/>
  <c r="BC38" i="2" s="1"/>
  <c r="AY38" i="2"/>
  <c r="AU38" i="2"/>
  <c r="AS38" i="2"/>
  <c r="AT38" i="2" s="1"/>
  <c r="AP38" i="2"/>
  <c r="AL38" i="2"/>
  <c r="AJ38" i="2"/>
  <c r="AK38" i="2" s="1"/>
  <c r="AG38" i="2"/>
  <c r="AC38" i="2"/>
  <c r="AA38" i="2"/>
  <c r="AB38" i="2" s="1"/>
  <c r="X38" i="2"/>
  <c r="T38" i="2"/>
  <c r="R38" i="2"/>
  <c r="S38" i="2" s="1"/>
  <c r="O38" i="2"/>
  <c r="K38" i="2"/>
  <c r="I38" i="2"/>
  <c r="J38" i="2" s="1"/>
  <c r="F38" i="2"/>
  <c r="DF37" i="2"/>
  <c r="DE37" i="2"/>
  <c r="DD37" i="2"/>
  <c r="DA37" i="2"/>
  <c r="CW37" i="2"/>
  <c r="CV37" i="2"/>
  <c r="CU37" i="2"/>
  <c r="CR37" i="2"/>
  <c r="CN37" i="2"/>
  <c r="CM37" i="2"/>
  <c r="CL37" i="2"/>
  <c r="CI37" i="2"/>
  <c r="CE37" i="2"/>
  <c r="CD37" i="2"/>
  <c r="CC37" i="2"/>
  <c r="BZ37" i="2"/>
  <c r="BV37" i="2"/>
  <c r="BU37" i="2"/>
  <c r="BT37" i="2"/>
  <c r="BQ37" i="2"/>
  <c r="BM37" i="2"/>
  <c r="BL37" i="2"/>
  <c r="BK37" i="2"/>
  <c r="BH37" i="2"/>
  <c r="BD37" i="2"/>
  <c r="BC37" i="2"/>
  <c r="BB37" i="2"/>
  <c r="AY37" i="2"/>
  <c r="AU37" i="2"/>
  <c r="AT37" i="2"/>
  <c r="AS37" i="2"/>
  <c r="AP37" i="2"/>
  <c r="AL37" i="2"/>
  <c r="AK37" i="2"/>
  <c r="AJ37" i="2"/>
  <c r="AG37" i="2"/>
  <c r="AC37" i="2"/>
  <c r="AB37" i="2"/>
  <c r="AA37" i="2"/>
  <c r="X37" i="2"/>
  <c r="T37" i="2"/>
  <c r="S37" i="2"/>
  <c r="R37" i="2"/>
  <c r="O37" i="2"/>
  <c r="K37" i="2"/>
  <c r="J37" i="2"/>
  <c r="I37" i="2"/>
  <c r="F37" i="2"/>
  <c r="DF36" i="2"/>
  <c r="DD36" i="2"/>
  <c r="DE36" i="2" s="1"/>
  <c r="DA36" i="2"/>
  <c r="CW36" i="2"/>
  <c r="CU36" i="2"/>
  <c r="CV36" i="2" s="1"/>
  <c r="CR36" i="2"/>
  <c r="CN36" i="2"/>
  <c r="CL36" i="2"/>
  <c r="CM36" i="2" s="1"/>
  <c r="CI36" i="2"/>
  <c r="CE36" i="2"/>
  <c r="CC36" i="2"/>
  <c r="CD36" i="2" s="1"/>
  <c r="BZ36" i="2"/>
  <c r="BV36" i="2"/>
  <c r="BT36" i="2"/>
  <c r="BU36" i="2" s="1"/>
  <c r="BQ36" i="2"/>
  <c r="BM36" i="2"/>
  <c r="BK36" i="2"/>
  <c r="BL36" i="2" s="1"/>
  <c r="BH36" i="2"/>
  <c r="BD36" i="2"/>
  <c r="BB36" i="2"/>
  <c r="BC36" i="2" s="1"/>
  <c r="AY36" i="2"/>
  <c r="AU36" i="2"/>
  <c r="AS36" i="2"/>
  <c r="AT36" i="2" s="1"/>
  <c r="AP36" i="2"/>
  <c r="AL36" i="2"/>
  <c r="AJ36" i="2"/>
  <c r="AK36" i="2" s="1"/>
  <c r="AG36" i="2"/>
  <c r="AC36" i="2"/>
  <c r="AA36" i="2"/>
  <c r="AB36" i="2" s="1"/>
  <c r="X36" i="2"/>
  <c r="T36" i="2"/>
  <c r="R36" i="2"/>
  <c r="S36" i="2" s="1"/>
  <c r="O36" i="2"/>
  <c r="K36" i="2"/>
  <c r="I36" i="2"/>
  <c r="J36" i="2" s="1"/>
  <c r="F36" i="2"/>
  <c r="DF35" i="2"/>
  <c r="DD35" i="2"/>
  <c r="DA35" i="2"/>
  <c r="DE35" i="2" s="1"/>
  <c r="CW35" i="2"/>
  <c r="CU35" i="2"/>
  <c r="CR35" i="2"/>
  <c r="CV35" i="2" s="1"/>
  <c r="CN35" i="2"/>
  <c r="CL35" i="2"/>
  <c r="CI35" i="2"/>
  <c r="CM35" i="2" s="1"/>
  <c r="CE35" i="2"/>
  <c r="CC35" i="2"/>
  <c r="BZ35" i="2"/>
  <c r="CD35" i="2" s="1"/>
  <c r="BV35" i="2"/>
  <c r="BT35" i="2"/>
  <c r="BQ35" i="2"/>
  <c r="BU35" i="2" s="1"/>
  <c r="BM35" i="2"/>
  <c r="BK35" i="2"/>
  <c r="BH35" i="2"/>
  <c r="BL35" i="2" s="1"/>
  <c r="BD35" i="2"/>
  <c r="BB35" i="2"/>
  <c r="AY35" i="2"/>
  <c r="BC35" i="2" s="1"/>
  <c r="AU35" i="2"/>
  <c r="AS35" i="2"/>
  <c r="AP35" i="2"/>
  <c r="AT35" i="2" s="1"/>
  <c r="AL35" i="2"/>
  <c r="AJ35" i="2"/>
  <c r="AG35" i="2"/>
  <c r="AK35" i="2" s="1"/>
  <c r="AC35" i="2"/>
  <c r="AA35" i="2"/>
  <c r="X35" i="2"/>
  <c r="AB35" i="2" s="1"/>
  <c r="T35" i="2"/>
  <c r="R35" i="2"/>
  <c r="O35" i="2"/>
  <c r="S35" i="2" s="1"/>
  <c r="K35" i="2"/>
  <c r="I35" i="2"/>
  <c r="F35" i="2"/>
  <c r="J35" i="2" s="1"/>
  <c r="DF34" i="2"/>
  <c r="DD34" i="2"/>
  <c r="DE34" i="2" s="1"/>
  <c r="DA34" i="2"/>
  <c r="CW34" i="2"/>
  <c r="CU34" i="2"/>
  <c r="CV34" i="2" s="1"/>
  <c r="CR34" i="2"/>
  <c r="CN34" i="2"/>
  <c r="CL34" i="2"/>
  <c r="CM34" i="2" s="1"/>
  <c r="CI34" i="2"/>
  <c r="CE34" i="2"/>
  <c r="CC34" i="2"/>
  <c r="CD34" i="2" s="1"/>
  <c r="BZ34" i="2"/>
  <c r="BV34" i="2"/>
  <c r="BT34" i="2"/>
  <c r="BU34" i="2" s="1"/>
  <c r="BQ34" i="2"/>
  <c r="BM34" i="2"/>
  <c r="BK34" i="2"/>
  <c r="BL34" i="2" s="1"/>
  <c r="BH34" i="2"/>
  <c r="BD34" i="2"/>
  <c r="BB34" i="2"/>
  <c r="BC34" i="2" s="1"/>
  <c r="AY34" i="2"/>
  <c r="AU34" i="2"/>
  <c r="AS34" i="2"/>
  <c r="AT34" i="2" s="1"/>
  <c r="AP34" i="2"/>
  <c r="AL34" i="2"/>
  <c r="AJ34" i="2"/>
  <c r="AK34" i="2" s="1"/>
  <c r="AG34" i="2"/>
  <c r="AC34" i="2"/>
  <c r="AA34" i="2"/>
  <c r="AB34" i="2" s="1"/>
  <c r="X34" i="2"/>
  <c r="T34" i="2"/>
  <c r="R34" i="2"/>
  <c r="S34" i="2" s="1"/>
  <c r="O34" i="2"/>
  <c r="K34" i="2"/>
  <c r="I34" i="2"/>
  <c r="J34" i="2" s="1"/>
  <c r="F34" i="2"/>
  <c r="DF33" i="2"/>
  <c r="DE33" i="2"/>
  <c r="DD33" i="2"/>
  <c r="DA33" i="2"/>
  <c r="CW33" i="2"/>
  <c r="CV33" i="2"/>
  <c r="CU33" i="2"/>
  <c r="CR33" i="2"/>
  <c r="CN33" i="2"/>
  <c r="CM33" i="2"/>
  <c r="CL33" i="2"/>
  <c r="CI33" i="2"/>
  <c r="CE33" i="2"/>
  <c r="CD33" i="2"/>
  <c r="CC33" i="2"/>
  <c r="BZ33" i="2"/>
  <c r="BT33" i="2"/>
  <c r="BQ33" i="2"/>
  <c r="BU33" i="2" s="1"/>
  <c r="BP33" i="2"/>
  <c r="BV33" i="2" s="1"/>
  <c r="BK33" i="2"/>
  <c r="BG33" i="2"/>
  <c r="BH33" i="2" s="1"/>
  <c r="BD33" i="2"/>
  <c r="BB33" i="2"/>
  <c r="AY33" i="2"/>
  <c r="BC33" i="2" s="1"/>
  <c r="AU33" i="2"/>
  <c r="AS33" i="2"/>
  <c r="AP33" i="2"/>
  <c r="AT33" i="2" s="1"/>
  <c r="AL33" i="2"/>
  <c r="AJ33" i="2"/>
  <c r="AG33" i="2"/>
  <c r="AK33" i="2" s="1"/>
  <c r="AC33" i="2"/>
  <c r="AA33" i="2"/>
  <c r="X33" i="2"/>
  <c r="AB33" i="2" s="1"/>
  <c r="T33" i="2"/>
  <c r="R33" i="2"/>
  <c r="O33" i="2"/>
  <c r="S33" i="2" s="1"/>
  <c r="K33" i="2"/>
  <c r="I33" i="2"/>
  <c r="F33" i="2"/>
  <c r="J33" i="2" s="1"/>
  <c r="DF32" i="2"/>
  <c r="DD32" i="2"/>
  <c r="DE32" i="2" s="1"/>
  <c r="DA32" i="2"/>
  <c r="CW32" i="2"/>
  <c r="CU32" i="2"/>
  <c r="CV32" i="2" s="1"/>
  <c r="CR32" i="2"/>
  <c r="CN32" i="2"/>
  <c r="CL32" i="2"/>
  <c r="CM32" i="2" s="1"/>
  <c r="CI32" i="2"/>
  <c r="CE32" i="2"/>
  <c r="CC32" i="2"/>
  <c r="CD32" i="2" s="1"/>
  <c r="BZ32" i="2"/>
  <c r="BV32" i="2"/>
  <c r="BT32" i="2"/>
  <c r="BU32" i="2" s="1"/>
  <c r="BQ32" i="2"/>
  <c r="BM32" i="2"/>
  <c r="BK32" i="2"/>
  <c r="BL32" i="2" s="1"/>
  <c r="BH32" i="2"/>
  <c r="BD32" i="2"/>
  <c r="BB32" i="2"/>
  <c r="BC32" i="2" s="1"/>
  <c r="AY32" i="2"/>
  <c r="AU32" i="2"/>
  <c r="AS32" i="2"/>
  <c r="AT32" i="2" s="1"/>
  <c r="AP32" i="2"/>
  <c r="AL32" i="2"/>
  <c r="AJ32" i="2"/>
  <c r="AK32" i="2" s="1"/>
  <c r="AG32" i="2"/>
  <c r="AC32" i="2"/>
  <c r="AA32" i="2"/>
  <c r="AB32" i="2" s="1"/>
  <c r="X32" i="2"/>
  <c r="T32" i="2"/>
  <c r="R32" i="2"/>
  <c r="S32" i="2" s="1"/>
  <c r="O32" i="2"/>
  <c r="K32" i="2"/>
  <c r="I32" i="2"/>
  <c r="J32" i="2" s="1"/>
  <c r="F32" i="2"/>
  <c r="DF31" i="2"/>
  <c r="DE31" i="2"/>
  <c r="DD31" i="2"/>
  <c r="DA31" i="2"/>
  <c r="CW31" i="2"/>
  <c r="CV31" i="2"/>
  <c r="CU31" i="2"/>
  <c r="CR31" i="2"/>
  <c r="CN31" i="2"/>
  <c r="CM31" i="2"/>
  <c r="CL31" i="2"/>
  <c r="CI31" i="2"/>
  <c r="CE31" i="2"/>
  <c r="CD31" i="2"/>
  <c r="CC31" i="2"/>
  <c r="BZ31" i="2"/>
  <c r="BV31" i="2"/>
  <c r="BU31" i="2"/>
  <c r="BT31" i="2"/>
  <c r="BQ31" i="2"/>
  <c r="BM31" i="2"/>
  <c r="BL31" i="2"/>
  <c r="BK31" i="2"/>
  <c r="BH31" i="2"/>
  <c r="BD31" i="2"/>
  <c r="BC31" i="2"/>
  <c r="BB31" i="2"/>
  <c r="AY31" i="2"/>
  <c r="AU31" i="2"/>
  <c r="AT31" i="2"/>
  <c r="AS31" i="2"/>
  <c r="AP31" i="2"/>
  <c r="AL31" i="2"/>
  <c r="AK31" i="2"/>
  <c r="AJ31" i="2"/>
  <c r="AG31" i="2"/>
  <c r="AC31" i="2"/>
  <c r="AB31" i="2"/>
  <c r="AA31" i="2"/>
  <c r="X31" i="2"/>
  <c r="T31" i="2"/>
  <c r="S31" i="2"/>
  <c r="R31" i="2"/>
  <c r="O31" i="2"/>
  <c r="K31" i="2"/>
  <c r="J31" i="2"/>
  <c r="I31" i="2"/>
  <c r="F31" i="2"/>
  <c r="DF30" i="2"/>
  <c r="DD30" i="2"/>
  <c r="DE30" i="2" s="1"/>
  <c r="CZ30" i="2"/>
  <c r="DA30" i="2" s="1"/>
  <c r="CW30" i="2"/>
  <c r="CV30" i="2"/>
  <c r="CU30" i="2"/>
  <c r="CR30" i="2"/>
  <c r="CM30" i="2"/>
  <c r="CL30" i="2"/>
  <c r="CI30" i="2"/>
  <c r="CH30" i="2"/>
  <c r="CN30" i="2" s="1"/>
  <c r="CE30" i="2"/>
  <c r="CC30" i="2"/>
  <c r="CD30" i="2" s="1"/>
  <c r="BZ30" i="2"/>
  <c r="BT30" i="2"/>
  <c r="BP30" i="2"/>
  <c r="BQ30" i="2" s="1"/>
  <c r="BM30" i="2"/>
  <c r="BK30" i="2"/>
  <c r="BH30" i="2"/>
  <c r="BL30" i="2" s="1"/>
  <c r="BD30" i="2"/>
  <c r="BB30" i="2"/>
  <c r="AY30" i="2"/>
  <c r="BC30" i="2" s="1"/>
  <c r="AU30" i="2"/>
  <c r="AS30" i="2"/>
  <c r="AP30" i="2"/>
  <c r="AT30" i="2" s="1"/>
  <c r="AL30" i="2"/>
  <c r="AJ30" i="2"/>
  <c r="AG30" i="2"/>
  <c r="AK30" i="2" s="1"/>
  <c r="AC30" i="2"/>
  <c r="AA30" i="2"/>
  <c r="X30" i="2"/>
  <c r="AB30" i="2" s="1"/>
  <c r="R30" i="2"/>
  <c r="O30" i="2"/>
  <c r="S30" i="2" s="1"/>
  <c r="N30" i="2"/>
  <c r="T30" i="2" s="1"/>
  <c r="K30" i="2"/>
  <c r="I30" i="2"/>
  <c r="J30" i="2" s="1"/>
  <c r="F30" i="2"/>
  <c r="DF29" i="2"/>
  <c r="DD29" i="2"/>
  <c r="DA29" i="2"/>
  <c r="DE29" i="2" s="1"/>
  <c r="CW29" i="2"/>
  <c r="CU29" i="2"/>
  <c r="CR29" i="2"/>
  <c r="CV29" i="2" s="1"/>
  <c r="CN29" i="2"/>
  <c r="CL29" i="2"/>
  <c r="CI29" i="2"/>
  <c r="CM29" i="2" s="1"/>
  <c r="CE29" i="2"/>
  <c r="CC29" i="2"/>
  <c r="BZ29" i="2"/>
  <c r="CD29" i="2" s="1"/>
  <c r="BV29" i="2"/>
  <c r="BT29" i="2"/>
  <c r="BQ29" i="2"/>
  <c r="BU29" i="2" s="1"/>
  <c r="BM29" i="2"/>
  <c r="BK29" i="2"/>
  <c r="BH29" i="2"/>
  <c r="BL29" i="2" s="1"/>
  <c r="BD29" i="2"/>
  <c r="BB29" i="2"/>
  <c r="AY29" i="2"/>
  <c r="BC29" i="2" s="1"/>
  <c r="AU29" i="2"/>
  <c r="AS29" i="2"/>
  <c r="AP29" i="2"/>
  <c r="AT29" i="2" s="1"/>
  <c r="AL29" i="2"/>
  <c r="AJ29" i="2"/>
  <c r="AG29" i="2"/>
  <c r="AK29" i="2" s="1"/>
  <c r="AC29" i="2"/>
  <c r="AA29" i="2"/>
  <c r="X29" i="2"/>
  <c r="AB29" i="2" s="1"/>
  <c r="T29" i="2"/>
  <c r="R29" i="2"/>
  <c r="O29" i="2"/>
  <c r="S29" i="2" s="1"/>
  <c r="K29" i="2"/>
  <c r="I29" i="2"/>
  <c r="F29" i="2"/>
  <c r="J29" i="2" s="1"/>
  <c r="DF28" i="2"/>
  <c r="DD28" i="2"/>
  <c r="DE28" i="2" s="1"/>
  <c r="DA28" i="2"/>
  <c r="CW28" i="2"/>
  <c r="CU28" i="2"/>
  <c r="CV28" i="2" s="1"/>
  <c r="CR28" i="2"/>
  <c r="CN28" i="2"/>
  <c r="CL28" i="2"/>
  <c r="CM28" i="2" s="1"/>
  <c r="CI28" i="2"/>
  <c r="CE28" i="2"/>
  <c r="CC28" i="2"/>
  <c r="CD28" i="2" s="1"/>
  <c r="BZ28" i="2"/>
  <c r="BV28" i="2"/>
  <c r="BT28" i="2"/>
  <c r="BU28" i="2" s="1"/>
  <c r="BQ28" i="2"/>
  <c r="BM28" i="2"/>
  <c r="BK28" i="2"/>
  <c r="BL28" i="2" s="1"/>
  <c r="BH28" i="2"/>
  <c r="BD28" i="2"/>
  <c r="BB28" i="2"/>
  <c r="BC28" i="2" s="1"/>
  <c r="AY28" i="2"/>
  <c r="AU28" i="2"/>
  <c r="AS28" i="2"/>
  <c r="AT28" i="2" s="1"/>
  <c r="AP28" i="2"/>
  <c r="AL28" i="2"/>
  <c r="AJ28" i="2"/>
  <c r="AK28" i="2" s="1"/>
  <c r="AG28" i="2"/>
  <c r="AC28" i="2"/>
  <c r="AA28" i="2"/>
  <c r="AB28" i="2" s="1"/>
  <c r="X28" i="2"/>
  <c r="T28" i="2"/>
  <c r="R28" i="2"/>
  <c r="S28" i="2" s="1"/>
  <c r="O28" i="2"/>
  <c r="K28" i="2"/>
  <c r="I28" i="2"/>
  <c r="J28" i="2" s="1"/>
  <c r="F28" i="2"/>
  <c r="DF27" i="2"/>
  <c r="DE27" i="2"/>
  <c r="DD27" i="2"/>
  <c r="DA27" i="2"/>
  <c r="CW27" i="2"/>
  <c r="CV27" i="2"/>
  <c r="CU27" i="2"/>
  <c r="CR27" i="2"/>
  <c r="CN27" i="2"/>
  <c r="CM27" i="2"/>
  <c r="CL27" i="2"/>
  <c r="CI27" i="2"/>
  <c r="CE27" i="2"/>
  <c r="CD27" i="2"/>
  <c r="CC27" i="2"/>
  <c r="BZ27" i="2"/>
  <c r="BV27" i="2"/>
  <c r="BU27" i="2"/>
  <c r="BT27" i="2"/>
  <c r="BQ27" i="2"/>
  <c r="BM27" i="2"/>
  <c r="BL27" i="2"/>
  <c r="BK27" i="2"/>
  <c r="BH27" i="2"/>
  <c r="BD27" i="2"/>
  <c r="BC27" i="2"/>
  <c r="BB27" i="2"/>
  <c r="AY27" i="2"/>
  <c r="AU27" i="2"/>
  <c r="AT27" i="2"/>
  <c r="AS27" i="2"/>
  <c r="AP27" i="2"/>
  <c r="AL27" i="2"/>
  <c r="AK27" i="2"/>
  <c r="AJ27" i="2"/>
  <c r="AG27" i="2"/>
  <c r="AC27" i="2"/>
  <c r="AB27" i="2"/>
  <c r="AA27" i="2"/>
  <c r="X27" i="2"/>
  <c r="T27" i="2"/>
  <c r="S27" i="2"/>
  <c r="R27" i="2"/>
  <c r="O27" i="2"/>
  <c r="K27" i="2"/>
  <c r="J27" i="2"/>
  <c r="I27" i="2"/>
  <c r="F27" i="2"/>
  <c r="DF26" i="2"/>
  <c r="DD26" i="2"/>
  <c r="DE26" i="2" s="1"/>
  <c r="DA26" i="2"/>
  <c r="CW26" i="2"/>
  <c r="CU26" i="2"/>
  <c r="CV26" i="2" s="1"/>
  <c r="CR26" i="2"/>
  <c r="CN26" i="2"/>
  <c r="CL26" i="2"/>
  <c r="CM26" i="2" s="1"/>
  <c r="CI26" i="2"/>
  <c r="CE26" i="2"/>
  <c r="CC26" i="2"/>
  <c r="CD26" i="2" s="1"/>
  <c r="BZ26" i="2"/>
  <c r="BV26" i="2"/>
  <c r="BT26" i="2"/>
  <c r="BU26" i="2" s="1"/>
  <c r="BQ26" i="2"/>
  <c r="BM26" i="2"/>
  <c r="BK26" i="2"/>
  <c r="BL26" i="2" s="1"/>
  <c r="BH26" i="2"/>
  <c r="BD26" i="2"/>
  <c r="BB26" i="2"/>
  <c r="BC26" i="2" s="1"/>
  <c r="AY26" i="2"/>
  <c r="AU26" i="2"/>
  <c r="AS26" i="2"/>
  <c r="AT26" i="2" s="1"/>
  <c r="AP26" i="2"/>
  <c r="AL26" i="2"/>
  <c r="AJ26" i="2"/>
  <c r="AK26" i="2" s="1"/>
  <c r="AG26" i="2"/>
  <c r="AC26" i="2"/>
  <c r="AA26" i="2"/>
  <c r="AB26" i="2" s="1"/>
  <c r="X26" i="2"/>
  <c r="T26" i="2"/>
  <c r="R26" i="2"/>
  <c r="O26" i="2"/>
  <c r="K26" i="2"/>
  <c r="I26" i="2"/>
  <c r="F26" i="2"/>
  <c r="DF25" i="2"/>
  <c r="DD25" i="2"/>
  <c r="DE25" i="2" s="1"/>
  <c r="DA25" i="2"/>
  <c r="CW25" i="2"/>
  <c r="CU25" i="2"/>
  <c r="CV25" i="2" s="1"/>
  <c r="CR25" i="2"/>
  <c r="CN25" i="2"/>
  <c r="CL25" i="2"/>
  <c r="CM25" i="2" s="1"/>
  <c r="CI25" i="2"/>
  <c r="CE25" i="2"/>
  <c r="CC25" i="2"/>
  <c r="CD25" i="2" s="1"/>
  <c r="BZ25" i="2"/>
  <c r="BV25" i="2"/>
  <c r="BT25" i="2"/>
  <c r="BU25" i="2" s="1"/>
  <c r="BQ25" i="2"/>
  <c r="BM25" i="2"/>
  <c r="BK25" i="2"/>
  <c r="BL25" i="2" s="1"/>
  <c r="BH25" i="2"/>
  <c r="BD25" i="2"/>
  <c r="BB25" i="2"/>
  <c r="BC25" i="2" s="1"/>
  <c r="AY25" i="2"/>
  <c r="AU25" i="2"/>
  <c r="AS25" i="2"/>
  <c r="AT25" i="2" s="1"/>
  <c r="AP25" i="2"/>
  <c r="AL25" i="2"/>
  <c r="AJ25" i="2"/>
  <c r="AK25" i="2" s="1"/>
  <c r="AG25" i="2"/>
  <c r="AC25" i="2"/>
  <c r="AA25" i="2"/>
  <c r="AB25" i="2" s="1"/>
  <c r="X25" i="2"/>
  <c r="T25" i="2"/>
  <c r="R25" i="2"/>
  <c r="S25" i="2" s="1"/>
  <c r="O25" i="2"/>
  <c r="K25" i="2"/>
  <c r="I25" i="2"/>
  <c r="J25" i="2" s="1"/>
  <c r="F25" i="2"/>
  <c r="DF24" i="2"/>
  <c r="DD24" i="2"/>
  <c r="DE24" i="2" s="1"/>
  <c r="DA24" i="2"/>
  <c r="CW24" i="2"/>
  <c r="CU24" i="2"/>
  <c r="CV24" i="2" s="1"/>
  <c r="CR24" i="2"/>
  <c r="CN24" i="2"/>
  <c r="CL24" i="2"/>
  <c r="CM24" i="2" s="1"/>
  <c r="CI24" i="2"/>
  <c r="CE24" i="2"/>
  <c r="CC24" i="2"/>
  <c r="CD24" i="2" s="1"/>
  <c r="BZ24" i="2"/>
  <c r="BV24" i="2"/>
  <c r="BT24" i="2"/>
  <c r="BU24" i="2" s="1"/>
  <c r="BQ24" i="2"/>
  <c r="BM24" i="2"/>
  <c r="BK24" i="2"/>
  <c r="BL24" i="2" s="1"/>
  <c r="BH24" i="2"/>
  <c r="BD24" i="2"/>
  <c r="BB24" i="2"/>
  <c r="BC24" i="2" s="1"/>
  <c r="AY24" i="2"/>
  <c r="AU24" i="2"/>
  <c r="AS24" i="2"/>
  <c r="AT24" i="2" s="1"/>
  <c r="AP24" i="2"/>
  <c r="AL24" i="2"/>
  <c r="AJ24" i="2"/>
  <c r="AK24" i="2" s="1"/>
  <c r="AG24" i="2"/>
  <c r="AC24" i="2"/>
  <c r="AA24" i="2"/>
  <c r="AB24" i="2" s="1"/>
  <c r="X24" i="2"/>
  <c r="T24" i="2"/>
  <c r="R24" i="2"/>
  <c r="S24" i="2" s="1"/>
  <c r="O24" i="2"/>
  <c r="K24" i="2"/>
  <c r="I24" i="2"/>
  <c r="J24" i="2" s="1"/>
  <c r="F24" i="2"/>
  <c r="DF23" i="2"/>
  <c r="DE23" i="2"/>
  <c r="DD23" i="2"/>
  <c r="DA23" i="2"/>
  <c r="CW23" i="2"/>
  <c r="CV23" i="2"/>
  <c r="CU23" i="2"/>
  <c r="CR23" i="2"/>
  <c r="CN23" i="2"/>
  <c r="CM23" i="2"/>
  <c r="CL23" i="2"/>
  <c r="CI23" i="2"/>
  <c r="CE23" i="2"/>
  <c r="CD23" i="2"/>
  <c r="CC23" i="2"/>
  <c r="BZ23" i="2"/>
  <c r="BV23" i="2"/>
  <c r="BU23" i="2"/>
  <c r="BS23" i="2"/>
  <c r="BT23" i="2" s="1"/>
  <c r="BQ23" i="2"/>
  <c r="BM23" i="2"/>
  <c r="BK23" i="2"/>
  <c r="BL23" i="2" s="1"/>
  <c r="BH23" i="2"/>
  <c r="BD23" i="2"/>
  <c r="BB23" i="2"/>
  <c r="AY23" i="2"/>
  <c r="AU23" i="2"/>
  <c r="AS23" i="2"/>
  <c r="AP23" i="2"/>
  <c r="AL23" i="2"/>
  <c r="AJ23" i="2"/>
  <c r="AG23" i="2"/>
  <c r="AC23" i="2"/>
  <c r="AA23" i="2"/>
  <c r="AB23" i="2" s="1"/>
  <c r="X23" i="2"/>
  <c r="T23" i="2"/>
  <c r="R23" i="2"/>
  <c r="O23" i="2"/>
  <c r="K23" i="2"/>
  <c r="I23" i="2"/>
  <c r="F23" i="2"/>
  <c r="DF22" i="2"/>
  <c r="DD22" i="2"/>
  <c r="DE22" i="2" s="1"/>
  <c r="DA22" i="2"/>
  <c r="CW22" i="2"/>
  <c r="CU22" i="2"/>
  <c r="CV22" i="2" s="1"/>
  <c r="CR22" i="2"/>
  <c r="CN22" i="2"/>
  <c r="CL22" i="2"/>
  <c r="CM22" i="2" s="1"/>
  <c r="CI22" i="2"/>
  <c r="CE22" i="2"/>
  <c r="CC22" i="2"/>
  <c r="CD22" i="2" s="1"/>
  <c r="BZ22" i="2"/>
  <c r="BV22" i="2"/>
  <c r="BT22" i="2"/>
  <c r="BU22" i="2" s="1"/>
  <c r="BQ22" i="2"/>
  <c r="BM22" i="2"/>
  <c r="BK22" i="2"/>
  <c r="BL22" i="2" s="1"/>
  <c r="BH22" i="2"/>
  <c r="BD22" i="2"/>
  <c r="BB22" i="2"/>
  <c r="BC22" i="2" s="1"/>
  <c r="AY22" i="2"/>
  <c r="AU22" i="2"/>
  <c r="AS22" i="2"/>
  <c r="AT22" i="2" s="1"/>
  <c r="AP22" i="2"/>
  <c r="AL22" i="2"/>
  <c r="AJ22" i="2"/>
  <c r="AK22" i="2" s="1"/>
  <c r="AG22" i="2"/>
  <c r="AC22" i="2"/>
  <c r="AA22" i="2"/>
  <c r="AB22" i="2" s="1"/>
  <c r="X22" i="2"/>
  <c r="T22" i="2"/>
  <c r="R22" i="2"/>
  <c r="S22" i="2" s="1"/>
  <c r="O22" i="2"/>
  <c r="K22" i="2"/>
  <c r="I22" i="2"/>
  <c r="J22" i="2" s="1"/>
  <c r="F22" i="2"/>
  <c r="DF21" i="2"/>
  <c r="DD21" i="2"/>
  <c r="DE21" i="2" s="1"/>
  <c r="DA21" i="2"/>
  <c r="CW21" i="2"/>
  <c r="CU21" i="2"/>
  <c r="CV21" i="2" s="1"/>
  <c r="CR21" i="2"/>
  <c r="CN21" i="2"/>
  <c r="CL21" i="2"/>
  <c r="CM21" i="2" s="1"/>
  <c r="CI21" i="2"/>
  <c r="CE21" i="2"/>
  <c r="CC21" i="2"/>
  <c r="CD21" i="2" s="1"/>
  <c r="BZ21" i="2"/>
  <c r="BV21" i="2"/>
  <c r="BT21" i="2"/>
  <c r="BU21" i="2" s="1"/>
  <c r="BQ21" i="2"/>
  <c r="BM21" i="2"/>
  <c r="BK21" i="2"/>
  <c r="BL21" i="2" s="1"/>
  <c r="BH21" i="2"/>
  <c r="BD21" i="2"/>
  <c r="BB21" i="2"/>
  <c r="BC21" i="2" s="1"/>
  <c r="AY21" i="2"/>
  <c r="AU21" i="2"/>
  <c r="AS21" i="2"/>
  <c r="AT21" i="2" s="1"/>
  <c r="AP21" i="2"/>
  <c r="AL21" i="2"/>
  <c r="AJ21" i="2"/>
  <c r="AK21" i="2" s="1"/>
  <c r="AG21" i="2"/>
  <c r="AC21" i="2"/>
  <c r="AA21" i="2"/>
  <c r="AB21" i="2" s="1"/>
  <c r="X21" i="2"/>
  <c r="T21" i="2"/>
  <c r="R21" i="2"/>
  <c r="S21" i="2" s="1"/>
  <c r="O21" i="2"/>
  <c r="K21" i="2"/>
  <c r="I21" i="2"/>
  <c r="J21" i="2" s="1"/>
  <c r="F21" i="2"/>
  <c r="DF20" i="2"/>
  <c r="DE20" i="2"/>
  <c r="DD20" i="2"/>
  <c r="DA20" i="2"/>
  <c r="CW20" i="2"/>
  <c r="CV20" i="2"/>
  <c r="CU20" i="2"/>
  <c r="CR20" i="2"/>
  <c r="CN20" i="2"/>
  <c r="CM20" i="2"/>
  <c r="CL20" i="2"/>
  <c r="CI20" i="2"/>
  <c r="CE20" i="2"/>
  <c r="CD20" i="2"/>
  <c r="CC20" i="2"/>
  <c r="BZ20" i="2"/>
  <c r="BV20" i="2"/>
  <c r="BU20" i="2"/>
  <c r="BT20" i="2"/>
  <c r="BQ20" i="2"/>
  <c r="BM20" i="2"/>
  <c r="BL20" i="2"/>
  <c r="BK20" i="2"/>
  <c r="BH20" i="2"/>
  <c r="BD20" i="2"/>
  <c r="BC20" i="2"/>
  <c r="BB20" i="2"/>
  <c r="AY20" i="2"/>
  <c r="AU20" i="2"/>
  <c r="AT20" i="2"/>
  <c r="AS20" i="2"/>
  <c r="AP20" i="2"/>
  <c r="AL20" i="2"/>
  <c r="AK20" i="2"/>
  <c r="AJ20" i="2"/>
  <c r="AG20" i="2"/>
  <c r="AC20" i="2"/>
  <c r="AB20" i="2"/>
  <c r="AA20" i="2"/>
  <c r="X20" i="2"/>
  <c r="T20" i="2"/>
  <c r="S20" i="2"/>
  <c r="R20" i="2"/>
  <c r="O20" i="2"/>
  <c r="K20" i="2"/>
  <c r="J20" i="2"/>
  <c r="I20" i="2"/>
  <c r="F20" i="2"/>
  <c r="DF19" i="2"/>
  <c r="DD19" i="2"/>
  <c r="DA19" i="2"/>
  <c r="CW19" i="2"/>
  <c r="CU19" i="2"/>
  <c r="CV19" i="2" s="1"/>
  <c r="CR19" i="2"/>
  <c r="CN19" i="2"/>
  <c r="CL19" i="2"/>
  <c r="CI19" i="2"/>
  <c r="CE19" i="2"/>
  <c r="CC19" i="2"/>
  <c r="BZ19" i="2"/>
  <c r="BV19" i="2"/>
  <c r="BT19" i="2"/>
  <c r="BQ19" i="2"/>
  <c r="BM19" i="2"/>
  <c r="BK19" i="2"/>
  <c r="BL19" i="2" s="1"/>
  <c r="BH19" i="2"/>
  <c r="BD19" i="2"/>
  <c r="BB19" i="2"/>
  <c r="AY19" i="2"/>
  <c r="AU19" i="2"/>
  <c r="AS19" i="2"/>
  <c r="AP19" i="2"/>
  <c r="AL19" i="2"/>
  <c r="AJ19" i="2"/>
  <c r="AG19" i="2"/>
  <c r="AC19" i="2"/>
  <c r="AA19" i="2"/>
  <c r="AB19" i="2" s="1"/>
  <c r="X19" i="2"/>
  <c r="T19" i="2"/>
  <c r="R19" i="2"/>
  <c r="O19" i="2"/>
  <c r="K19" i="2"/>
  <c r="I19" i="2"/>
  <c r="F19" i="2"/>
  <c r="DF18" i="2"/>
  <c r="DD18" i="2"/>
  <c r="DE18" i="2" s="1"/>
  <c r="DA18" i="2"/>
  <c r="CW18" i="2"/>
  <c r="CU18" i="2"/>
  <c r="CV18" i="2" s="1"/>
  <c r="CR18" i="2"/>
  <c r="CN18" i="2"/>
  <c r="CL18" i="2"/>
  <c r="CM18" i="2" s="1"/>
  <c r="CI18" i="2"/>
  <c r="CE18" i="2"/>
  <c r="CC18" i="2"/>
  <c r="CD18" i="2" s="1"/>
  <c r="BZ18" i="2"/>
  <c r="BV18" i="2"/>
  <c r="BT18" i="2"/>
  <c r="BU18" i="2" s="1"/>
  <c r="BQ18" i="2"/>
  <c r="BM18" i="2"/>
  <c r="BK18" i="2"/>
  <c r="BL18" i="2" s="1"/>
  <c r="BH18" i="2"/>
  <c r="BD18" i="2"/>
  <c r="BB18" i="2"/>
  <c r="BC18" i="2" s="1"/>
  <c r="AY18" i="2"/>
  <c r="AU18" i="2"/>
  <c r="AS18" i="2"/>
  <c r="AT18" i="2" s="1"/>
  <c r="AP18" i="2"/>
  <c r="AL18" i="2"/>
  <c r="AJ18" i="2"/>
  <c r="AK18" i="2" s="1"/>
  <c r="AG18" i="2"/>
  <c r="AC18" i="2"/>
  <c r="AA18" i="2"/>
  <c r="AB18" i="2" s="1"/>
  <c r="X18" i="2"/>
  <c r="T18" i="2"/>
  <c r="R18" i="2"/>
  <c r="S18" i="2" s="1"/>
  <c r="O18" i="2"/>
  <c r="K18" i="2"/>
  <c r="I18" i="2"/>
  <c r="J18" i="2" s="1"/>
  <c r="F18" i="2"/>
  <c r="DF17" i="2"/>
  <c r="DD17" i="2"/>
  <c r="DE17" i="2" s="1"/>
  <c r="DA17" i="2"/>
  <c r="CW17" i="2"/>
  <c r="CU17" i="2"/>
  <c r="CV17" i="2" s="1"/>
  <c r="CR17" i="2"/>
  <c r="CN17" i="2"/>
  <c r="CL17" i="2"/>
  <c r="CM17" i="2" s="1"/>
  <c r="CI17" i="2"/>
  <c r="CE17" i="2"/>
  <c r="CC17" i="2"/>
  <c r="CD17" i="2" s="1"/>
  <c r="BZ17" i="2"/>
  <c r="BV17" i="2"/>
  <c r="BT17" i="2"/>
  <c r="BU17" i="2" s="1"/>
  <c r="BQ17" i="2"/>
  <c r="BM17" i="2"/>
  <c r="BK17" i="2"/>
  <c r="BL17" i="2" s="1"/>
  <c r="BH17" i="2"/>
  <c r="BD17" i="2"/>
  <c r="BB17" i="2"/>
  <c r="BC17" i="2" s="1"/>
  <c r="AY17" i="2"/>
  <c r="AU17" i="2"/>
  <c r="AS17" i="2"/>
  <c r="AT17" i="2" s="1"/>
  <c r="AP17" i="2"/>
  <c r="AL17" i="2"/>
  <c r="AJ17" i="2"/>
  <c r="AK17" i="2" s="1"/>
  <c r="AG17" i="2"/>
  <c r="AC17" i="2"/>
  <c r="AA17" i="2"/>
  <c r="AB17" i="2" s="1"/>
  <c r="X17" i="2"/>
  <c r="T17" i="2"/>
  <c r="R17" i="2"/>
  <c r="S17" i="2" s="1"/>
  <c r="O17" i="2"/>
  <c r="K17" i="2"/>
  <c r="I17" i="2"/>
  <c r="J17" i="2" s="1"/>
  <c r="F17" i="2"/>
  <c r="DF16" i="2"/>
  <c r="DE16" i="2"/>
  <c r="DD16" i="2"/>
  <c r="DA16" i="2"/>
  <c r="CW16" i="2"/>
  <c r="CV16" i="2"/>
  <c r="CU16" i="2"/>
  <c r="CR16" i="2"/>
  <c r="CN16" i="2"/>
  <c r="CM16" i="2"/>
  <c r="CL16" i="2"/>
  <c r="CI16" i="2"/>
  <c r="CE16" i="2"/>
  <c r="CD16" i="2"/>
  <c r="CC16" i="2"/>
  <c r="BZ16" i="2"/>
  <c r="BV16" i="2"/>
  <c r="BU16" i="2"/>
  <c r="BT16" i="2"/>
  <c r="BQ16" i="2"/>
  <c r="BM16" i="2"/>
  <c r="BL16" i="2"/>
  <c r="BK16" i="2"/>
  <c r="BH16" i="2"/>
  <c r="BD16" i="2"/>
  <c r="BC16" i="2"/>
  <c r="BB16" i="2"/>
  <c r="AY16" i="2"/>
  <c r="AU16" i="2"/>
  <c r="AT16" i="2"/>
  <c r="AS16" i="2"/>
  <c r="AP16" i="2"/>
  <c r="AL16" i="2"/>
  <c r="AK16" i="2"/>
  <c r="AJ16" i="2"/>
  <c r="AG16" i="2"/>
  <c r="AC16" i="2"/>
  <c r="AB16" i="2"/>
  <c r="AA16" i="2"/>
  <c r="X16" i="2"/>
  <c r="T16" i="2"/>
  <c r="S16" i="2"/>
  <c r="R16" i="2"/>
  <c r="O16" i="2"/>
  <c r="K16" i="2"/>
  <c r="J16" i="2"/>
  <c r="I16" i="2"/>
  <c r="F16" i="2"/>
  <c r="DF15" i="2"/>
  <c r="DD15" i="2"/>
  <c r="DA15" i="2"/>
  <c r="CW15" i="2"/>
  <c r="CU15" i="2"/>
  <c r="CV15" i="2" s="1"/>
  <c r="CR15" i="2"/>
  <c r="CN15" i="2"/>
  <c r="CL15" i="2"/>
  <c r="CI15" i="2"/>
  <c r="CE15" i="2"/>
  <c r="CC15" i="2"/>
  <c r="BZ15" i="2"/>
  <c r="BV15" i="2"/>
  <c r="BT15" i="2"/>
  <c r="BQ15" i="2"/>
  <c r="BM15" i="2"/>
  <c r="BK15" i="2"/>
  <c r="BL15" i="2" s="1"/>
  <c r="BH15" i="2"/>
  <c r="BD15" i="2"/>
  <c r="BB15" i="2"/>
  <c r="AY15" i="2"/>
  <c r="AU15" i="2"/>
  <c r="AS15" i="2"/>
  <c r="AP15" i="2"/>
  <c r="AL15" i="2"/>
  <c r="AJ15" i="2"/>
  <c r="AG15" i="2"/>
  <c r="AC15" i="2"/>
  <c r="AA15" i="2"/>
  <c r="AB15" i="2" s="1"/>
  <c r="X15" i="2"/>
  <c r="T15" i="2"/>
  <c r="R15" i="2"/>
  <c r="O15" i="2"/>
  <c r="K15" i="2"/>
  <c r="I15" i="2"/>
  <c r="F15" i="2"/>
  <c r="DF14" i="2"/>
  <c r="DD14" i="2"/>
  <c r="DE14" i="2" s="1"/>
  <c r="DA14" i="2"/>
  <c r="CW14" i="2"/>
  <c r="CU14" i="2"/>
  <c r="CV14" i="2" s="1"/>
  <c r="CR14" i="2"/>
  <c r="CN14" i="2"/>
  <c r="CL14" i="2"/>
  <c r="CM14" i="2" s="1"/>
  <c r="CI14" i="2"/>
  <c r="CE14" i="2"/>
  <c r="CC14" i="2"/>
  <c r="CD14" i="2" s="1"/>
  <c r="BZ14" i="2"/>
  <c r="BV14" i="2"/>
  <c r="BT14" i="2"/>
  <c r="BU14" i="2" s="1"/>
  <c r="BQ14" i="2"/>
  <c r="BM14" i="2"/>
  <c r="BK14" i="2"/>
  <c r="BL14" i="2" s="1"/>
  <c r="BH14" i="2"/>
  <c r="BD14" i="2"/>
  <c r="BB14" i="2"/>
  <c r="BC14" i="2" s="1"/>
  <c r="AY14" i="2"/>
  <c r="AU14" i="2"/>
  <c r="AS14" i="2"/>
  <c r="AT14" i="2" s="1"/>
  <c r="AP14" i="2"/>
  <c r="AL14" i="2"/>
  <c r="AJ14" i="2"/>
  <c r="AK14" i="2" s="1"/>
  <c r="AG14" i="2"/>
  <c r="AC14" i="2"/>
  <c r="AA14" i="2"/>
  <c r="AB14" i="2" s="1"/>
  <c r="X14" i="2"/>
  <c r="T14" i="2"/>
  <c r="R14" i="2"/>
  <c r="S14" i="2" s="1"/>
  <c r="O14" i="2"/>
  <c r="K14" i="2"/>
  <c r="I14" i="2"/>
  <c r="J14" i="2" s="1"/>
  <c r="F14" i="2"/>
  <c r="DF13" i="2"/>
  <c r="DD13" i="2"/>
  <c r="DE13" i="2" s="1"/>
  <c r="DA13" i="2"/>
  <c r="CW13" i="2"/>
  <c r="CU13" i="2"/>
  <c r="CV13" i="2" s="1"/>
  <c r="CR13" i="2"/>
  <c r="CN13" i="2"/>
  <c r="CL13" i="2"/>
  <c r="CM13" i="2" s="1"/>
  <c r="CI13" i="2"/>
  <c r="CE13" i="2"/>
  <c r="CC13" i="2"/>
  <c r="CD13" i="2" s="1"/>
  <c r="BZ13" i="2"/>
  <c r="BV13" i="2"/>
  <c r="BT13" i="2"/>
  <c r="BU13" i="2" s="1"/>
  <c r="BQ13" i="2"/>
  <c r="BM13" i="2"/>
  <c r="BK13" i="2"/>
  <c r="BL13" i="2" s="1"/>
  <c r="BH13" i="2"/>
  <c r="BD13" i="2"/>
  <c r="BB13" i="2"/>
  <c r="BC13" i="2" s="1"/>
  <c r="AY13" i="2"/>
  <c r="AU13" i="2"/>
  <c r="AS13" i="2"/>
  <c r="AT13" i="2" s="1"/>
  <c r="AP13" i="2"/>
  <c r="AL13" i="2"/>
  <c r="AJ13" i="2"/>
  <c r="AK13" i="2" s="1"/>
  <c r="AG13" i="2"/>
  <c r="AC13" i="2"/>
  <c r="AA13" i="2"/>
  <c r="AB13" i="2" s="1"/>
  <c r="X13" i="2"/>
  <c r="T13" i="2"/>
  <c r="R13" i="2"/>
  <c r="S13" i="2" s="1"/>
  <c r="O13" i="2"/>
  <c r="K13" i="2"/>
  <c r="I13" i="2"/>
  <c r="J13" i="2" s="1"/>
  <c r="F13" i="2"/>
  <c r="DF12" i="2"/>
  <c r="DE12" i="2"/>
  <c r="DD12" i="2"/>
  <c r="DA12" i="2"/>
  <c r="CW12" i="2"/>
  <c r="CV12" i="2"/>
  <c r="CU12" i="2"/>
  <c r="CR12" i="2"/>
  <c r="CN12" i="2"/>
  <c r="CM12" i="2"/>
  <c r="CL12" i="2"/>
  <c r="CI12" i="2"/>
  <c r="CE12" i="2"/>
  <c r="CD12" i="2"/>
  <c r="CC12" i="2"/>
  <c r="BZ12" i="2"/>
  <c r="BV12" i="2"/>
  <c r="BU12" i="2"/>
  <c r="BT12" i="2"/>
  <c r="BQ12" i="2"/>
  <c r="BM12" i="2"/>
  <c r="BL12" i="2"/>
  <c r="BK12" i="2"/>
  <c r="BH12" i="2"/>
  <c r="BD12" i="2"/>
  <c r="BC12" i="2"/>
  <c r="BB12" i="2"/>
  <c r="AY12" i="2"/>
  <c r="AU12" i="2"/>
  <c r="AT12" i="2"/>
  <c r="AS12" i="2"/>
  <c r="AP12" i="2"/>
  <c r="AL12" i="2"/>
  <c r="AK12" i="2"/>
  <c r="AJ12" i="2"/>
  <c r="AG12" i="2"/>
  <c r="AC12" i="2"/>
  <c r="AB12" i="2"/>
  <c r="AA12" i="2"/>
  <c r="X12" i="2"/>
  <c r="T12" i="2"/>
  <c r="S12" i="2"/>
  <c r="R12" i="2"/>
  <c r="O12" i="2"/>
  <c r="K12" i="2"/>
  <c r="J12" i="2"/>
  <c r="I12" i="2"/>
  <c r="F12" i="2"/>
  <c r="DF11" i="2"/>
  <c r="DD11" i="2"/>
  <c r="DA11" i="2"/>
  <c r="CW11" i="2"/>
  <c r="CU11" i="2"/>
  <c r="CV11" i="2" s="1"/>
  <c r="CR11" i="2"/>
  <c r="CN11" i="2"/>
  <c r="CL11" i="2"/>
  <c r="CI11" i="2"/>
  <c r="CE11" i="2"/>
  <c r="CC11" i="2"/>
  <c r="BZ11" i="2"/>
  <c r="BV11" i="2"/>
  <c r="BT11" i="2"/>
  <c r="BQ11" i="2"/>
  <c r="BM11" i="2"/>
  <c r="BK11" i="2"/>
  <c r="BL11" i="2" s="1"/>
  <c r="BH11" i="2"/>
  <c r="BD11" i="2"/>
  <c r="BB11" i="2"/>
  <c r="AY11" i="2"/>
  <c r="AU11" i="2"/>
  <c r="AS11" i="2"/>
  <c r="AP11" i="2"/>
  <c r="AL11" i="2"/>
  <c r="AJ11" i="2"/>
  <c r="AG11" i="2"/>
  <c r="AC11" i="2"/>
  <c r="AA11" i="2"/>
  <c r="AB11" i="2" s="1"/>
  <c r="X11" i="2"/>
  <c r="T11" i="2"/>
  <c r="R11" i="2"/>
  <c r="O11" i="2"/>
  <c r="K11" i="2"/>
  <c r="I11" i="2"/>
  <c r="F11" i="2"/>
  <c r="DF10" i="2"/>
  <c r="DD10" i="2"/>
  <c r="DE10" i="2" s="1"/>
  <c r="DA10" i="2"/>
  <c r="CW10" i="2"/>
  <c r="CU10" i="2"/>
  <c r="CV10" i="2" s="1"/>
  <c r="CR10" i="2"/>
  <c r="CN10" i="2"/>
  <c r="CL10" i="2"/>
  <c r="CM10" i="2" s="1"/>
  <c r="CI10" i="2"/>
  <c r="CE10" i="2"/>
  <c r="CC10" i="2"/>
  <c r="CD10" i="2" s="1"/>
  <c r="BZ10" i="2"/>
  <c r="BV10" i="2"/>
  <c r="BT10" i="2"/>
  <c r="BU10" i="2" s="1"/>
  <c r="BQ10" i="2"/>
  <c r="BM10" i="2"/>
  <c r="BK10" i="2"/>
  <c r="BL10" i="2" s="1"/>
  <c r="BH10" i="2"/>
  <c r="BD10" i="2"/>
  <c r="BB10" i="2"/>
  <c r="BC10" i="2" s="1"/>
  <c r="AY10" i="2"/>
  <c r="AU10" i="2"/>
  <c r="AS10" i="2"/>
  <c r="AT10" i="2" s="1"/>
  <c r="AP10" i="2"/>
  <c r="AL10" i="2"/>
  <c r="AJ10" i="2"/>
  <c r="AK10" i="2" s="1"/>
  <c r="AG10" i="2"/>
  <c r="AC10" i="2"/>
  <c r="AA10" i="2"/>
  <c r="AB10" i="2" s="1"/>
  <c r="X10" i="2"/>
  <c r="T10" i="2"/>
  <c r="R10" i="2"/>
  <c r="S10" i="2" s="1"/>
  <c r="O10" i="2"/>
  <c r="K10" i="2"/>
  <c r="I10" i="2"/>
  <c r="J10" i="2" s="1"/>
  <c r="F10" i="2"/>
  <c r="DF9" i="2"/>
  <c r="DD9" i="2"/>
  <c r="DE9" i="2" s="1"/>
  <c r="DA9" i="2"/>
  <c r="CW9" i="2"/>
  <c r="CU9" i="2"/>
  <c r="CV9" i="2" s="1"/>
  <c r="CR9" i="2"/>
  <c r="CN9" i="2"/>
  <c r="CL9" i="2"/>
  <c r="CM9" i="2" s="1"/>
  <c r="CI9" i="2"/>
  <c r="CE9" i="2"/>
  <c r="CC9" i="2"/>
  <c r="CD9" i="2" s="1"/>
  <c r="BZ9" i="2"/>
  <c r="BV9" i="2"/>
  <c r="BT9" i="2"/>
  <c r="BU9" i="2" s="1"/>
  <c r="BQ9" i="2"/>
  <c r="BM9" i="2"/>
  <c r="BK9" i="2"/>
  <c r="BL9" i="2" s="1"/>
  <c r="BH9" i="2"/>
  <c r="BD9" i="2"/>
  <c r="BB9" i="2"/>
  <c r="BC9" i="2" s="1"/>
  <c r="AY9" i="2"/>
  <c r="AU9" i="2"/>
  <c r="AS9" i="2"/>
  <c r="AT9" i="2" s="1"/>
  <c r="AP9" i="2"/>
  <c r="AL9" i="2"/>
  <c r="AJ9" i="2"/>
  <c r="AK9" i="2" s="1"/>
  <c r="AG9" i="2"/>
  <c r="AC9" i="2"/>
  <c r="AA9" i="2"/>
  <c r="AB9" i="2" s="1"/>
  <c r="X9" i="2"/>
  <c r="T9" i="2"/>
  <c r="R9" i="2"/>
  <c r="S9" i="2" s="1"/>
  <c r="O9" i="2"/>
  <c r="K9" i="2"/>
  <c r="I9" i="2"/>
  <c r="J9" i="2" s="1"/>
  <c r="F9" i="2"/>
  <c r="DF8" i="2"/>
  <c r="DE8" i="2"/>
  <c r="DD8" i="2"/>
  <c r="DA8" i="2"/>
  <c r="CW8" i="2"/>
  <c r="CV8" i="2"/>
  <c r="CU8" i="2"/>
  <c r="CR8" i="2"/>
  <c r="CN8" i="2"/>
  <c r="CM8" i="2"/>
  <c r="CL8" i="2"/>
  <c r="CI8" i="2"/>
  <c r="CE8" i="2"/>
  <c r="CD8" i="2"/>
  <c r="CC8" i="2"/>
  <c r="BZ8" i="2"/>
  <c r="BV8" i="2"/>
  <c r="BU8" i="2"/>
  <c r="BT8" i="2"/>
  <c r="BQ8" i="2"/>
  <c r="BM8" i="2"/>
  <c r="BL8" i="2"/>
  <c r="BK8" i="2"/>
  <c r="BH8" i="2"/>
  <c r="BD8" i="2"/>
  <c r="BC8" i="2"/>
  <c r="BB8" i="2"/>
  <c r="AY8" i="2"/>
  <c r="AU8" i="2"/>
  <c r="AT8" i="2"/>
  <c r="AS8" i="2"/>
  <c r="AP8" i="2"/>
  <c r="AL8" i="2"/>
  <c r="AK8" i="2"/>
  <c r="AJ8" i="2"/>
  <c r="AG8" i="2"/>
  <c r="AC8" i="2"/>
  <c r="AB8" i="2"/>
  <c r="AA8" i="2"/>
  <c r="X8" i="2"/>
  <c r="T8" i="2"/>
  <c r="S8" i="2"/>
  <c r="R8" i="2"/>
  <c r="O8" i="2"/>
  <c r="K8" i="2"/>
  <c r="J8" i="2"/>
  <c r="I8" i="2"/>
  <c r="F8" i="2"/>
  <c r="DF7" i="2"/>
  <c r="DD7" i="2"/>
  <c r="DA7" i="2"/>
  <c r="CW7" i="2"/>
  <c r="CU7" i="2"/>
  <c r="CV7" i="2" s="1"/>
  <c r="CR7" i="2"/>
  <c r="CN7" i="2"/>
  <c r="CL7" i="2"/>
  <c r="CI7" i="2"/>
  <c r="CE7" i="2"/>
  <c r="CC7" i="2"/>
  <c r="BZ7" i="2"/>
  <c r="BV7" i="2"/>
  <c r="BT7" i="2"/>
  <c r="BQ7" i="2"/>
  <c r="BM7" i="2"/>
  <c r="BK7" i="2"/>
  <c r="BL7" i="2" s="1"/>
  <c r="BH7" i="2"/>
  <c r="BD7" i="2"/>
  <c r="BB7" i="2"/>
  <c r="AY7" i="2"/>
  <c r="AU7" i="2"/>
  <c r="AS7" i="2"/>
  <c r="AP7" i="2"/>
  <c r="AL7" i="2"/>
  <c r="AJ7" i="2"/>
  <c r="AG7" i="2"/>
  <c r="AC7" i="2"/>
  <c r="AA7" i="2"/>
  <c r="AB7" i="2" s="1"/>
  <c r="X7" i="2"/>
  <c r="T7" i="2"/>
  <c r="R7" i="2"/>
  <c r="O7" i="2"/>
  <c r="K7" i="2"/>
  <c r="I7" i="2"/>
  <c r="F7" i="2"/>
  <c r="DF6" i="2"/>
  <c r="DD6" i="2"/>
  <c r="DE6" i="2" s="1"/>
  <c r="DA6" i="2"/>
  <c r="CU6" i="2"/>
  <c r="CV6" i="2" s="1"/>
  <c r="CR6" i="2"/>
  <c r="CQ6" i="2"/>
  <c r="CW6" i="2" s="1"/>
  <c r="CL6" i="2"/>
  <c r="CM6" i="2" s="1"/>
  <c r="CH6" i="2"/>
  <c r="CI6" i="2" s="1"/>
  <c r="CE6" i="2"/>
  <c r="CC6" i="2"/>
  <c r="BZ6" i="2"/>
  <c r="CD6" i="2" s="1"/>
  <c r="BV6" i="2"/>
  <c r="BT6" i="2"/>
  <c r="BQ6" i="2"/>
  <c r="BU6" i="2" s="1"/>
  <c r="BM6" i="2"/>
  <c r="BK6" i="2"/>
  <c r="BH6" i="2"/>
  <c r="BL6" i="2" s="1"/>
  <c r="BD6" i="2"/>
  <c r="BB6" i="2"/>
  <c r="AY6" i="2"/>
  <c r="BC6" i="2" s="1"/>
  <c r="AU6" i="2"/>
  <c r="AS6" i="2"/>
  <c r="AP6" i="2"/>
  <c r="AT6" i="2" s="1"/>
  <c r="AL6" i="2"/>
  <c r="AJ6" i="2"/>
  <c r="AG6" i="2"/>
  <c r="AK6" i="2" s="1"/>
  <c r="AC6" i="2"/>
  <c r="AA6" i="2"/>
  <c r="X6" i="2"/>
  <c r="AB6" i="2" s="1"/>
  <c r="R6" i="2"/>
  <c r="O6" i="2"/>
  <c r="S6" i="2" s="1"/>
  <c r="M6" i="2"/>
  <c r="T6" i="2" s="1"/>
  <c r="K6" i="2"/>
  <c r="I6" i="2"/>
  <c r="F6" i="2"/>
  <c r="DF5" i="2"/>
  <c r="DD5" i="2"/>
  <c r="DE5" i="2" s="1"/>
  <c r="DA5" i="2"/>
  <c r="CW5" i="2"/>
  <c r="CU5" i="2"/>
  <c r="CV5" i="2" s="1"/>
  <c r="CR5" i="2"/>
  <c r="CN5" i="2"/>
  <c r="CL5" i="2"/>
  <c r="CM5" i="2" s="1"/>
  <c r="CI5" i="2"/>
  <c r="CE5" i="2"/>
  <c r="CC5" i="2"/>
  <c r="CD5" i="2" s="1"/>
  <c r="BZ5" i="2"/>
  <c r="BT5" i="2"/>
  <c r="BU5" i="2" s="1"/>
  <c r="BQ5" i="2"/>
  <c r="BP5" i="2"/>
  <c r="BV5" i="2" s="1"/>
  <c r="BM5" i="2"/>
  <c r="BK5" i="2"/>
  <c r="BL5" i="2" s="1"/>
  <c r="BH5" i="2"/>
  <c r="BD5" i="2"/>
  <c r="BB5" i="2"/>
  <c r="BC5" i="2" s="1"/>
  <c r="AY5" i="2"/>
  <c r="AU5" i="2"/>
  <c r="AS5" i="2"/>
  <c r="AT5" i="2" s="1"/>
  <c r="AP5" i="2"/>
  <c r="AL5" i="2"/>
  <c r="AJ5" i="2"/>
  <c r="AK5" i="2" s="1"/>
  <c r="AG5" i="2"/>
  <c r="AC5" i="2"/>
  <c r="AA5" i="2"/>
  <c r="AB5" i="2" s="1"/>
  <c r="X5" i="2"/>
  <c r="T5" i="2"/>
  <c r="R5" i="2"/>
  <c r="S5" i="2" s="1"/>
  <c r="O5" i="2"/>
  <c r="K5" i="2"/>
  <c r="I5" i="2"/>
  <c r="J5" i="2" s="1"/>
  <c r="F5" i="2"/>
  <c r="DF4" i="2"/>
  <c r="DE4" i="2"/>
  <c r="DD4" i="2"/>
  <c r="DA4" i="2"/>
  <c r="CW4" i="2"/>
  <c r="CV4" i="2"/>
  <c r="CU4" i="2"/>
  <c r="CR4" i="2"/>
  <c r="CN4" i="2"/>
  <c r="CM4" i="2"/>
  <c r="CL4" i="2"/>
  <c r="CI4" i="2"/>
  <c r="CE4" i="2"/>
  <c r="CD4" i="2"/>
  <c r="CC4" i="2"/>
  <c r="BZ4" i="2"/>
  <c r="BT4" i="2"/>
  <c r="BP4" i="2"/>
  <c r="BQ4" i="2" s="1"/>
  <c r="BU4" i="2" s="1"/>
  <c r="BM4" i="2"/>
  <c r="BK4" i="2"/>
  <c r="BH4" i="2"/>
  <c r="BD4" i="2"/>
  <c r="BB4" i="2"/>
  <c r="BC4" i="2" s="1"/>
  <c r="AY4" i="2"/>
  <c r="AU4" i="2"/>
  <c r="AS4" i="2"/>
  <c r="AP4" i="2"/>
  <c r="AL4" i="2"/>
  <c r="AJ4" i="2"/>
  <c r="AG4" i="2"/>
  <c r="AC4" i="2"/>
  <c r="AA4" i="2"/>
  <c r="X4" i="2"/>
  <c r="T4" i="2"/>
  <c r="R4" i="2"/>
  <c r="S4" i="2" s="1"/>
  <c r="O4" i="2"/>
  <c r="K4" i="2"/>
  <c r="I4" i="2"/>
  <c r="F4" i="2"/>
  <c r="DF3" i="2"/>
  <c r="DD3" i="2"/>
  <c r="DE3" i="2" s="1"/>
  <c r="DA3" i="2"/>
  <c r="CW3" i="2"/>
  <c r="CU3" i="2"/>
  <c r="CV3" i="2" s="1"/>
  <c r="CR3" i="2"/>
  <c r="CN3" i="2"/>
  <c r="CL3" i="2"/>
  <c r="CM3" i="2" s="1"/>
  <c r="CI3" i="2"/>
  <c r="CE3" i="2"/>
  <c r="CC3" i="2"/>
  <c r="CD3" i="2" s="1"/>
  <c r="BZ3" i="2"/>
  <c r="BV3" i="2"/>
  <c r="BT3" i="2"/>
  <c r="BU3" i="2" s="1"/>
  <c r="BQ3" i="2"/>
  <c r="BM3" i="2"/>
  <c r="BK3" i="2"/>
  <c r="BL3" i="2" s="1"/>
  <c r="BH3" i="2"/>
  <c r="BD3" i="2"/>
  <c r="BB3" i="2"/>
  <c r="BC3" i="2" s="1"/>
  <c r="AY3" i="2"/>
  <c r="AU3" i="2"/>
  <c r="AS3" i="2"/>
  <c r="AT3" i="2" s="1"/>
  <c r="AP3" i="2"/>
  <c r="AL3" i="2"/>
  <c r="AJ3" i="2"/>
  <c r="AK3" i="2" s="1"/>
  <c r="AG3" i="2"/>
  <c r="AC3" i="2"/>
  <c r="AA3" i="2"/>
  <c r="AB3" i="2" s="1"/>
  <c r="X3" i="2"/>
  <c r="T3" i="2"/>
  <c r="R3" i="2"/>
  <c r="S3" i="2" s="1"/>
  <c r="O3" i="2"/>
  <c r="K3" i="2"/>
  <c r="I3" i="2"/>
  <c r="J3" i="2" s="1"/>
  <c r="F3" i="2"/>
  <c r="DF116" i="1"/>
  <c r="DE116" i="1"/>
  <c r="DD116" i="1"/>
  <c r="DA116" i="1"/>
  <c r="CW116" i="1"/>
  <c r="CV116" i="1"/>
  <c r="CU116" i="1"/>
  <c r="CR116" i="1"/>
  <c r="CN116" i="1"/>
  <c r="CM116" i="1"/>
  <c r="CL116" i="1"/>
  <c r="CI116" i="1"/>
  <c r="CE116" i="1"/>
  <c r="CD116" i="1"/>
  <c r="CC116" i="1"/>
  <c r="BZ116" i="1"/>
  <c r="BV116" i="1"/>
  <c r="BT116" i="1"/>
  <c r="BQ116" i="1"/>
  <c r="BM116" i="1"/>
  <c r="BK116" i="1"/>
  <c r="BL116" i="1"/>
  <c r="BD116" i="1"/>
  <c r="BB116" i="1"/>
  <c r="AY116" i="1"/>
  <c r="BC116" i="1" s="1"/>
  <c r="AU116" i="1"/>
  <c r="AT116" i="1"/>
  <c r="AS116" i="1"/>
  <c r="AP116" i="1"/>
  <c r="AL116" i="1"/>
  <c r="AJ116" i="1"/>
  <c r="AG116" i="1"/>
  <c r="AK116" i="1" s="1"/>
  <c r="AC116" i="1"/>
  <c r="AA116" i="1"/>
  <c r="X116" i="1"/>
  <c r="AB116" i="1" s="1"/>
  <c r="T116" i="1"/>
  <c r="R116" i="1"/>
  <c r="O116" i="1"/>
  <c r="K116" i="1"/>
  <c r="I116" i="1"/>
  <c r="F116" i="1"/>
  <c r="J116" i="1" s="1"/>
  <c r="DF115" i="1"/>
  <c r="DD115" i="1"/>
  <c r="DA115" i="1"/>
  <c r="CW115" i="1"/>
  <c r="CU115" i="1"/>
  <c r="CR115" i="1"/>
  <c r="CV115" i="1" s="1"/>
  <c r="CN115" i="1"/>
  <c r="CL115" i="1"/>
  <c r="CI115" i="1"/>
  <c r="CM115" i="1" s="1"/>
  <c r="CE115" i="1"/>
  <c r="CC115" i="1"/>
  <c r="BZ115" i="1"/>
  <c r="BV115" i="1"/>
  <c r="BT115" i="1"/>
  <c r="BQ115" i="1"/>
  <c r="BM115" i="1"/>
  <c r="BK115" i="1"/>
  <c r="BD115" i="1"/>
  <c r="BB115" i="1"/>
  <c r="BC115" i="1" s="1"/>
  <c r="AY115" i="1"/>
  <c r="AU115" i="1"/>
  <c r="AS115" i="1"/>
  <c r="AT115" i="1" s="1"/>
  <c r="AP115" i="1"/>
  <c r="AL115" i="1"/>
  <c r="AJ115" i="1"/>
  <c r="AK115" i="1" s="1"/>
  <c r="AG115" i="1"/>
  <c r="AC115" i="1"/>
  <c r="AB115" i="1"/>
  <c r="AA115" i="1"/>
  <c r="X115" i="1"/>
  <c r="T115" i="1"/>
  <c r="R115" i="1"/>
  <c r="O115" i="1"/>
  <c r="K115" i="1"/>
  <c r="I115" i="1"/>
  <c r="F115" i="1"/>
  <c r="J115" i="1" s="1"/>
  <c r="DF114" i="1"/>
  <c r="DD114" i="1"/>
  <c r="DA114" i="1"/>
  <c r="DE114" i="1" s="1"/>
  <c r="CW114" i="1"/>
  <c r="CU114" i="1"/>
  <c r="CV114" i="1" s="1"/>
  <c r="CR114" i="1"/>
  <c r="CN114" i="1"/>
  <c r="CL114" i="1"/>
  <c r="CM114" i="1" s="1"/>
  <c r="CI114" i="1"/>
  <c r="CE114" i="1"/>
  <c r="CC114" i="1"/>
  <c r="BZ114" i="1"/>
  <c r="BV114" i="1"/>
  <c r="BT114" i="1"/>
  <c r="BQ114" i="1"/>
  <c r="BM114" i="1"/>
  <c r="BK114" i="1"/>
  <c r="BL114" i="1" s="1"/>
  <c r="BD114" i="1"/>
  <c r="BB114" i="1"/>
  <c r="BC114" i="1" s="1"/>
  <c r="AY114" i="1"/>
  <c r="AU114" i="1"/>
  <c r="AT114" i="1"/>
  <c r="AS114" i="1"/>
  <c r="AP114" i="1"/>
  <c r="AL114" i="1"/>
  <c r="AJ114" i="1"/>
  <c r="AG114" i="1"/>
  <c r="AK114" i="1" s="1"/>
  <c r="AC114" i="1"/>
  <c r="AA114" i="1"/>
  <c r="X114" i="1"/>
  <c r="T114" i="1"/>
  <c r="R114" i="1"/>
  <c r="O114" i="1"/>
  <c r="K114" i="1"/>
  <c r="I114" i="1"/>
  <c r="F114" i="1"/>
  <c r="J114" i="1" s="1"/>
  <c r="DF113" i="1"/>
  <c r="DD113" i="1"/>
  <c r="DE113" i="1" s="1"/>
  <c r="DA113" i="1"/>
  <c r="CW113" i="1"/>
  <c r="CU113" i="1"/>
  <c r="CR113" i="1"/>
  <c r="CN113" i="1"/>
  <c r="CL113" i="1"/>
  <c r="CM113" i="1" s="1"/>
  <c r="CI113" i="1"/>
  <c r="CE113" i="1"/>
  <c r="CC113" i="1"/>
  <c r="BZ113" i="1"/>
  <c r="CD113" i="1" s="1"/>
  <c r="BV113" i="1"/>
  <c r="BT113" i="1"/>
  <c r="BQ113" i="1"/>
  <c r="BM113" i="1"/>
  <c r="BK113" i="1"/>
  <c r="BL113" i="1" s="1"/>
  <c r="BD113" i="1"/>
  <c r="BB113" i="1"/>
  <c r="BC113" i="1" s="1"/>
  <c r="AY113" i="1"/>
  <c r="AU113" i="1"/>
  <c r="AT113" i="1"/>
  <c r="AS113" i="1"/>
  <c r="AP113" i="1"/>
  <c r="AL113" i="1"/>
  <c r="AJ113" i="1"/>
  <c r="AG113" i="1"/>
  <c r="AK113" i="1" s="1"/>
  <c r="AC113" i="1"/>
  <c r="AA113" i="1"/>
  <c r="AB113" i="1" s="1"/>
  <c r="X113" i="1"/>
  <c r="T113" i="1"/>
  <c r="R113" i="1"/>
  <c r="O113" i="1"/>
  <c r="K113" i="1"/>
  <c r="I113" i="1"/>
  <c r="F113" i="1"/>
  <c r="DF112" i="1"/>
  <c r="DE112" i="1"/>
  <c r="DD112" i="1"/>
  <c r="DA112" i="1"/>
  <c r="CW112" i="1"/>
  <c r="CU112" i="1"/>
  <c r="CV112" i="1" s="1"/>
  <c r="CR112" i="1"/>
  <c r="CN112" i="1"/>
  <c r="CL112" i="1"/>
  <c r="CI112" i="1"/>
  <c r="CM112" i="1" s="1"/>
  <c r="CE112" i="1"/>
  <c r="CC112" i="1"/>
  <c r="BZ112" i="1"/>
  <c r="CD112" i="1" s="1"/>
  <c r="BV112" i="1"/>
  <c r="BT112" i="1"/>
  <c r="BQ112" i="1"/>
  <c r="BM112" i="1"/>
  <c r="BK112" i="1"/>
  <c r="BL112" i="1" s="1"/>
  <c r="BD112" i="1"/>
  <c r="BB112" i="1"/>
  <c r="AY112" i="1"/>
  <c r="BC112" i="1" s="1"/>
  <c r="AU112" i="1"/>
  <c r="AT112" i="1"/>
  <c r="AS112" i="1"/>
  <c r="AP112" i="1"/>
  <c r="AL112" i="1"/>
  <c r="AJ112" i="1"/>
  <c r="AK112" i="1" s="1"/>
  <c r="AG112" i="1"/>
  <c r="AC112" i="1"/>
  <c r="AA112" i="1"/>
  <c r="X112" i="1"/>
  <c r="AB112" i="1" s="1"/>
  <c r="T112" i="1"/>
  <c r="R112" i="1"/>
  <c r="S112" i="1" s="1"/>
  <c r="O112" i="1"/>
  <c r="K112" i="1"/>
  <c r="I112" i="1"/>
  <c r="F112" i="1"/>
  <c r="J112" i="1" s="1"/>
  <c r="DF111" i="1"/>
  <c r="DD111" i="1"/>
  <c r="DA111" i="1"/>
  <c r="DE111" i="1" s="1"/>
  <c r="CW111" i="1"/>
  <c r="CU111" i="1"/>
  <c r="CR111" i="1"/>
  <c r="CV111" i="1" s="1"/>
  <c r="CN111" i="1"/>
  <c r="CL111" i="1"/>
  <c r="CI111" i="1"/>
  <c r="CM111" i="1" s="1"/>
  <c r="CE111" i="1"/>
  <c r="CC111" i="1"/>
  <c r="BZ111" i="1"/>
  <c r="BV111" i="1"/>
  <c r="BT111" i="1"/>
  <c r="BQ111" i="1"/>
  <c r="BM111" i="1"/>
  <c r="BK111" i="1"/>
  <c r="BL111" i="1" s="1"/>
  <c r="BD111" i="1"/>
  <c r="BB111" i="1"/>
  <c r="AY111" i="1"/>
  <c r="BC111" i="1" s="1"/>
  <c r="AU111" i="1"/>
  <c r="AT111" i="1"/>
  <c r="AS111" i="1"/>
  <c r="AP111" i="1"/>
  <c r="AL111" i="1"/>
  <c r="AJ111" i="1"/>
  <c r="AG111" i="1"/>
  <c r="AC111" i="1"/>
  <c r="AA111" i="1"/>
  <c r="X111" i="1"/>
  <c r="T111" i="1"/>
  <c r="R111" i="1"/>
  <c r="O111" i="1"/>
  <c r="K111" i="1"/>
  <c r="I111" i="1"/>
  <c r="F111" i="1"/>
  <c r="DF110" i="1"/>
  <c r="DD110" i="1"/>
  <c r="DA110" i="1"/>
  <c r="DE110" i="1" s="1"/>
  <c r="CW110" i="1"/>
  <c r="CV110" i="1"/>
  <c r="CU110" i="1"/>
  <c r="CR110" i="1"/>
  <c r="CN110" i="1"/>
  <c r="CL110" i="1"/>
  <c r="CM110" i="1" s="1"/>
  <c r="CI110" i="1"/>
  <c r="CE110" i="1"/>
  <c r="CC110" i="1"/>
  <c r="BZ110" i="1"/>
  <c r="BV110" i="1"/>
  <c r="BT110" i="1"/>
  <c r="BQ110" i="1"/>
  <c r="BM110" i="1"/>
  <c r="BK110" i="1"/>
  <c r="BL110" i="1" s="1"/>
  <c r="BD110" i="1"/>
  <c r="BB110" i="1"/>
  <c r="AY110" i="1"/>
  <c r="AU110" i="1"/>
  <c r="AT110" i="1"/>
  <c r="AS110" i="1"/>
  <c r="AP110" i="1"/>
  <c r="AL110" i="1"/>
  <c r="AJ110" i="1"/>
  <c r="AG110" i="1"/>
  <c r="AC110" i="1"/>
  <c r="AA110" i="1"/>
  <c r="X110" i="1"/>
  <c r="AB110" i="1" s="1"/>
  <c r="T110" i="1"/>
  <c r="R110" i="1"/>
  <c r="O110" i="1"/>
  <c r="S110" i="1" s="1"/>
  <c r="K110" i="1"/>
  <c r="I110" i="1"/>
  <c r="F110" i="1"/>
  <c r="J110" i="1" s="1"/>
  <c r="DF109" i="1"/>
  <c r="DE109" i="1"/>
  <c r="DD109" i="1"/>
  <c r="DA109" i="1"/>
  <c r="CW109" i="1"/>
  <c r="CU109" i="1"/>
  <c r="CR109" i="1"/>
  <c r="CV109" i="1" s="1"/>
  <c r="CN109" i="1"/>
  <c r="CM109" i="1"/>
  <c r="CL109" i="1"/>
  <c r="CI109" i="1"/>
  <c r="CE109" i="1"/>
  <c r="CC109" i="1"/>
  <c r="BZ109" i="1"/>
  <c r="CD109" i="1" s="1"/>
  <c r="BV109" i="1"/>
  <c r="BT109" i="1"/>
  <c r="BQ109" i="1"/>
  <c r="BM109" i="1"/>
  <c r="BK109" i="1"/>
  <c r="BD109" i="1"/>
  <c r="BB109" i="1"/>
  <c r="AY109" i="1"/>
  <c r="BC109" i="1" s="1"/>
  <c r="AU109" i="1"/>
  <c r="AT109" i="1"/>
  <c r="AS109" i="1"/>
  <c r="AP109" i="1"/>
  <c r="AL109" i="1"/>
  <c r="AJ109" i="1"/>
  <c r="AG109" i="1"/>
  <c r="AC109" i="1"/>
  <c r="AA109" i="1"/>
  <c r="X109" i="1"/>
  <c r="T109" i="1"/>
  <c r="R109" i="1"/>
  <c r="O109" i="1"/>
  <c r="K109" i="1"/>
  <c r="I109" i="1"/>
  <c r="F109" i="1"/>
  <c r="DF108" i="1"/>
  <c r="DD108" i="1"/>
  <c r="DA108" i="1"/>
  <c r="CW108" i="1"/>
  <c r="CV108" i="1"/>
  <c r="CU108" i="1"/>
  <c r="CR108" i="1"/>
  <c r="CN108" i="1"/>
  <c r="CL108" i="1"/>
  <c r="CI108" i="1"/>
  <c r="CM108" i="1" s="1"/>
  <c r="CE108" i="1"/>
  <c r="CC108" i="1"/>
  <c r="BZ108" i="1"/>
  <c r="CD108" i="1" s="1"/>
  <c r="BV108" i="1"/>
  <c r="BT108" i="1"/>
  <c r="BQ108" i="1"/>
  <c r="BM108" i="1"/>
  <c r="BK108" i="1"/>
  <c r="BL108" i="1"/>
  <c r="BD108" i="1"/>
  <c r="BB108" i="1"/>
  <c r="AY108" i="1"/>
  <c r="BC108" i="1" s="1"/>
  <c r="AU108" i="1"/>
  <c r="AT108" i="1"/>
  <c r="AS108" i="1"/>
  <c r="AP108" i="1"/>
  <c r="AL108" i="1"/>
  <c r="AK108" i="1"/>
  <c r="AJ108" i="1"/>
  <c r="AG108" i="1"/>
  <c r="AC108" i="1"/>
  <c r="AA108" i="1"/>
  <c r="AB108" i="1" s="1"/>
  <c r="X108" i="1"/>
  <c r="T108" i="1"/>
  <c r="R108" i="1"/>
  <c r="S108" i="1" s="1"/>
  <c r="O108" i="1"/>
  <c r="K108" i="1"/>
  <c r="I108" i="1"/>
  <c r="F108" i="1"/>
  <c r="J108" i="1" s="1"/>
  <c r="DF107" i="1"/>
  <c r="DD107" i="1"/>
  <c r="DA107" i="1"/>
  <c r="DE107" i="1" s="1"/>
  <c r="CW107" i="1"/>
  <c r="CV107" i="1"/>
  <c r="CU107" i="1"/>
  <c r="CR107" i="1"/>
  <c r="CN107" i="1"/>
  <c r="CL107" i="1"/>
  <c r="CM107" i="1" s="1"/>
  <c r="CI107" i="1"/>
  <c r="CE107" i="1"/>
  <c r="CC107" i="1"/>
  <c r="CD107" i="1" s="1"/>
  <c r="BZ107" i="1"/>
  <c r="BV107" i="1"/>
  <c r="BT107" i="1"/>
  <c r="BU107" i="1" s="1"/>
  <c r="BQ107" i="1"/>
  <c r="BM107" i="1"/>
  <c r="BK107" i="1"/>
  <c r="BL107" i="1" s="1"/>
  <c r="BD107" i="1"/>
  <c r="BB107" i="1"/>
  <c r="BC107" i="1" s="1"/>
  <c r="AY107" i="1"/>
  <c r="AU107" i="1"/>
  <c r="AS107" i="1"/>
  <c r="AP107" i="1"/>
  <c r="AL107" i="1"/>
  <c r="AJ107" i="1"/>
  <c r="AG107" i="1"/>
  <c r="AK107" i="1" s="1"/>
  <c r="AC107" i="1"/>
  <c r="AA107" i="1"/>
  <c r="X107" i="1"/>
  <c r="AB107" i="1" s="1"/>
  <c r="T107" i="1"/>
  <c r="R107" i="1"/>
  <c r="O107" i="1"/>
  <c r="K107" i="1"/>
  <c r="I107" i="1"/>
  <c r="F107" i="1"/>
  <c r="DF106" i="1"/>
  <c r="DD106" i="1"/>
  <c r="DE106" i="1" s="1"/>
  <c r="DA106" i="1"/>
  <c r="CW106" i="1"/>
  <c r="CU106" i="1"/>
  <c r="CR106" i="1"/>
  <c r="CN106" i="1"/>
  <c r="CL106" i="1"/>
  <c r="CI106" i="1"/>
  <c r="CM106" i="1" s="1"/>
  <c r="CE106" i="1"/>
  <c r="CC106" i="1"/>
  <c r="BZ106" i="1"/>
  <c r="CD106" i="1" s="1"/>
  <c r="BV106" i="1"/>
  <c r="BT106" i="1"/>
  <c r="BQ106" i="1"/>
  <c r="BU106" i="1" s="1"/>
  <c r="BM106" i="1"/>
  <c r="BK106" i="1"/>
  <c r="BD106" i="1"/>
  <c r="BB106" i="1"/>
  <c r="BC106" i="1" s="1"/>
  <c r="AY106" i="1"/>
  <c r="AU106" i="1"/>
  <c r="AS106" i="1"/>
  <c r="AP106" i="1"/>
  <c r="AL106" i="1"/>
  <c r="AJ106" i="1"/>
  <c r="AG106" i="1"/>
  <c r="AK106" i="1" s="1"/>
  <c r="AC106" i="1"/>
  <c r="AA106" i="1"/>
  <c r="X106" i="1"/>
  <c r="T106" i="1"/>
  <c r="R106" i="1"/>
  <c r="O106" i="1"/>
  <c r="K106" i="1"/>
  <c r="I106" i="1"/>
  <c r="F106" i="1"/>
  <c r="J106" i="1" s="1"/>
  <c r="DF105" i="1"/>
  <c r="DD105" i="1"/>
  <c r="DE105" i="1" s="1"/>
  <c r="DA105" i="1"/>
  <c r="CW105" i="1"/>
  <c r="CU105" i="1"/>
  <c r="CR105" i="1"/>
  <c r="CN105" i="1"/>
  <c r="CL105" i="1"/>
  <c r="CM105" i="1" s="1"/>
  <c r="CI105" i="1"/>
  <c r="CE105" i="1"/>
  <c r="CC105" i="1"/>
  <c r="BZ105" i="1"/>
  <c r="BV105" i="1"/>
  <c r="BT105" i="1"/>
  <c r="BQ105" i="1"/>
  <c r="BM105" i="1"/>
  <c r="BK105" i="1"/>
  <c r="BD105" i="1"/>
  <c r="BB105" i="1"/>
  <c r="AY105" i="1"/>
  <c r="AU105" i="1"/>
  <c r="AS105" i="1"/>
  <c r="AP105" i="1"/>
  <c r="AT105" i="1" s="1"/>
  <c r="AL105" i="1"/>
  <c r="AJ105" i="1"/>
  <c r="AG105" i="1"/>
  <c r="AK105" i="1" s="1"/>
  <c r="AC105" i="1"/>
  <c r="AA105" i="1"/>
  <c r="X105" i="1"/>
  <c r="AB105" i="1" s="1"/>
  <c r="T105" i="1"/>
  <c r="R105" i="1"/>
  <c r="S105" i="1" s="1"/>
  <c r="O105" i="1"/>
  <c r="K105" i="1"/>
  <c r="I105" i="1"/>
  <c r="F105" i="1"/>
  <c r="DF104" i="1"/>
  <c r="DD104" i="1"/>
  <c r="DE104" i="1" s="1"/>
  <c r="DA104" i="1"/>
  <c r="CW104" i="1"/>
  <c r="CU104" i="1"/>
  <c r="CR104" i="1"/>
  <c r="CN104" i="1"/>
  <c r="CL104" i="1"/>
  <c r="CI104" i="1"/>
  <c r="CE104" i="1"/>
  <c r="CC104" i="1"/>
  <c r="CD104" i="1" s="1"/>
  <c r="BZ104" i="1"/>
  <c r="BV104" i="1"/>
  <c r="BT104" i="1"/>
  <c r="BQ104" i="1"/>
  <c r="BM104" i="1"/>
  <c r="BK104" i="1"/>
  <c r="BD104" i="1"/>
  <c r="BB104" i="1"/>
  <c r="AY104" i="1"/>
  <c r="BC104" i="1" s="1"/>
  <c r="AU104" i="1"/>
  <c r="AS104" i="1"/>
  <c r="AP104" i="1"/>
  <c r="AT104" i="1" s="1"/>
  <c r="AL104" i="1"/>
  <c r="AJ104" i="1"/>
  <c r="AK104" i="1" s="1"/>
  <c r="AG104" i="1"/>
  <c r="AC104" i="1"/>
  <c r="AA104" i="1"/>
  <c r="X104" i="1"/>
  <c r="T104" i="1"/>
  <c r="R104" i="1"/>
  <c r="O104" i="1"/>
  <c r="K104" i="1"/>
  <c r="I104" i="1"/>
  <c r="F104" i="1"/>
  <c r="J104" i="1" s="1"/>
  <c r="DF103" i="1"/>
  <c r="DD103" i="1"/>
  <c r="DE103" i="1" s="1"/>
  <c r="DA103" i="1"/>
  <c r="CW103" i="1"/>
  <c r="CV103" i="1"/>
  <c r="CU103" i="1"/>
  <c r="CR103" i="1"/>
  <c r="CN103" i="1"/>
  <c r="CL103" i="1"/>
  <c r="CM103" i="1" s="1"/>
  <c r="CI103" i="1"/>
  <c r="CE103" i="1"/>
  <c r="CD103" i="1"/>
  <c r="CC103" i="1"/>
  <c r="BZ103" i="1"/>
  <c r="BV103" i="1"/>
  <c r="BT103" i="1"/>
  <c r="BQ103" i="1"/>
  <c r="BM103" i="1"/>
  <c r="BK103" i="1"/>
  <c r="BL103" i="1" s="1"/>
  <c r="BD103" i="1"/>
  <c r="BC103" i="1"/>
  <c r="BB103" i="1"/>
  <c r="AY103" i="1"/>
  <c r="AU103" i="1"/>
  <c r="AS103" i="1"/>
  <c r="AP103" i="1"/>
  <c r="AL103" i="1"/>
  <c r="AK103" i="1"/>
  <c r="AJ103" i="1"/>
  <c r="AG103" i="1"/>
  <c r="AC103" i="1"/>
  <c r="AA103" i="1"/>
  <c r="X103" i="1"/>
  <c r="AB103" i="1" s="1"/>
  <c r="T103" i="1"/>
  <c r="R103" i="1"/>
  <c r="O103" i="1"/>
  <c r="K103" i="1"/>
  <c r="I103" i="1"/>
  <c r="F103" i="1"/>
  <c r="J103" i="1" s="1"/>
  <c r="DF102" i="1"/>
  <c r="DD102" i="1"/>
  <c r="DA102" i="1"/>
  <c r="DE102" i="1" s="1"/>
  <c r="CW102" i="1"/>
  <c r="CV102" i="1"/>
  <c r="CU102" i="1"/>
  <c r="CR102" i="1"/>
  <c r="CN102" i="1"/>
  <c r="CL102" i="1"/>
  <c r="CM102" i="1" s="1"/>
  <c r="CI102" i="1"/>
  <c r="CE102" i="1"/>
  <c r="CC102" i="1"/>
  <c r="CD102" i="1" s="1"/>
  <c r="BZ102" i="1"/>
  <c r="BV102" i="1"/>
  <c r="BU102" i="1"/>
  <c r="BT102" i="1"/>
  <c r="BQ102" i="1"/>
  <c r="BM102" i="1"/>
  <c r="BK102" i="1"/>
  <c r="BD102" i="1"/>
  <c r="BC102" i="1"/>
  <c r="BB102" i="1"/>
  <c r="AY102" i="1"/>
  <c r="AU102" i="1"/>
  <c r="AS102" i="1"/>
  <c r="AP102" i="1"/>
  <c r="AL102" i="1"/>
  <c r="AJ102" i="1"/>
  <c r="AG102" i="1"/>
  <c r="AC102" i="1"/>
  <c r="AA102" i="1"/>
  <c r="X102" i="1"/>
  <c r="T102" i="1"/>
  <c r="R102" i="1"/>
  <c r="O102" i="1"/>
  <c r="S102" i="1" s="1"/>
  <c r="K102" i="1"/>
  <c r="I102" i="1"/>
  <c r="F102" i="1"/>
  <c r="J102" i="1" s="1"/>
  <c r="DF101" i="1"/>
  <c r="DD101" i="1"/>
  <c r="DA101" i="1"/>
  <c r="DE101" i="1" s="1"/>
  <c r="CW101" i="1"/>
  <c r="CV101" i="1"/>
  <c r="CU101" i="1"/>
  <c r="CR101" i="1"/>
  <c r="CN101" i="1"/>
  <c r="CL101" i="1"/>
  <c r="CM101" i="1" s="1"/>
  <c r="CI101" i="1"/>
  <c r="CE101" i="1"/>
  <c r="CC101" i="1"/>
  <c r="BZ101" i="1"/>
  <c r="CD101" i="1" s="1"/>
  <c r="BV101" i="1"/>
  <c r="BT101" i="1"/>
  <c r="BQ101" i="1"/>
  <c r="BM101" i="1"/>
  <c r="BK101" i="1"/>
  <c r="BD101" i="1"/>
  <c r="BB101" i="1"/>
  <c r="BC101" i="1" s="1"/>
  <c r="AY101" i="1"/>
  <c r="AU101" i="1"/>
  <c r="AS101" i="1"/>
  <c r="AP101" i="1"/>
  <c r="AL101" i="1"/>
  <c r="AJ101" i="1"/>
  <c r="AG101" i="1"/>
  <c r="AC101" i="1"/>
  <c r="AA101" i="1"/>
  <c r="X101" i="1"/>
  <c r="AB101" i="1" s="1"/>
  <c r="T101" i="1"/>
  <c r="R101" i="1"/>
  <c r="S101" i="1" s="1"/>
  <c r="O101" i="1"/>
  <c r="K101" i="1"/>
  <c r="J101" i="1"/>
  <c r="I101" i="1"/>
  <c r="F101" i="1"/>
  <c r="DF100" i="1"/>
  <c r="DE100" i="1"/>
  <c r="DD100" i="1"/>
  <c r="DA100" i="1"/>
  <c r="CW100" i="1"/>
  <c r="CU100" i="1"/>
  <c r="CR100" i="1"/>
  <c r="CV100" i="1" s="1"/>
  <c r="CN100" i="1"/>
  <c r="CL100" i="1"/>
  <c r="CM100" i="1" s="1"/>
  <c r="CI100" i="1"/>
  <c r="CE100" i="1"/>
  <c r="CC100" i="1"/>
  <c r="BZ100" i="1"/>
  <c r="CD100" i="1" s="1"/>
  <c r="BV100" i="1"/>
  <c r="BT100" i="1"/>
  <c r="BQ100" i="1"/>
  <c r="BM100" i="1"/>
  <c r="BK100" i="1"/>
  <c r="BL100" i="1" s="1"/>
  <c r="BD100" i="1"/>
  <c r="BB100" i="1"/>
  <c r="AY100" i="1"/>
  <c r="BC100" i="1" s="1"/>
  <c r="AU100" i="1"/>
  <c r="AT100" i="1"/>
  <c r="AS100" i="1"/>
  <c r="AP100" i="1"/>
  <c r="AL100" i="1"/>
  <c r="AJ100" i="1"/>
  <c r="AG100" i="1"/>
  <c r="AC100" i="1"/>
  <c r="AA100" i="1"/>
  <c r="X100" i="1"/>
  <c r="AB100" i="1" s="1"/>
  <c r="T100" i="1"/>
  <c r="R100" i="1"/>
  <c r="S100" i="1" s="1"/>
  <c r="O100" i="1"/>
  <c r="K100" i="1"/>
  <c r="I100" i="1"/>
  <c r="F100" i="1"/>
  <c r="J100" i="1" s="1"/>
  <c r="DF99" i="1"/>
  <c r="DD99" i="1"/>
  <c r="DA99" i="1"/>
  <c r="DE99" i="1" s="1"/>
  <c r="CW99" i="1"/>
  <c r="CU99" i="1"/>
  <c r="CV99" i="1" s="1"/>
  <c r="CR99" i="1"/>
  <c r="CN99" i="1"/>
  <c r="CL99" i="1"/>
  <c r="CI99" i="1"/>
  <c r="CE99" i="1"/>
  <c r="CC99" i="1"/>
  <c r="BZ99" i="1"/>
  <c r="BV99" i="1"/>
  <c r="BT99" i="1"/>
  <c r="BQ99" i="1"/>
  <c r="BM99" i="1"/>
  <c r="BK99" i="1"/>
  <c r="BL99" i="1" s="1"/>
  <c r="BD99" i="1"/>
  <c r="BB99" i="1"/>
  <c r="AY99" i="1"/>
  <c r="BC99" i="1" s="1"/>
  <c r="AU99" i="1"/>
  <c r="AT99" i="1"/>
  <c r="AS99" i="1"/>
  <c r="AP99" i="1"/>
  <c r="AL99" i="1"/>
  <c r="AJ99" i="1"/>
  <c r="AG99" i="1"/>
  <c r="AC99" i="1"/>
  <c r="AA99" i="1"/>
  <c r="X99" i="1"/>
  <c r="T99" i="1"/>
  <c r="R99" i="1"/>
  <c r="O99" i="1"/>
  <c r="K99" i="1"/>
  <c r="I99" i="1"/>
  <c r="F99" i="1"/>
  <c r="J99" i="1" s="1"/>
  <c r="DF98" i="1"/>
  <c r="DD98" i="1"/>
  <c r="DA98" i="1"/>
  <c r="DE98" i="1" s="1"/>
  <c r="CW98" i="1"/>
  <c r="CU98" i="1"/>
  <c r="CR98" i="1"/>
  <c r="CN98" i="1"/>
  <c r="CL98" i="1"/>
  <c r="CI98" i="1"/>
  <c r="CM98" i="1" s="1"/>
  <c r="CE98" i="1"/>
  <c r="CC98" i="1"/>
  <c r="BZ98" i="1"/>
  <c r="BV98" i="1"/>
  <c r="BT98" i="1"/>
  <c r="BQ98" i="1"/>
  <c r="BM98" i="1"/>
  <c r="BK98" i="1"/>
  <c r="BD98" i="1"/>
  <c r="BB98" i="1"/>
  <c r="AY98" i="1"/>
  <c r="BC98" i="1" s="1"/>
  <c r="AU98" i="1"/>
  <c r="AT98" i="1"/>
  <c r="AS98" i="1"/>
  <c r="AP98" i="1"/>
  <c r="AL98" i="1"/>
  <c r="AJ98" i="1"/>
  <c r="AG98" i="1"/>
  <c r="AC98" i="1"/>
  <c r="AA98" i="1"/>
  <c r="X98" i="1"/>
  <c r="AB98" i="1" s="1"/>
  <c r="T98" i="1"/>
  <c r="R98" i="1"/>
  <c r="O98" i="1"/>
  <c r="K98" i="1"/>
  <c r="J98" i="1"/>
  <c r="I98" i="1"/>
  <c r="F98" i="1"/>
  <c r="DF97" i="1"/>
  <c r="DE97" i="1"/>
  <c r="DD97" i="1"/>
  <c r="DA97" i="1"/>
  <c r="CW97" i="1"/>
  <c r="CU97" i="1"/>
  <c r="CV97" i="1" s="1"/>
  <c r="CR97" i="1"/>
  <c r="CN97" i="1"/>
  <c r="CL97" i="1"/>
  <c r="CI97" i="1"/>
  <c r="CM97" i="1" s="1"/>
  <c r="CE97" i="1"/>
  <c r="CC97" i="1"/>
  <c r="BZ97" i="1"/>
  <c r="BV97" i="1"/>
  <c r="BT97" i="1"/>
  <c r="BU97" i="1" s="1"/>
  <c r="BQ97" i="1"/>
  <c r="BM97" i="1"/>
  <c r="BK97" i="1"/>
  <c r="BD97" i="1"/>
  <c r="BC97" i="1"/>
  <c r="BB97" i="1"/>
  <c r="AY97" i="1"/>
  <c r="AU97" i="1"/>
  <c r="AT97" i="1"/>
  <c r="AS97" i="1"/>
  <c r="AP97" i="1"/>
  <c r="AL97" i="1"/>
  <c r="AK97" i="1"/>
  <c r="AJ97" i="1"/>
  <c r="AG97" i="1"/>
  <c r="AC97" i="1"/>
  <c r="AA97" i="1"/>
  <c r="X97" i="1"/>
  <c r="AB97" i="1" s="1"/>
  <c r="T97" i="1"/>
  <c r="R97" i="1"/>
  <c r="O97" i="1"/>
  <c r="K97" i="1"/>
  <c r="J97" i="1"/>
  <c r="I97" i="1"/>
  <c r="F97" i="1"/>
  <c r="DF96" i="1"/>
  <c r="DE96" i="1"/>
  <c r="DD96" i="1"/>
  <c r="DA96" i="1"/>
  <c r="CW96" i="1"/>
  <c r="CU96" i="1"/>
  <c r="CR96" i="1"/>
  <c r="CN96" i="1"/>
  <c r="CL96" i="1"/>
  <c r="CI96" i="1"/>
  <c r="CM96" i="1" s="1"/>
  <c r="CE96" i="1"/>
  <c r="CC96" i="1"/>
  <c r="BZ96" i="1"/>
  <c r="CD96" i="1" s="1"/>
  <c r="BV96" i="1"/>
  <c r="BT96" i="1"/>
  <c r="BU96" i="1" s="1"/>
  <c r="BQ96" i="1"/>
  <c r="BM96" i="1"/>
  <c r="BL96" i="1"/>
  <c r="BK96" i="1"/>
  <c r="BD96" i="1"/>
  <c r="BB96" i="1"/>
  <c r="AY96" i="1"/>
  <c r="BC96" i="1" s="1"/>
  <c r="AU96" i="1"/>
  <c r="AS96" i="1"/>
  <c r="AP96" i="1"/>
  <c r="AT96" i="1" s="1"/>
  <c r="AL96" i="1"/>
  <c r="AK96" i="1"/>
  <c r="AJ96" i="1"/>
  <c r="AG96" i="1"/>
  <c r="AC96" i="1"/>
  <c r="AA96" i="1"/>
  <c r="X96" i="1"/>
  <c r="AB96" i="1" s="1"/>
  <c r="T96" i="1"/>
  <c r="R96" i="1"/>
  <c r="O96" i="1"/>
  <c r="S96" i="1" s="1"/>
  <c r="K96" i="1"/>
  <c r="I96" i="1"/>
  <c r="F96" i="1"/>
  <c r="DF95" i="1"/>
  <c r="DD95" i="1"/>
  <c r="DA95" i="1"/>
  <c r="CW95" i="1"/>
  <c r="CU95" i="1"/>
  <c r="CV95" i="1" s="1"/>
  <c r="CR95" i="1"/>
  <c r="CN95" i="1"/>
  <c r="CL95" i="1"/>
  <c r="CM95" i="1" s="1"/>
  <c r="CI95" i="1"/>
  <c r="CE95" i="1"/>
  <c r="CC95" i="1"/>
  <c r="BZ95" i="1"/>
  <c r="CD95" i="1" s="1"/>
  <c r="BV95" i="1"/>
  <c r="BT95" i="1"/>
  <c r="BQ95" i="1"/>
  <c r="BM95" i="1"/>
  <c r="BK95" i="1"/>
  <c r="BL95" i="1" s="1"/>
  <c r="BD95" i="1"/>
  <c r="BB95" i="1"/>
  <c r="AY95" i="1"/>
  <c r="BC95" i="1" s="1"/>
  <c r="AU95" i="1"/>
  <c r="AS95" i="1"/>
  <c r="AP95" i="1"/>
  <c r="AT95" i="1" s="1"/>
  <c r="AL95" i="1"/>
  <c r="AK95" i="1"/>
  <c r="AJ95" i="1"/>
  <c r="AG95" i="1"/>
  <c r="AC95" i="1"/>
  <c r="AA95" i="1"/>
  <c r="X95" i="1"/>
  <c r="T95" i="1"/>
  <c r="R95" i="1"/>
  <c r="O95" i="1"/>
  <c r="K95" i="1"/>
  <c r="I95" i="1"/>
  <c r="F95" i="1"/>
  <c r="J95" i="1" s="1"/>
  <c r="DF94" i="1"/>
  <c r="DD94" i="1"/>
  <c r="DA94" i="1"/>
  <c r="CW94" i="1"/>
  <c r="CU94" i="1"/>
  <c r="CR94" i="1"/>
  <c r="CN94" i="1"/>
  <c r="CL94" i="1"/>
  <c r="CI94" i="1"/>
  <c r="CE94" i="1"/>
  <c r="CC94" i="1"/>
  <c r="BZ94" i="1"/>
  <c r="BV94" i="1"/>
  <c r="BT94" i="1"/>
  <c r="BU94" i="1" s="1"/>
  <c r="BQ94" i="1"/>
  <c r="BM94" i="1"/>
  <c r="BK94" i="1"/>
  <c r="BL94" i="1" s="1"/>
  <c r="BD94" i="1"/>
  <c r="BB94" i="1"/>
  <c r="AY94" i="1"/>
  <c r="BC94" i="1" s="1"/>
  <c r="AU94" i="1"/>
  <c r="AS94" i="1"/>
  <c r="AT94" i="1" s="1"/>
  <c r="AP94" i="1"/>
  <c r="AL94" i="1"/>
  <c r="AK94" i="1"/>
  <c r="AJ94" i="1"/>
  <c r="AG94" i="1"/>
  <c r="AC94" i="1"/>
  <c r="AA94" i="1"/>
  <c r="AB94" i="1" s="1"/>
  <c r="X94" i="1"/>
  <c r="T94" i="1"/>
  <c r="R94" i="1"/>
  <c r="O94" i="1"/>
  <c r="S94" i="1" s="1"/>
  <c r="K94" i="1"/>
  <c r="I94" i="1"/>
  <c r="F94" i="1"/>
  <c r="J94" i="1" s="1"/>
  <c r="DF93" i="1"/>
  <c r="DE93" i="1"/>
  <c r="DD93" i="1"/>
  <c r="DA93" i="1"/>
  <c r="CW93" i="1"/>
  <c r="CV93" i="1"/>
  <c r="CU93" i="1"/>
  <c r="CR93" i="1"/>
  <c r="CN93" i="1"/>
  <c r="CL93" i="1"/>
  <c r="CI93" i="1"/>
  <c r="CM93" i="1" s="1"/>
  <c r="CE93" i="1"/>
  <c r="CC93" i="1"/>
  <c r="BZ93" i="1"/>
  <c r="BV93" i="1"/>
  <c r="BU93" i="1"/>
  <c r="BT93" i="1"/>
  <c r="BQ93" i="1"/>
  <c r="BM93" i="1"/>
  <c r="BK93" i="1"/>
  <c r="BD93" i="1"/>
  <c r="BB93" i="1"/>
  <c r="AY93" i="1"/>
  <c r="BC93" i="1" s="1"/>
  <c r="AU93" i="1"/>
  <c r="AS93" i="1"/>
  <c r="AP93" i="1"/>
  <c r="AL93" i="1"/>
  <c r="AK93" i="1"/>
  <c r="AJ93" i="1"/>
  <c r="AG93" i="1"/>
  <c r="AC93" i="1"/>
  <c r="AA93" i="1"/>
  <c r="X93" i="1"/>
  <c r="AB93" i="1" s="1"/>
  <c r="T93" i="1"/>
  <c r="R93" i="1"/>
  <c r="O93" i="1"/>
  <c r="K93" i="1"/>
  <c r="I93" i="1"/>
  <c r="F93" i="1"/>
  <c r="DF92" i="1"/>
  <c r="DD92" i="1"/>
  <c r="DE92" i="1" s="1"/>
  <c r="DA92" i="1"/>
  <c r="CW92" i="1"/>
  <c r="CV92" i="1"/>
  <c r="CU92" i="1"/>
  <c r="CR92" i="1"/>
  <c r="CN92" i="1"/>
  <c r="CL92" i="1"/>
  <c r="CI92" i="1"/>
  <c r="CM92" i="1" s="1"/>
  <c r="CE92" i="1"/>
  <c r="CD92" i="1"/>
  <c r="CC92" i="1"/>
  <c r="BZ92" i="1"/>
  <c r="BV92" i="1"/>
  <c r="BT92" i="1"/>
  <c r="BQ92" i="1"/>
  <c r="BU92" i="1" s="1"/>
  <c r="BM92" i="1"/>
  <c r="BK92" i="1"/>
  <c r="BL92" i="1" s="1"/>
  <c r="BD92" i="1"/>
  <c r="BB92" i="1"/>
  <c r="AY92" i="1"/>
  <c r="BC92" i="1" s="1"/>
  <c r="AU92" i="1"/>
  <c r="AS92" i="1"/>
  <c r="AP92" i="1"/>
  <c r="AL92" i="1"/>
  <c r="AK92" i="1"/>
  <c r="AJ92" i="1"/>
  <c r="AG92" i="1"/>
  <c r="AC92" i="1"/>
  <c r="AB92" i="1"/>
  <c r="AA92" i="1"/>
  <c r="X92" i="1"/>
  <c r="T92" i="1"/>
  <c r="R92" i="1"/>
  <c r="O92" i="1"/>
  <c r="K92" i="1"/>
  <c r="I92" i="1"/>
  <c r="F92" i="1"/>
  <c r="DF91" i="1"/>
  <c r="DD91" i="1"/>
  <c r="DE91" i="1" s="1"/>
  <c r="DA91" i="1"/>
  <c r="CW91" i="1"/>
  <c r="CV91" i="1"/>
  <c r="CU91" i="1"/>
  <c r="CR91" i="1"/>
  <c r="CN91" i="1"/>
  <c r="CL91" i="1"/>
  <c r="CI91" i="1"/>
  <c r="CM91" i="1" s="1"/>
  <c r="CE91" i="1"/>
  <c r="CD91" i="1"/>
  <c r="CC91" i="1"/>
  <c r="BZ91" i="1"/>
  <c r="BV91" i="1"/>
  <c r="BU91" i="1"/>
  <c r="BT91" i="1"/>
  <c r="BQ91" i="1"/>
  <c r="BM91" i="1"/>
  <c r="BK91" i="1"/>
  <c r="BL91" i="1" s="1"/>
  <c r="BD91" i="1"/>
  <c r="BB91" i="1"/>
  <c r="AY91" i="1"/>
  <c r="BC91" i="1" s="1"/>
  <c r="AU91" i="1"/>
  <c r="AT91" i="1"/>
  <c r="AS91" i="1"/>
  <c r="AP91" i="1"/>
  <c r="AL91" i="1"/>
  <c r="AK91" i="1"/>
  <c r="AJ91" i="1"/>
  <c r="AG91" i="1"/>
  <c r="AC91" i="1"/>
  <c r="AA91" i="1"/>
  <c r="X91" i="1"/>
  <c r="T91" i="1"/>
  <c r="R91" i="1"/>
  <c r="O91" i="1"/>
  <c r="K91" i="1"/>
  <c r="I91" i="1"/>
  <c r="F91" i="1"/>
  <c r="J91" i="1" s="1"/>
  <c r="DF90" i="1"/>
  <c r="DE90" i="1"/>
  <c r="DD90" i="1"/>
  <c r="DA90" i="1"/>
  <c r="CW90" i="1"/>
  <c r="CV90" i="1"/>
  <c r="CU90" i="1"/>
  <c r="CR90" i="1"/>
  <c r="CN90" i="1"/>
  <c r="CL90" i="1"/>
  <c r="CM90" i="1" s="1"/>
  <c r="CI90" i="1"/>
  <c r="CE90" i="1"/>
  <c r="CC90" i="1"/>
  <c r="BZ90" i="1"/>
  <c r="CD90" i="1" s="1"/>
  <c r="BV90" i="1"/>
  <c r="BT90" i="1"/>
  <c r="BQ90" i="1"/>
  <c r="BM90" i="1"/>
  <c r="BL90" i="1"/>
  <c r="BK90" i="1"/>
  <c r="BD90" i="1"/>
  <c r="BC90" i="1"/>
  <c r="BB90" i="1"/>
  <c r="AY90" i="1"/>
  <c r="AU90" i="1"/>
  <c r="AS90" i="1"/>
  <c r="AT90" i="1" s="1"/>
  <c r="AP90" i="1"/>
  <c r="AL90" i="1"/>
  <c r="AK90" i="1"/>
  <c r="AJ90" i="1"/>
  <c r="AG90" i="1"/>
  <c r="AC90" i="1"/>
  <c r="AA90" i="1"/>
  <c r="X90" i="1"/>
  <c r="AB90" i="1" s="1"/>
  <c r="T90" i="1"/>
  <c r="R90" i="1"/>
  <c r="O90" i="1"/>
  <c r="K90" i="1"/>
  <c r="I90" i="1"/>
  <c r="J90" i="1" s="1"/>
  <c r="F90" i="1"/>
  <c r="DF89" i="1"/>
  <c r="DE89" i="1"/>
  <c r="DD89" i="1"/>
  <c r="DA89" i="1"/>
  <c r="CW89" i="1"/>
  <c r="CV89" i="1"/>
  <c r="CU89" i="1"/>
  <c r="CR89" i="1"/>
  <c r="CN89" i="1"/>
  <c r="CL89" i="1"/>
  <c r="CI89" i="1"/>
  <c r="CM89" i="1" s="1"/>
  <c r="CE89" i="1"/>
  <c r="CD89" i="1"/>
  <c r="CC89" i="1"/>
  <c r="BZ89" i="1"/>
  <c r="BV89" i="1"/>
  <c r="BU89" i="1"/>
  <c r="BT89" i="1"/>
  <c r="BQ89" i="1"/>
  <c r="BM89" i="1"/>
  <c r="BL89" i="1"/>
  <c r="BK89" i="1"/>
  <c r="BD89" i="1"/>
  <c r="BC89" i="1"/>
  <c r="BB89" i="1"/>
  <c r="AY89" i="1"/>
  <c r="AU89" i="1"/>
  <c r="AS89" i="1"/>
  <c r="AP89" i="1"/>
  <c r="AT89" i="1" s="1"/>
  <c r="AL89" i="1"/>
  <c r="AK89" i="1"/>
  <c r="AJ89" i="1"/>
  <c r="AG89" i="1"/>
  <c r="AC89" i="1"/>
  <c r="AA89" i="1"/>
  <c r="X89" i="1"/>
  <c r="T89" i="1"/>
  <c r="R89" i="1"/>
  <c r="O89" i="1"/>
  <c r="K89" i="1"/>
  <c r="I89" i="1"/>
  <c r="F89" i="1"/>
  <c r="DF88" i="1"/>
  <c r="DD88" i="1"/>
  <c r="DA88" i="1"/>
  <c r="CW88" i="1"/>
  <c r="CU88" i="1"/>
  <c r="CR88" i="1"/>
  <c r="CV88" i="1" s="1"/>
  <c r="CN88" i="1"/>
  <c r="CL88" i="1"/>
  <c r="CM88" i="1" s="1"/>
  <c r="CI88" i="1"/>
  <c r="CE88" i="1"/>
  <c r="CC88" i="1"/>
  <c r="CD88" i="1" s="1"/>
  <c r="BZ88" i="1"/>
  <c r="BV88" i="1"/>
  <c r="BT88" i="1"/>
  <c r="BU88" i="1" s="1"/>
  <c r="BQ88" i="1"/>
  <c r="BM88" i="1"/>
  <c r="BK88" i="1"/>
  <c r="BL88" i="1" s="1"/>
  <c r="BD88" i="1"/>
  <c r="BC88" i="1"/>
  <c r="BB88" i="1"/>
  <c r="AY88" i="1"/>
  <c r="AU88" i="1"/>
  <c r="AS88" i="1"/>
  <c r="AP88" i="1"/>
  <c r="AT88" i="1" s="1"/>
  <c r="AL88" i="1"/>
  <c r="AK88" i="1"/>
  <c r="AJ88" i="1"/>
  <c r="AG88" i="1"/>
  <c r="AC88" i="1"/>
  <c r="AA88" i="1"/>
  <c r="X88" i="1"/>
  <c r="AB88" i="1" s="1"/>
  <c r="T88" i="1"/>
  <c r="R88" i="1"/>
  <c r="S88" i="1" s="1"/>
  <c r="O88" i="1"/>
  <c r="K88" i="1"/>
  <c r="I88" i="1"/>
  <c r="F88" i="1"/>
  <c r="DF87" i="1"/>
  <c r="DD87" i="1"/>
  <c r="DE87" i="1" s="1"/>
  <c r="DA87" i="1"/>
  <c r="CW87" i="1"/>
  <c r="CU87" i="1"/>
  <c r="CR87" i="1"/>
  <c r="CN87" i="1"/>
  <c r="CL87" i="1"/>
  <c r="CM87" i="1" s="1"/>
  <c r="CI87" i="1"/>
  <c r="CE87" i="1"/>
  <c r="CD87" i="1"/>
  <c r="CC87" i="1"/>
  <c r="BZ87" i="1"/>
  <c r="BV87" i="1"/>
  <c r="BT87" i="1"/>
  <c r="BQ87" i="1"/>
  <c r="BM87" i="1"/>
  <c r="BK87" i="1"/>
  <c r="BL87" i="1" s="1"/>
  <c r="BD87" i="1"/>
  <c r="BC87" i="1"/>
  <c r="BB87" i="1"/>
  <c r="AY87" i="1"/>
  <c r="AU87" i="1"/>
  <c r="AS87" i="1"/>
  <c r="AT87" i="1" s="1"/>
  <c r="AP87" i="1"/>
  <c r="AL87" i="1"/>
  <c r="AK87" i="1"/>
  <c r="AJ87" i="1"/>
  <c r="AG87" i="1"/>
  <c r="AC87" i="1"/>
  <c r="AB87" i="1"/>
  <c r="AA87" i="1"/>
  <c r="X87" i="1"/>
  <c r="T87" i="1"/>
  <c r="R87" i="1"/>
  <c r="O87" i="1"/>
  <c r="K87" i="1"/>
  <c r="I87" i="1"/>
  <c r="F87" i="1"/>
  <c r="J87" i="1" s="1"/>
  <c r="DF86" i="1"/>
  <c r="DD86" i="1"/>
  <c r="DE86" i="1" s="1"/>
  <c r="DA86" i="1"/>
  <c r="CW86" i="1"/>
  <c r="CU86" i="1"/>
  <c r="CR86" i="1"/>
  <c r="CN86" i="1"/>
  <c r="CL86" i="1"/>
  <c r="CI86" i="1"/>
  <c r="CM86" i="1" s="1"/>
  <c r="CE86" i="1"/>
  <c r="CC86" i="1"/>
  <c r="BZ86" i="1"/>
  <c r="CD86" i="1" s="1"/>
  <c r="BV86" i="1"/>
  <c r="BT86" i="1"/>
  <c r="BU86" i="1" s="1"/>
  <c r="BQ86" i="1"/>
  <c r="BM86" i="1"/>
  <c r="BK86" i="1"/>
  <c r="BL86" i="1" s="1"/>
  <c r="BD86" i="1"/>
  <c r="BB86" i="1"/>
  <c r="AY86" i="1"/>
  <c r="BC86" i="1" s="1"/>
  <c r="AU86" i="1"/>
  <c r="AS86" i="1"/>
  <c r="AP86" i="1"/>
  <c r="AL86" i="1"/>
  <c r="AK86" i="1"/>
  <c r="AJ86" i="1"/>
  <c r="AG86" i="1"/>
  <c r="AC86" i="1"/>
  <c r="AA86" i="1"/>
  <c r="X86" i="1"/>
  <c r="T86" i="1"/>
  <c r="R86" i="1"/>
  <c r="O86" i="1"/>
  <c r="S86" i="1" s="1"/>
  <c r="K86" i="1"/>
  <c r="I86" i="1"/>
  <c r="F86" i="1"/>
  <c r="DF85" i="1"/>
  <c r="DD85" i="1"/>
  <c r="DA85" i="1"/>
  <c r="CW85" i="1"/>
  <c r="CU85" i="1"/>
  <c r="CV85" i="1" s="1"/>
  <c r="CR85" i="1"/>
  <c r="CN85" i="1"/>
  <c r="CL85" i="1"/>
  <c r="CI85" i="1"/>
  <c r="CM85" i="1" s="1"/>
  <c r="CE85" i="1"/>
  <c r="CC85" i="1"/>
  <c r="BZ85" i="1"/>
  <c r="BV85" i="1"/>
  <c r="BT85" i="1"/>
  <c r="BQ85" i="1"/>
  <c r="BM85" i="1"/>
  <c r="BL85" i="1"/>
  <c r="BK85" i="1"/>
  <c r="BD85" i="1"/>
  <c r="BB85" i="1"/>
  <c r="AY85" i="1"/>
  <c r="BC85" i="1" s="1"/>
  <c r="AU85" i="1"/>
  <c r="AS85" i="1"/>
  <c r="AP85" i="1"/>
  <c r="AL85" i="1"/>
  <c r="AK85" i="1"/>
  <c r="AJ85" i="1"/>
  <c r="AG85" i="1"/>
  <c r="AC85" i="1"/>
  <c r="AA85" i="1"/>
  <c r="X85" i="1"/>
  <c r="AB85" i="1" s="1"/>
  <c r="T85" i="1"/>
  <c r="R85" i="1"/>
  <c r="O85" i="1"/>
  <c r="K85" i="1"/>
  <c r="I85" i="1"/>
  <c r="F85" i="1"/>
  <c r="J85" i="1" s="1"/>
  <c r="DF84" i="1"/>
  <c r="DE84" i="1"/>
  <c r="DD84" i="1"/>
  <c r="DA84" i="1"/>
  <c r="CW84" i="1"/>
  <c r="CV84" i="1"/>
  <c r="CU84" i="1"/>
  <c r="CR84" i="1"/>
  <c r="CN84" i="1"/>
  <c r="CL84" i="1"/>
  <c r="CI84" i="1"/>
  <c r="CE84" i="1"/>
  <c r="CD84" i="1"/>
  <c r="CC84" i="1"/>
  <c r="BZ84" i="1"/>
  <c r="BV84" i="1"/>
  <c r="BU84" i="1"/>
  <c r="BT84" i="1"/>
  <c r="BQ84" i="1"/>
  <c r="BM84" i="1"/>
  <c r="BK84" i="1"/>
  <c r="BL84" i="1" s="1"/>
  <c r="BD84" i="1"/>
  <c r="BB84" i="1"/>
  <c r="AY84" i="1"/>
  <c r="BC84" i="1" s="1"/>
  <c r="AU84" i="1"/>
  <c r="AT84" i="1"/>
  <c r="AS84" i="1"/>
  <c r="AP84" i="1"/>
  <c r="AL84" i="1"/>
  <c r="AK84" i="1"/>
  <c r="AJ84" i="1"/>
  <c r="AG84" i="1"/>
  <c r="AC84" i="1"/>
  <c r="AA84" i="1"/>
  <c r="X84" i="1"/>
  <c r="T84" i="1"/>
  <c r="R84" i="1"/>
  <c r="O84" i="1"/>
  <c r="K84" i="1"/>
  <c r="I84" i="1"/>
  <c r="F84" i="1"/>
  <c r="DF83" i="1"/>
  <c r="DD83" i="1"/>
  <c r="DE83" i="1" s="1"/>
  <c r="DA83" i="1"/>
  <c r="CW83" i="1"/>
  <c r="CU83" i="1"/>
  <c r="CV83" i="1" s="1"/>
  <c r="CR83" i="1"/>
  <c r="CN83" i="1"/>
  <c r="CL83" i="1"/>
  <c r="CI83" i="1"/>
  <c r="CM83" i="1" s="1"/>
  <c r="CE83" i="1"/>
  <c r="CC83" i="1"/>
  <c r="BZ83" i="1"/>
  <c r="CD83" i="1" s="1"/>
  <c r="BV83" i="1"/>
  <c r="BT83" i="1"/>
  <c r="BQ83" i="1"/>
  <c r="BU83" i="1" s="1"/>
  <c r="BM83" i="1"/>
  <c r="BK83" i="1"/>
  <c r="BL83" i="1" s="1"/>
  <c r="BD83" i="1"/>
  <c r="BB83" i="1"/>
  <c r="AY83" i="1"/>
  <c r="BC83" i="1" s="1"/>
  <c r="AU83" i="1"/>
  <c r="AS83" i="1"/>
  <c r="AT83" i="1" s="1"/>
  <c r="AP83" i="1"/>
  <c r="AL83" i="1"/>
  <c r="AK83" i="1"/>
  <c r="AJ83" i="1"/>
  <c r="AG83" i="1"/>
  <c r="AC83" i="1"/>
  <c r="AA83" i="1"/>
  <c r="X83" i="1"/>
  <c r="AB83" i="1" s="1"/>
  <c r="T83" i="1"/>
  <c r="R83" i="1"/>
  <c r="O83" i="1"/>
  <c r="K83" i="1"/>
  <c r="I83" i="1"/>
  <c r="F83" i="1"/>
  <c r="J83" i="1" s="1"/>
  <c r="DF82" i="1"/>
  <c r="DD82" i="1"/>
  <c r="DA82" i="1"/>
  <c r="DE82" i="1" s="1"/>
  <c r="CW82" i="1"/>
  <c r="CU82" i="1"/>
  <c r="CR82" i="1"/>
  <c r="CN82" i="1"/>
  <c r="CL82" i="1"/>
  <c r="CI82" i="1"/>
  <c r="CM82" i="1" s="1"/>
  <c r="CE82" i="1"/>
  <c r="CC82" i="1"/>
  <c r="BZ82" i="1"/>
  <c r="CD82" i="1" s="1"/>
  <c r="BV82" i="1"/>
  <c r="BT82" i="1"/>
  <c r="BQ82" i="1"/>
  <c r="BU82" i="1" s="1"/>
  <c r="BM82" i="1"/>
  <c r="BK82" i="1"/>
  <c r="BL82" i="1"/>
  <c r="BD82" i="1"/>
  <c r="BB82" i="1"/>
  <c r="AY82" i="1"/>
  <c r="BC82" i="1" s="1"/>
  <c r="AU82" i="1"/>
  <c r="AS82" i="1"/>
  <c r="AP82" i="1"/>
  <c r="AT82" i="1" s="1"/>
  <c r="AL82" i="1"/>
  <c r="AK82" i="1"/>
  <c r="AJ82" i="1"/>
  <c r="AG82" i="1"/>
  <c r="AC82" i="1"/>
  <c r="AA82" i="1"/>
  <c r="X82" i="1"/>
  <c r="T82" i="1"/>
  <c r="R82" i="1"/>
  <c r="O82" i="1"/>
  <c r="K82" i="1"/>
  <c r="I82" i="1"/>
  <c r="F82" i="1"/>
  <c r="DF81" i="1"/>
  <c r="DE81" i="1"/>
  <c r="DD81" i="1"/>
  <c r="DA81" i="1"/>
  <c r="CW81" i="1"/>
  <c r="CU81" i="1"/>
  <c r="CR81" i="1"/>
  <c r="CV81" i="1" s="1"/>
  <c r="CN81" i="1"/>
  <c r="CL81" i="1"/>
  <c r="CI81" i="1"/>
  <c r="CM81" i="1" s="1"/>
  <c r="CE81" i="1"/>
  <c r="CC81" i="1"/>
  <c r="BZ81" i="1"/>
  <c r="CD81" i="1" s="1"/>
  <c r="BV81" i="1"/>
  <c r="BU81" i="1"/>
  <c r="BT81" i="1"/>
  <c r="BQ81" i="1"/>
  <c r="BM81" i="1"/>
  <c r="BK81" i="1"/>
  <c r="BD81" i="1"/>
  <c r="BB81" i="1"/>
  <c r="AY81" i="1"/>
  <c r="BC81" i="1" s="1"/>
  <c r="AU81" i="1"/>
  <c r="AS81" i="1"/>
  <c r="AP81" i="1"/>
  <c r="AT81" i="1" s="1"/>
  <c r="AL81" i="1"/>
  <c r="AK81" i="1"/>
  <c r="AJ81" i="1"/>
  <c r="AG81" i="1"/>
  <c r="AC81" i="1"/>
  <c r="AA81" i="1"/>
  <c r="X81" i="1"/>
  <c r="AB81" i="1" s="1"/>
  <c r="T81" i="1"/>
  <c r="R81" i="1"/>
  <c r="O81" i="1"/>
  <c r="K81" i="1"/>
  <c r="I81" i="1"/>
  <c r="F81" i="1"/>
  <c r="J81" i="1" s="1"/>
  <c r="DF80" i="1"/>
  <c r="DD80" i="1"/>
  <c r="DA80" i="1"/>
  <c r="CW80" i="1"/>
  <c r="CV80" i="1"/>
  <c r="CU80" i="1"/>
  <c r="CR80" i="1"/>
  <c r="CN80" i="1"/>
  <c r="CL80" i="1"/>
  <c r="CI80" i="1"/>
  <c r="CM80" i="1" s="1"/>
  <c r="CE80" i="1"/>
  <c r="CC80" i="1"/>
  <c r="CD80" i="1" s="1"/>
  <c r="BZ80" i="1"/>
  <c r="BV80" i="1"/>
  <c r="BT80" i="1"/>
  <c r="BQ80" i="1"/>
  <c r="BM80" i="1"/>
  <c r="BK80" i="1"/>
  <c r="BL80" i="1" s="1"/>
  <c r="BD80" i="1"/>
  <c r="BB80" i="1"/>
  <c r="AY80" i="1"/>
  <c r="BC80" i="1" s="1"/>
  <c r="AU80" i="1"/>
  <c r="AS80" i="1"/>
  <c r="AT80" i="1" s="1"/>
  <c r="AP80" i="1"/>
  <c r="AL80" i="1"/>
  <c r="AK80" i="1"/>
  <c r="AJ80" i="1"/>
  <c r="AG80" i="1"/>
  <c r="AC80" i="1"/>
  <c r="AA80" i="1"/>
  <c r="X80" i="1"/>
  <c r="T80" i="1"/>
  <c r="R80" i="1"/>
  <c r="O80" i="1"/>
  <c r="K80" i="1"/>
  <c r="I80" i="1"/>
  <c r="F80" i="1"/>
  <c r="DF79" i="1"/>
  <c r="DD79" i="1"/>
  <c r="DE79" i="1" s="1"/>
  <c r="DA79" i="1"/>
  <c r="CW79" i="1"/>
  <c r="CU79" i="1"/>
  <c r="CR79" i="1"/>
  <c r="CV79" i="1" s="1"/>
  <c r="CN79" i="1"/>
  <c r="CL79" i="1"/>
  <c r="CM79" i="1" s="1"/>
  <c r="CI79" i="1"/>
  <c r="CE79" i="1"/>
  <c r="CC79" i="1"/>
  <c r="CD79" i="1" s="1"/>
  <c r="BZ79" i="1"/>
  <c r="BV79" i="1"/>
  <c r="BT79" i="1"/>
  <c r="BQ79" i="1"/>
  <c r="BM79" i="1"/>
  <c r="BL79" i="1"/>
  <c r="BK79" i="1"/>
  <c r="BD79" i="1"/>
  <c r="BB79" i="1"/>
  <c r="AY79" i="1"/>
  <c r="BC79" i="1" s="1"/>
  <c r="AU79" i="1"/>
  <c r="AT79" i="1"/>
  <c r="AS79" i="1"/>
  <c r="AP79" i="1"/>
  <c r="AL79" i="1"/>
  <c r="AK79" i="1"/>
  <c r="AJ79" i="1"/>
  <c r="AG79" i="1"/>
  <c r="AC79" i="1"/>
  <c r="AA79" i="1"/>
  <c r="AB79" i="1" s="1"/>
  <c r="X79" i="1"/>
  <c r="T79" i="1"/>
  <c r="R79" i="1"/>
  <c r="O79" i="1"/>
  <c r="K79" i="1"/>
  <c r="I79" i="1"/>
  <c r="F79" i="1"/>
  <c r="DF78" i="1"/>
  <c r="DD78" i="1"/>
  <c r="DA78" i="1"/>
  <c r="CW78" i="1"/>
  <c r="CU78" i="1"/>
  <c r="CR78" i="1"/>
  <c r="CN78" i="1"/>
  <c r="CL78" i="1"/>
  <c r="CI78" i="1"/>
  <c r="CE78" i="1"/>
  <c r="CC78" i="1"/>
  <c r="BZ78" i="1"/>
  <c r="BV78" i="1"/>
  <c r="BT78" i="1"/>
  <c r="BQ78" i="1"/>
  <c r="BU78" i="1" s="1"/>
  <c r="BM78" i="1"/>
  <c r="BK78" i="1"/>
  <c r="BL78" i="1" s="1"/>
  <c r="BD78" i="1"/>
  <c r="BB78" i="1"/>
  <c r="AY78" i="1"/>
  <c r="BC78" i="1" s="1"/>
  <c r="AU78" i="1"/>
  <c r="AS78" i="1"/>
  <c r="AP78" i="1"/>
  <c r="AL78" i="1"/>
  <c r="AK78" i="1"/>
  <c r="AJ78" i="1"/>
  <c r="AG78" i="1"/>
  <c r="AC78" i="1"/>
  <c r="AA78" i="1"/>
  <c r="X78" i="1"/>
  <c r="AB78" i="1" s="1"/>
  <c r="T78" i="1"/>
  <c r="R78" i="1"/>
  <c r="O78" i="1"/>
  <c r="K78" i="1"/>
  <c r="I78" i="1"/>
  <c r="F78" i="1"/>
  <c r="DF77" i="1"/>
  <c r="DD77" i="1"/>
  <c r="DE77" i="1" s="1"/>
  <c r="DA77" i="1"/>
  <c r="CW77" i="1"/>
  <c r="CU77" i="1"/>
  <c r="CV77" i="1" s="1"/>
  <c r="CR77" i="1"/>
  <c r="CN77" i="1"/>
  <c r="CL77" i="1"/>
  <c r="CM77" i="1" s="1"/>
  <c r="CI77" i="1"/>
  <c r="CE77" i="1"/>
  <c r="CC77" i="1"/>
  <c r="BZ77" i="1"/>
  <c r="CD77" i="1" s="1"/>
  <c r="BV77" i="1"/>
  <c r="BT77" i="1"/>
  <c r="BQ77" i="1"/>
  <c r="BU77" i="1" s="1"/>
  <c r="BM77" i="1"/>
  <c r="BK77" i="1"/>
  <c r="BD77" i="1"/>
  <c r="BB77" i="1"/>
  <c r="AY77" i="1"/>
  <c r="BC77" i="1" s="1"/>
  <c r="AU77" i="1"/>
  <c r="AS77" i="1"/>
  <c r="AP77" i="1"/>
  <c r="AL77" i="1"/>
  <c r="AK77" i="1"/>
  <c r="AJ77" i="1"/>
  <c r="AG77" i="1"/>
  <c r="AC77" i="1"/>
  <c r="AB77" i="1"/>
  <c r="AA77" i="1"/>
  <c r="X77" i="1"/>
  <c r="T77" i="1"/>
  <c r="R77" i="1"/>
  <c r="O77" i="1"/>
  <c r="K77" i="1"/>
  <c r="I77" i="1"/>
  <c r="F77" i="1"/>
  <c r="J77" i="1" s="1"/>
  <c r="DF76" i="1"/>
  <c r="DD76" i="1"/>
  <c r="DA76" i="1"/>
  <c r="CW76" i="1"/>
  <c r="CV76" i="1"/>
  <c r="CU76" i="1"/>
  <c r="CR76" i="1"/>
  <c r="CN76" i="1"/>
  <c r="CL76" i="1"/>
  <c r="CM76" i="1" s="1"/>
  <c r="CI76" i="1"/>
  <c r="CE76" i="1"/>
  <c r="CC76" i="1"/>
  <c r="BZ76" i="1"/>
  <c r="CD76" i="1" s="1"/>
  <c r="BV76" i="1"/>
  <c r="BU76" i="1"/>
  <c r="BT76" i="1"/>
  <c r="BQ76" i="1"/>
  <c r="BM76" i="1"/>
  <c r="BK76" i="1"/>
  <c r="BL76" i="1"/>
  <c r="BD76" i="1"/>
  <c r="BC76" i="1"/>
  <c r="BB76" i="1"/>
  <c r="AY76" i="1"/>
  <c r="AU76" i="1"/>
  <c r="AS76" i="1"/>
  <c r="AT76" i="1" s="1"/>
  <c r="AP76" i="1"/>
  <c r="AL76" i="1"/>
  <c r="AK76" i="1"/>
  <c r="AJ76" i="1"/>
  <c r="AG76" i="1"/>
  <c r="AC76" i="1"/>
  <c r="AA76" i="1"/>
  <c r="X76" i="1"/>
  <c r="T76" i="1"/>
  <c r="R76" i="1"/>
  <c r="O76" i="1"/>
  <c r="K76" i="1"/>
  <c r="I76" i="1"/>
  <c r="F76" i="1"/>
  <c r="DF75" i="1"/>
  <c r="DD75" i="1"/>
  <c r="DA75" i="1"/>
  <c r="CW75" i="1"/>
  <c r="CU75" i="1"/>
  <c r="CV75" i="1" s="1"/>
  <c r="CR75" i="1"/>
  <c r="CN75" i="1"/>
  <c r="CL75" i="1"/>
  <c r="CI75" i="1"/>
  <c r="CE75" i="1"/>
  <c r="CC75" i="1"/>
  <c r="BZ75" i="1"/>
  <c r="BV75" i="1"/>
  <c r="BT75" i="1"/>
  <c r="BU75" i="1" s="1"/>
  <c r="BQ75" i="1"/>
  <c r="BM75" i="1"/>
  <c r="BK75" i="1"/>
  <c r="BL75" i="1" s="1"/>
  <c r="BD75" i="1"/>
  <c r="BC75" i="1"/>
  <c r="BB75" i="1"/>
  <c r="AY75" i="1"/>
  <c r="AU75" i="1"/>
  <c r="AS75" i="1"/>
  <c r="AP75" i="1"/>
  <c r="AT75" i="1" s="1"/>
  <c r="AL75" i="1"/>
  <c r="AK75" i="1"/>
  <c r="AJ75" i="1"/>
  <c r="AG75" i="1"/>
  <c r="AC75" i="1"/>
  <c r="AA75" i="1"/>
  <c r="X75" i="1"/>
  <c r="AB75" i="1" s="1"/>
  <c r="T75" i="1"/>
  <c r="R75" i="1"/>
  <c r="O75" i="1"/>
  <c r="K75" i="1"/>
  <c r="I75" i="1"/>
  <c r="F75" i="1"/>
  <c r="J75" i="1" s="1"/>
  <c r="DF74" i="1"/>
  <c r="DD74" i="1"/>
  <c r="DE74" i="1" s="1"/>
  <c r="DA74" i="1"/>
  <c r="CW74" i="1"/>
  <c r="CV74" i="1"/>
  <c r="CU74" i="1"/>
  <c r="CR74" i="1"/>
  <c r="CN74" i="1"/>
  <c r="CL74" i="1"/>
  <c r="CI74" i="1"/>
  <c r="CM74" i="1" s="1"/>
  <c r="CE74" i="1"/>
  <c r="CC74" i="1"/>
  <c r="BZ74" i="1"/>
  <c r="BV74" i="1"/>
  <c r="BT74" i="1"/>
  <c r="BQ74" i="1"/>
  <c r="BM74" i="1"/>
  <c r="BK74" i="1"/>
  <c r="BL74" i="1" s="1"/>
  <c r="BD74" i="1"/>
  <c r="BC74" i="1"/>
  <c r="BB74" i="1"/>
  <c r="AY74" i="1"/>
  <c r="AU74" i="1"/>
  <c r="AS74" i="1"/>
  <c r="AP74" i="1"/>
  <c r="AT74" i="1" s="1"/>
  <c r="AL74" i="1"/>
  <c r="AK74" i="1"/>
  <c r="AJ74" i="1"/>
  <c r="AG74" i="1"/>
  <c r="AC74" i="1"/>
  <c r="AA74" i="1"/>
  <c r="X74" i="1"/>
  <c r="T74" i="1"/>
  <c r="R74" i="1"/>
  <c r="O74" i="1"/>
  <c r="K74" i="1"/>
  <c r="I74" i="1"/>
  <c r="F74" i="1"/>
  <c r="DF73" i="1"/>
  <c r="DE73" i="1"/>
  <c r="DD73" i="1"/>
  <c r="DA73" i="1"/>
  <c r="CW73" i="1"/>
  <c r="CU73" i="1"/>
  <c r="CR73" i="1"/>
  <c r="CN73" i="1"/>
  <c r="CL73" i="1"/>
  <c r="CI73" i="1"/>
  <c r="CM73" i="1" s="1"/>
  <c r="CE73" i="1"/>
  <c r="CD73" i="1"/>
  <c r="CC73" i="1"/>
  <c r="BZ73" i="1"/>
  <c r="BV73" i="1"/>
  <c r="BT73" i="1"/>
  <c r="BU73" i="1" s="1"/>
  <c r="BQ73" i="1"/>
  <c r="BM73" i="1"/>
  <c r="BK73" i="1"/>
  <c r="BD73" i="1"/>
  <c r="BC73" i="1"/>
  <c r="BB73" i="1"/>
  <c r="AY73" i="1"/>
  <c r="AU73" i="1"/>
  <c r="AS73" i="1"/>
  <c r="AT73" i="1" s="1"/>
  <c r="AP73" i="1"/>
  <c r="AL73" i="1"/>
  <c r="AK73" i="1"/>
  <c r="AJ73" i="1"/>
  <c r="AG73" i="1"/>
  <c r="AC73" i="1"/>
  <c r="AA73" i="1"/>
  <c r="X73" i="1"/>
  <c r="AB73" i="1" s="1"/>
  <c r="T73" i="1"/>
  <c r="R73" i="1"/>
  <c r="O73" i="1"/>
  <c r="K73" i="1"/>
  <c r="I73" i="1"/>
  <c r="F73" i="1"/>
  <c r="J73" i="1" s="1"/>
  <c r="DF72" i="1"/>
  <c r="DD72" i="1"/>
  <c r="DA72" i="1"/>
  <c r="DE72" i="1" s="1"/>
  <c r="CW72" i="1"/>
  <c r="CU72" i="1"/>
  <c r="CR72" i="1"/>
  <c r="CV72" i="1" s="1"/>
  <c r="CN72" i="1"/>
  <c r="CL72" i="1"/>
  <c r="CM72" i="1" s="1"/>
  <c r="CI72" i="1"/>
  <c r="CE72" i="1"/>
  <c r="CC72" i="1"/>
  <c r="CD72" i="1" s="1"/>
  <c r="BZ72" i="1"/>
  <c r="BV72" i="1"/>
  <c r="BT72" i="1"/>
  <c r="BQ72" i="1"/>
  <c r="BM72" i="1"/>
  <c r="BK72" i="1"/>
  <c r="BL72" i="1" s="1"/>
  <c r="BD72" i="1"/>
  <c r="BC72" i="1"/>
  <c r="BB72" i="1"/>
  <c r="AY72" i="1"/>
  <c r="AU72" i="1"/>
  <c r="AT72" i="1"/>
  <c r="AS72" i="1"/>
  <c r="AP72" i="1"/>
  <c r="AL72" i="1"/>
  <c r="AK72" i="1"/>
  <c r="AJ72" i="1"/>
  <c r="AG72" i="1"/>
  <c r="AC72" i="1"/>
  <c r="AA72" i="1"/>
  <c r="X72" i="1"/>
  <c r="T72" i="1"/>
  <c r="S72" i="1"/>
  <c r="R72" i="1"/>
  <c r="O72" i="1"/>
  <c r="K72" i="1"/>
  <c r="I72" i="1"/>
  <c r="F72" i="1"/>
  <c r="J72" i="1" s="1"/>
  <c r="DF71" i="1"/>
  <c r="DD71" i="1"/>
  <c r="DA71" i="1"/>
  <c r="CW71" i="1"/>
  <c r="CU71" i="1"/>
  <c r="CR71" i="1"/>
  <c r="CV71" i="1" s="1"/>
  <c r="CN71" i="1"/>
  <c r="CL71" i="1"/>
  <c r="CI71" i="1"/>
  <c r="CE71" i="1"/>
  <c r="CD71" i="1"/>
  <c r="CC71" i="1"/>
  <c r="BZ71" i="1"/>
  <c r="BV71" i="1"/>
  <c r="BT71" i="1"/>
  <c r="BQ71" i="1"/>
  <c r="BU71" i="1" s="1"/>
  <c r="BM71" i="1"/>
  <c r="BK71" i="1"/>
  <c r="BL71" i="1" s="1"/>
  <c r="BD71" i="1"/>
  <c r="BB71" i="1"/>
  <c r="AY71" i="1"/>
  <c r="BC71" i="1" s="1"/>
  <c r="AU71" i="1"/>
  <c r="AS71" i="1"/>
  <c r="AP71" i="1"/>
  <c r="AT71" i="1" s="1"/>
  <c r="AL71" i="1"/>
  <c r="AK71" i="1"/>
  <c r="AJ71" i="1"/>
  <c r="AG71" i="1"/>
  <c r="AC71" i="1"/>
  <c r="AA71" i="1"/>
  <c r="X71" i="1"/>
  <c r="T71" i="1"/>
  <c r="R71" i="1"/>
  <c r="O71" i="1"/>
  <c r="K71" i="1"/>
  <c r="I71" i="1"/>
  <c r="F71" i="1"/>
  <c r="J71" i="1" s="1"/>
  <c r="DF70" i="1"/>
  <c r="DD70" i="1"/>
  <c r="DE70" i="1" s="1"/>
  <c r="DA70" i="1"/>
  <c r="CW70" i="1"/>
  <c r="CU70" i="1"/>
  <c r="CR70" i="1"/>
  <c r="CN70" i="1"/>
  <c r="CL70" i="1"/>
  <c r="CI70" i="1"/>
  <c r="CM70" i="1" s="1"/>
  <c r="CE70" i="1"/>
  <c r="CD70" i="1"/>
  <c r="CC70" i="1"/>
  <c r="BZ70" i="1"/>
  <c r="BV70" i="1"/>
  <c r="BT70" i="1"/>
  <c r="BQ70" i="1"/>
  <c r="BU70" i="1" s="1"/>
  <c r="BM70" i="1"/>
  <c r="BK70" i="1"/>
  <c r="BL70" i="1" s="1"/>
  <c r="BD70" i="1"/>
  <c r="BB70" i="1"/>
  <c r="AY70" i="1"/>
  <c r="BC70" i="1" s="1"/>
  <c r="AU70" i="1"/>
  <c r="AS70" i="1"/>
  <c r="AT70" i="1" s="1"/>
  <c r="AP70" i="1"/>
  <c r="AL70" i="1"/>
  <c r="AK70" i="1"/>
  <c r="AJ70" i="1"/>
  <c r="AG70" i="1"/>
  <c r="AC70" i="1"/>
  <c r="AA70" i="1"/>
  <c r="X70" i="1"/>
  <c r="AB70" i="1" s="1"/>
  <c r="T70" i="1"/>
  <c r="R70" i="1"/>
  <c r="O70" i="1"/>
  <c r="K70" i="1"/>
  <c r="I70" i="1"/>
  <c r="F70" i="1"/>
  <c r="DF69" i="1"/>
  <c r="DD69" i="1"/>
  <c r="DA69" i="1"/>
  <c r="CW69" i="1"/>
  <c r="CU69" i="1"/>
  <c r="CR69" i="1"/>
  <c r="CV69" i="1" s="1"/>
  <c r="CN69" i="1"/>
  <c r="CL69" i="1"/>
  <c r="CI69" i="1"/>
  <c r="CM69" i="1" s="1"/>
  <c r="CE69" i="1"/>
  <c r="CD69" i="1"/>
  <c r="CC69" i="1"/>
  <c r="BZ69" i="1"/>
  <c r="BV69" i="1"/>
  <c r="BT69" i="1"/>
  <c r="BU69" i="1" s="1"/>
  <c r="BQ69" i="1"/>
  <c r="BM69" i="1"/>
  <c r="BK69" i="1"/>
  <c r="BD69" i="1"/>
  <c r="BB69" i="1"/>
  <c r="AY69" i="1"/>
  <c r="BC69" i="1" s="1"/>
  <c r="AU69" i="1"/>
  <c r="AS69" i="1"/>
  <c r="AT69" i="1" s="1"/>
  <c r="AP69" i="1"/>
  <c r="AL69" i="1"/>
  <c r="AK69" i="1"/>
  <c r="AJ69" i="1"/>
  <c r="AG69" i="1"/>
  <c r="AC69" i="1"/>
  <c r="AA69" i="1"/>
  <c r="X69" i="1"/>
  <c r="T69" i="1"/>
  <c r="R69" i="1"/>
  <c r="O69" i="1"/>
  <c r="K69" i="1"/>
  <c r="I69" i="1"/>
  <c r="F69" i="1"/>
  <c r="J69" i="1" s="1"/>
  <c r="DF68" i="1"/>
  <c r="DE68" i="1"/>
  <c r="DD68" i="1"/>
  <c r="DA68" i="1"/>
  <c r="CW68" i="1"/>
  <c r="CV68" i="1"/>
  <c r="CU68" i="1"/>
  <c r="CR68" i="1"/>
  <c r="CN68" i="1"/>
  <c r="CL68" i="1"/>
  <c r="CI68" i="1"/>
  <c r="CM68" i="1" s="1"/>
  <c r="CE68" i="1"/>
  <c r="CD68" i="1"/>
  <c r="CC68" i="1"/>
  <c r="BZ68" i="1"/>
  <c r="BV68" i="1"/>
  <c r="BU68" i="1"/>
  <c r="BT68" i="1"/>
  <c r="BQ68" i="1"/>
  <c r="BM68" i="1"/>
  <c r="BK68" i="1"/>
  <c r="BL68" i="1" s="1"/>
  <c r="BD68" i="1"/>
  <c r="BB68" i="1"/>
  <c r="AY68" i="1"/>
  <c r="BC68" i="1" s="1"/>
  <c r="AU68" i="1"/>
  <c r="AS68" i="1"/>
  <c r="AP68" i="1"/>
  <c r="AL68" i="1"/>
  <c r="AK68" i="1"/>
  <c r="AJ68" i="1"/>
  <c r="AG68" i="1"/>
  <c r="AC68" i="1"/>
  <c r="AA68" i="1"/>
  <c r="X68" i="1"/>
  <c r="AB68" i="1" s="1"/>
  <c r="T68" i="1"/>
  <c r="R68" i="1"/>
  <c r="S68" i="1" s="1"/>
  <c r="O68" i="1"/>
  <c r="K68" i="1"/>
  <c r="I68" i="1"/>
  <c r="F68" i="1"/>
  <c r="DF67" i="1"/>
  <c r="DE67" i="1"/>
  <c r="DD67" i="1"/>
  <c r="DA67" i="1"/>
  <c r="CW67" i="1"/>
  <c r="CV67" i="1"/>
  <c r="CU67" i="1"/>
  <c r="CR67" i="1"/>
  <c r="CN67" i="1"/>
  <c r="CL67" i="1"/>
  <c r="CI67" i="1"/>
  <c r="CM67" i="1" s="1"/>
  <c r="CE67" i="1"/>
  <c r="CC67" i="1"/>
  <c r="CD67" i="1" s="1"/>
  <c r="BZ67" i="1"/>
  <c r="BV67" i="1"/>
  <c r="BT67" i="1"/>
  <c r="BQ67" i="1"/>
  <c r="BM67" i="1"/>
  <c r="BK67" i="1"/>
  <c r="BL67" i="1" s="1"/>
  <c r="BD67" i="1"/>
  <c r="BB67" i="1"/>
  <c r="AY67" i="1"/>
  <c r="BC67" i="1" s="1"/>
  <c r="AU67" i="1"/>
  <c r="AS67" i="1"/>
  <c r="AP67" i="1"/>
  <c r="AL67" i="1"/>
  <c r="AK67" i="1"/>
  <c r="AJ67" i="1"/>
  <c r="AG67" i="1"/>
  <c r="AC67" i="1"/>
  <c r="AA67" i="1"/>
  <c r="X67" i="1"/>
  <c r="T67" i="1"/>
  <c r="R67" i="1"/>
  <c r="O67" i="1"/>
  <c r="K67" i="1"/>
  <c r="I67" i="1"/>
  <c r="F67" i="1"/>
  <c r="J67" i="1" s="1"/>
  <c r="DF66" i="1"/>
  <c r="DD66" i="1"/>
  <c r="DA66" i="1"/>
  <c r="CW66" i="1"/>
  <c r="CU66" i="1"/>
  <c r="CR66" i="1"/>
  <c r="CV66" i="1" s="1"/>
  <c r="CN66" i="1"/>
  <c r="CL66" i="1"/>
  <c r="CI66" i="1"/>
  <c r="CM66" i="1" s="1"/>
  <c r="CE66" i="1"/>
  <c r="CC66" i="1"/>
  <c r="CD66" i="1" s="1"/>
  <c r="BZ66" i="1"/>
  <c r="BV66" i="1"/>
  <c r="BT66" i="1"/>
  <c r="BQ66" i="1"/>
  <c r="BM66" i="1"/>
  <c r="BL66" i="1"/>
  <c r="BK66" i="1"/>
  <c r="BD66" i="1"/>
  <c r="BB66" i="1"/>
  <c r="AY66" i="1"/>
  <c r="BC66" i="1" s="1"/>
  <c r="AU66" i="1"/>
  <c r="AT66" i="1"/>
  <c r="AS66" i="1"/>
  <c r="AP66" i="1"/>
  <c r="AL66" i="1"/>
  <c r="AK66" i="1"/>
  <c r="AJ66" i="1"/>
  <c r="AG66" i="1"/>
  <c r="AC66" i="1"/>
  <c r="AA66" i="1"/>
  <c r="X66" i="1"/>
  <c r="AB66" i="1" s="1"/>
  <c r="T66" i="1"/>
  <c r="R66" i="1"/>
  <c r="O66" i="1"/>
  <c r="K66" i="1"/>
  <c r="I66" i="1"/>
  <c r="F66" i="1"/>
  <c r="DF65" i="1"/>
  <c r="DD65" i="1"/>
  <c r="DA65" i="1"/>
  <c r="CW65" i="1"/>
  <c r="CU65" i="1"/>
  <c r="CR65" i="1"/>
  <c r="CV65" i="1" s="1"/>
  <c r="CN65" i="1"/>
  <c r="CL65" i="1"/>
  <c r="CI65" i="1"/>
  <c r="CM65" i="1" s="1"/>
  <c r="CE65" i="1"/>
  <c r="CC65" i="1"/>
  <c r="BZ65" i="1"/>
  <c r="BV65" i="1"/>
  <c r="BT65" i="1"/>
  <c r="BQ65" i="1"/>
  <c r="BU65" i="1" s="1"/>
  <c r="BM65" i="1"/>
  <c r="BK65" i="1"/>
  <c r="BD65" i="1"/>
  <c r="BB65" i="1"/>
  <c r="AY65" i="1"/>
  <c r="BC65" i="1" s="1"/>
  <c r="AU65" i="1"/>
  <c r="AT65" i="1"/>
  <c r="AS65" i="1"/>
  <c r="AP65" i="1"/>
  <c r="AL65" i="1"/>
  <c r="AK65" i="1"/>
  <c r="AJ65" i="1"/>
  <c r="AG65" i="1"/>
  <c r="AC65" i="1"/>
  <c r="AA65" i="1"/>
  <c r="X65" i="1"/>
  <c r="T65" i="1"/>
  <c r="R65" i="1"/>
  <c r="O65" i="1"/>
  <c r="S65" i="1" s="1"/>
  <c r="K65" i="1"/>
  <c r="I65" i="1"/>
  <c r="F65" i="1"/>
  <c r="J65" i="1" s="1"/>
  <c r="DF64" i="1"/>
  <c r="DD64" i="1"/>
  <c r="DE64" i="1" s="1"/>
  <c r="DA64" i="1"/>
  <c r="CW64" i="1"/>
  <c r="CV64" i="1"/>
  <c r="CU64" i="1"/>
  <c r="CR64" i="1"/>
  <c r="CN64" i="1"/>
  <c r="CL64" i="1"/>
  <c r="CI64" i="1"/>
  <c r="CM64" i="1" s="1"/>
  <c r="CE64" i="1"/>
  <c r="CD64" i="1"/>
  <c r="CC64" i="1"/>
  <c r="BZ64" i="1"/>
  <c r="BV64" i="1"/>
  <c r="BU64" i="1"/>
  <c r="BT64" i="1"/>
  <c r="BQ64" i="1"/>
  <c r="BM64" i="1"/>
  <c r="BK64" i="1"/>
  <c r="BL64" i="1" s="1"/>
  <c r="BD64" i="1"/>
  <c r="BC64" i="1"/>
  <c r="BB64" i="1"/>
  <c r="AY64" i="1"/>
  <c r="AU64" i="1"/>
  <c r="AS64" i="1"/>
  <c r="AP64" i="1"/>
  <c r="AT64" i="1" s="1"/>
  <c r="AL64" i="1"/>
  <c r="AK64" i="1"/>
  <c r="AJ64" i="1"/>
  <c r="AG64" i="1"/>
  <c r="AC64" i="1"/>
  <c r="AA64" i="1"/>
  <c r="X64" i="1"/>
  <c r="AB64" i="1" s="1"/>
  <c r="T64" i="1"/>
  <c r="R64" i="1"/>
  <c r="O64" i="1"/>
  <c r="S64" i="1" s="1"/>
  <c r="K64" i="1"/>
  <c r="I64" i="1"/>
  <c r="F64" i="1"/>
  <c r="DF63" i="1"/>
  <c r="DE63" i="1"/>
  <c r="DD63" i="1"/>
  <c r="DA63" i="1"/>
  <c r="CW63" i="1"/>
  <c r="CU63" i="1"/>
  <c r="CR63" i="1"/>
  <c r="CN63" i="1"/>
  <c r="CL63" i="1"/>
  <c r="CI63" i="1"/>
  <c r="CM63" i="1" s="1"/>
  <c r="CE63" i="1"/>
  <c r="CC63" i="1"/>
  <c r="BZ63" i="1"/>
  <c r="CD63" i="1" s="1"/>
  <c r="BV63" i="1"/>
  <c r="BT63" i="1"/>
  <c r="BQ63" i="1"/>
  <c r="BU63" i="1" s="1"/>
  <c r="BM63" i="1"/>
  <c r="BL63" i="1"/>
  <c r="BK63" i="1"/>
  <c r="BD63" i="1"/>
  <c r="BC63" i="1"/>
  <c r="BB63" i="1"/>
  <c r="AY63" i="1"/>
  <c r="AU63" i="1"/>
  <c r="AS63" i="1"/>
  <c r="AP63" i="1"/>
  <c r="AT63" i="1" s="1"/>
  <c r="AL63" i="1"/>
  <c r="AK63" i="1"/>
  <c r="AJ63" i="1"/>
  <c r="AG63" i="1"/>
  <c r="AC63" i="1"/>
  <c r="AA63" i="1"/>
  <c r="X63" i="1"/>
  <c r="T63" i="1"/>
  <c r="R63" i="1"/>
  <c r="O63" i="1"/>
  <c r="K63" i="1"/>
  <c r="I63" i="1"/>
  <c r="F63" i="1"/>
  <c r="J63" i="1" s="1"/>
  <c r="DF62" i="1"/>
  <c r="DD62" i="1"/>
  <c r="DE62" i="1" s="1"/>
  <c r="DA62" i="1"/>
  <c r="CW62" i="1"/>
  <c r="CU62" i="1"/>
  <c r="CR62" i="1"/>
  <c r="CN62" i="1"/>
  <c r="CL62" i="1"/>
  <c r="CI62" i="1"/>
  <c r="CM62" i="1" s="1"/>
  <c r="CE62" i="1"/>
  <c r="CC62" i="1"/>
  <c r="CD62" i="1" s="1"/>
  <c r="BZ62" i="1"/>
  <c r="BV62" i="1"/>
  <c r="BU62" i="1"/>
  <c r="BT62" i="1"/>
  <c r="BQ62" i="1"/>
  <c r="BM62" i="1"/>
  <c r="BK62" i="1"/>
  <c r="BL62" i="1" s="1"/>
  <c r="BD62" i="1"/>
  <c r="BC62" i="1"/>
  <c r="BB62" i="1"/>
  <c r="AY62" i="1"/>
  <c r="AU62" i="1"/>
  <c r="AS62" i="1"/>
  <c r="AT62" i="1" s="1"/>
  <c r="AP62" i="1"/>
  <c r="AL62" i="1"/>
  <c r="AK62" i="1"/>
  <c r="AJ62" i="1"/>
  <c r="AG62" i="1"/>
  <c r="AC62" i="1"/>
  <c r="AA62" i="1"/>
  <c r="X62" i="1"/>
  <c r="AB62" i="1" s="1"/>
  <c r="T62" i="1"/>
  <c r="R62" i="1"/>
  <c r="O62" i="1"/>
  <c r="S62" i="1" s="1"/>
  <c r="K62" i="1"/>
  <c r="I62" i="1"/>
  <c r="F62" i="1"/>
  <c r="DF61" i="1"/>
  <c r="DD61" i="1"/>
  <c r="DA61" i="1"/>
  <c r="CW61" i="1"/>
  <c r="CU61" i="1"/>
  <c r="CR61" i="1"/>
  <c r="CV61" i="1" s="1"/>
  <c r="CN61" i="1"/>
  <c r="CL61" i="1"/>
  <c r="CI61" i="1"/>
  <c r="CM61" i="1" s="1"/>
  <c r="CE61" i="1"/>
  <c r="CC61" i="1"/>
  <c r="BZ61" i="1"/>
  <c r="BV61" i="1"/>
  <c r="BT61" i="1"/>
  <c r="BQ61" i="1"/>
  <c r="BU61" i="1" s="1"/>
  <c r="BM61" i="1"/>
  <c r="BK61" i="1"/>
  <c r="BD61" i="1"/>
  <c r="BC61" i="1"/>
  <c r="BB61" i="1"/>
  <c r="AY61" i="1"/>
  <c r="AU61" i="1"/>
  <c r="AS61" i="1"/>
  <c r="AT61" i="1" s="1"/>
  <c r="AP61" i="1"/>
  <c r="AL61" i="1"/>
  <c r="AK61" i="1"/>
  <c r="AJ61" i="1"/>
  <c r="AG61" i="1"/>
  <c r="AC61" i="1"/>
  <c r="AA61" i="1"/>
  <c r="X61" i="1"/>
  <c r="T61" i="1"/>
  <c r="R61" i="1"/>
  <c r="O61" i="1"/>
  <c r="K61" i="1"/>
  <c r="I61" i="1"/>
  <c r="F61" i="1"/>
  <c r="J61" i="1" s="1"/>
  <c r="DF60" i="1"/>
  <c r="DD60" i="1"/>
  <c r="DE60" i="1" s="1"/>
  <c r="DA60" i="1"/>
  <c r="CW60" i="1"/>
  <c r="CV60" i="1"/>
  <c r="CU60" i="1"/>
  <c r="CR60" i="1"/>
  <c r="CN60" i="1"/>
  <c r="CL60" i="1"/>
  <c r="CI60" i="1"/>
  <c r="CM60" i="1" s="1"/>
  <c r="CE60" i="1"/>
  <c r="CC60" i="1"/>
  <c r="BZ60" i="1"/>
  <c r="BV60" i="1"/>
  <c r="BT60" i="1"/>
  <c r="BU60" i="1" s="1"/>
  <c r="BQ60" i="1"/>
  <c r="BM60" i="1"/>
  <c r="BL60" i="1"/>
  <c r="BK60" i="1"/>
  <c r="BD60" i="1"/>
  <c r="BC60" i="1"/>
  <c r="BB60" i="1"/>
  <c r="AY60" i="1"/>
  <c r="AU60" i="1"/>
  <c r="AS60" i="1"/>
  <c r="AP60" i="1"/>
  <c r="AL60" i="1"/>
  <c r="AK60" i="1"/>
  <c r="AJ60" i="1"/>
  <c r="AG60" i="1"/>
  <c r="AC60" i="1"/>
  <c r="AA60" i="1"/>
  <c r="X60" i="1"/>
  <c r="AB60" i="1" s="1"/>
  <c r="T60" i="1"/>
  <c r="R60" i="1"/>
  <c r="S60" i="1" s="1"/>
  <c r="O60" i="1"/>
  <c r="K60" i="1"/>
  <c r="I60" i="1"/>
  <c r="F60" i="1"/>
  <c r="DF59" i="1"/>
  <c r="DD59" i="1"/>
  <c r="DE59" i="1" s="1"/>
  <c r="DA59" i="1"/>
  <c r="CW59" i="1"/>
  <c r="CV59" i="1"/>
  <c r="CU59" i="1"/>
  <c r="CR59" i="1"/>
  <c r="CN59" i="1"/>
  <c r="CL59" i="1"/>
  <c r="CM59" i="1" s="1"/>
  <c r="CI59" i="1"/>
  <c r="CE59" i="1"/>
  <c r="CC59" i="1"/>
  <c r="CD59" i="1" s="1"/>
  <c r="BZ59" i="1"/>
  <c r="BV59" i="1"/>
  <c r="BT59" i="1"/>
  <c r="BU59" i="1" s="1"/>
  <c r="BQ59" i="1"/>
  <c r="BM59" i="1"/>
  <c r="BK59" i="1"/>
  <c r="BL59" i="1" s="1"/>
  <c r="BD59" i="1"/>
  <c r="BC59" i="1"/>
  <c r="BB59" i="1"/>
  <c r="AY59" i="1"/>
  <c r="AU59" i="1"/>
  <c r="AS59" i="1"/>
  <c r="AP59" i="1"/>
  <c r="AL59" i="1"/>
  <c r="AK59" i="1"/>
  <c r="AJ59" i="1"/>
  <c r="AG59" i="1"/>
  <c r="AC59" i="1"/>
  <c r="AA59" i="1"/>
  <c r="X59" i="1"/>
  <c r="T59" i="1"/>
  <c r="R59" i="1"/>
  <c r="S59" i="1" s="1"/>
  <c r="O59" i="1"/>
  <c r="K59" i="1"/>
  <c r="I59" i="1"/>
  <c r="F59" i="1"/>
  <c r="J59" i="1" s="1"/>
  <c r="DF58" i="1"/>
  <c r="DD58" i="1"/>
  <c r="DE58" i="1" s="1"/>
  <c r="DA58" i="1"/>
  <c r="CW58" i="1"/>
  <c r="CV58" i="1"/>
  <c r="CU58" i="1"/>
  <c r="CR58" i="1"/>
  <c r="CN58" i="1"/>
  <c r="CL58" i="1"/>
  <c r="CM58" i="1" s="1"/>
  <c r="CI58" i="1"/>
  <c r="CE58" i="1"/>
  <c r="CC58" i="1"/>
  <c r="BZ58" i="1"/>
  <c r="CD58" i="1" s="1"/>
  <c r="BV58" i="1"/>
  <c r="BT58" i="1"/>
  <c r="BQ58" i="1"/>
  <c r="BM58" i="1"/>
  <c r="BK58" i="1"/>
  <c r="BL58" i="1" s="1"/>
  <c r="BD58" i="1"/>
  <c r="BC58" i="1"/>
  <c r="BB58" i="1"/>
  <c r="AY58" i="1"/>
  <c r="AU58" i="1"/>
  <c r="AT58" i="1"/>
  <c r="AS58" i="1"/>
  <c r="AP58" i="1"/>
  <c r="AL58" i="1"/>
  <c r="AK58" i="1"/>
  <c r="AJ58" i="1"/>
  <c r="AG58" i="1"/>
  <c r="AC58" i="1"/>
  <c r="AA58" i="1"/>
  <c r="AB58" i="1" s="1"/>
  <c r="X58" i="1"/>
  <c r="T58" i="1"/>
  <c r="R58" i="1"/>
  <c r="O58" i="1"/>
  <c r="K58" i="1"/>
  <c r="I58" i="1"/>
  <c r="F58" i="1"/>
  <c r="DF57" i="1"/>
  <c r="DD57" i="1"/>
  <c r="DE57" i="1" s="1"/>
  <c r="DA57" i="1"/>
  <c r="CW57" i="1"/>
  <c r="CV57" i="1"/>
  <c r="CU57" i="1"/>
  <c r="CR57" i="1"/>
  <c r="CN57" i="1"/>
  <c r="CL57" i="1"/>
  <c r="CI57" i="1"/>
  <c r="CM57" i="1" s="1"/>
  <c r="CE57" i="1"/>
  <c r="CD57" i="1"/>
  <c r="CC57" i="1"/>
  <c r="BZ57" i="1"/>
  <c r="BV57" i="1"/>
  <c r="BT57" i="1"/>
  <c r="BU57" i="1" s="1"/>
  <c r="BQ57" i="1"/>
  <c r="BM57" i="1"/>
  <c r="BK57" i="1"/>
  <c r="BL57" i="1" s="1"/>
  <c r="BD57" i="1"/>
  <c r="BB57" i="1"/>
  <c r="AY57" i="1"/>
  <c r="BC57" i="1" s="1"/>
  <c r="AU57" i="1"/>
  <c r="AT57" i="1"/>
  <c r="AS57" i="1"/>
  <c r="AP57" i="1"/>
  <c r="AL57" i="1"/>
  <c r="AK57" i="1"/>
  <c r="AJ57" i="1"/>
  <c r="AG57" i="1"/>
  <c r="AC57" i="1"/>
  <c r="AA57" i="1"/>
  <c r="X57" i="1"/>
  <c r="AB57" i="1" s="1"/>
  <c r="T57" i="1"/>
  <c r="R57" i="1"/>
  <c r="O57" i="1"/>
  <c r="K57" i="1"/>
  <c r="I57" i="1"/>
  <c r="F57" i="1"/>
  <c r="J57" i="1" s="1"/>
  <c r="DF56" i="1"/>
  <c r="DD56" i="1"/>
  <c r="DE56" i="1" s="1"/>
  <c r="DA56" i="1"/>
  <c r="CW56" i="1"/>
  <c r="CV56" i="1"/>
  <c r="CU56" i="1"/>
  <c r="CR56" i="1"/>
  <c r="CN56" i="1"/>
  <c r="CL56" i="1"/>
  <c r="CI56" i="1"/>
  <c r="CM56" i="1" s="1"/>
  <c r="CE56" i="1"/>
  <c r="CD56" i="1"/>
  <c r="CC56" i="1"/>
  <c r="BZ56" i="1"/>
  <c r="BV56" i="1"/>
  <c r="BT56" i="1"/>
  <c r="BQ56" i="1"/>
  <c r="BM56" i="1"/>
  <c r="BK56" i="1"/>
  <c r="BL56" i="1" s="1"/>
  <c r="BD56" i="1"/>
  <c r="BB56" i="1"/>
  <c r="AY56" i="1"/>
  <c r="BC56" i="1" s="1"/>
  <c r="AU56" i="1"/>
  <c r="AS56" i="1"/>
  <c r="AP56" i="1"/>
  <c r="AL56" i="1"/>
  <c r="AK56" i="1"/>
  <c r="AJ56" i="1"/>
  <c r="AG56" i="1"/>
  <c r="AC56" i="1"/>
  <c r="AB56" i="1"/>
  <c r="AA56" i="1"/>
  <c r="X56" i="1"/>
  <c r="T56" i="1"/>
  <c r="R56" i="1"/>
  <c r="O56" i="1"/>
  <c r="S56" i="1" s="1"/>
  <c r="K56" i="1"/>
  <c r="I56" i="1"/>
  <c r="F56" i="1"/>
  <c r="DF55" i="1"/>
  <c r="DD55" i="1"/>
  <c r="DE55" i="1" s="1"/>
  <c r="DA55" i="1"/>
  <c r="CW55" i="1"/>
  <c r="CV55" i="1"/>
  <c r="CU55" i="1"/>
  <c r="CR55" i="1"/>
  <c r="CN55" i="1"/>
  <c r="CL55" i="1"/>
  <c r="CM55" i="1" s="1"/>
  <c r="CI55" i="1"/>
  <c r="CE55" i="1"/>
  <c r="CC55" i="1"/>
  <c r="BZ55" i="1"/>
  <c r="CD55" i="1" s="1"/>
  <c r="BV55" i="1"/>
  <c r="BT55" i="1"/>
  <c r="BU55" i="1" s="1"/>
  <c r="BQ55" i="1"/>
  <c r="BM55" i="1"/>
  <c r="BL55" i="1"/>
  <c r="BK55" i="1"/>
  <c r="BD55" i="1"/>
  <c r="BC55" i="1"/>
  <c r="BB55" i="1"/>
  <c r="AY55" i="1"/>
  <c r="AU55" i="1"/>
  <c r="AS55" i="1"/>
  <c r="AT55" i="1" s="1"/>
  <c r="AP55" i="1"/>
  <c r="AL55" i="1"/>
  <c r="AK55" i="1"/>
  <c r="AJ55" i="1"/>
  <c r="AG55" i="1"/>
  <c r="AC55" i="1"/>
  <c r="AA55" i="1"/>
  <c r="X55" i="1"/>
  <c r="T55" i="1"/>
  <c r="R55" i="1"/>
  <c r="S55" i="1" s="1"/>
  <c r="O55" i="1"/>
  <c r="K55" i="1"/>
  <c r="I55" i="1"/>
  <c r="F55" i="1"/>
  <c r="J55" i="1" s="1"/>
  <c r="DF54" i="1"/>
  <c r="DD54" i="1"/>
  <c r="DE54" i="1" s="1"/>
  <c r="DA54" i="1"/>
  <c r="CW54" i="1"/>
  <c r="CV54" i="1"/>
  <c r="CU54" i="1"/>
  <c r="CR54" i="1"/>
  <c r="CN54" i="1"/>
  <c r="CM54" i="1"/>
  <c r="CL54" i="1"/>
  <c r="CI54" i="1"/>
  <c r="CE54" i="1"/>
  <c r="CC54" i="1"/>
  <c r="CD54" i="1" s="1"/>
  <c r="BZ54" i="1"/>
  <c r="BV54" i="1"/>
  <c r="BU54" i="1"/>
  <c r="BT54" i="1"/>
  <c r="BQ54" i="1"/>
  <c r="BM54" i="1"/>
  <c r="BK54" i="1"/>
  <c r="BL54" i="1" s="1"/>
  <c r="BD54" i="1"/>
  <c r="BC54" i="1"/>
  <c r="BB54" i="1"/>
  <c r="AY54" i="1"/>
  <c r="AU54" i="1"/>
  <c r="AT54" i="1"/>
  <c r="AS54" i="1"/>
  <c r="AP54" i="1"/>
  <c r="AL54" i="1"/>
  <c r="AK54" i="1"/>
  <c r="AJ54" i="1"/>
  <c r="AG54" i="1"/>
  <c r="AC54" i="1"/>
  <c r="AA54" i="1"/>
  <c r="X54" i="1"/>
  <c r="AB54" i="1" s="1"/>
  <c r="T54" i="1"/>
  <c r="R54" i="1"/>
  <c r="O54" i="1"/>
  <c r="S54" i="1" s="1"/>
  <c r="K54" i="1"/>
  <c r="I54" i="1"/>
  <c r="F54" i="1"/>
  <c r="DF53" i="1"/>
  <c r="DD53" i="1"/>
  <c r="DA53" i="1"/>
  <c r="CW53" i="1"/>
  <c r="CU53" i="1"/>
  <c r="CR53" i="1"/>
  <c r="CV53" i="1" s="1"/>
  <c r="CN53" i="1"/>
  <c r="CL53" i="1"/>
  <c r="CI53" i="1"/>
  <c r="CM53" i="1" s="1"/>
  <c r="CE53" i="1"/>
  <c r="CC53" i="1"/>
  <c r="BZ53" i="1"/>
  <c r="CD53" i="1" s="1"/>
  <c r="BV53" i="1"/>
  <c r="BT53" i="1"/>
  <c r="BQ53" i="1"/>
  <c r="BU53" i="1" s="1"/>
  <c r="BM53" i="1"/>
  <c r="BK53" i="1"/>
  <c r="BD53" i="1"/>
  <c r="BC53" i="1"/>
  <c r="BB53" i="1"/>
  <c r="AY53" i="1"/>
  <c r="AU53" i="1"/>
  <c r="AS53" i="1"/>
  <c r="AP53" i="1"/>
  <c r="AL53" i="1"/>
  <c r="AK53" i="1"/>
  <c r="AJ53" i="1"/>
  <c r="AG53" i="1"/>
  <c r="AC53" i="1"/>
  <c r="AA53" i="1"/>
  <c r="X53" i="1"/>
  <c r="T53" i="1"/>
  <c r="R53" i="1"/>
  <c r="O53" i="1"/>
  <c r="K53" i="1"/>
  <c r="I53" i="1"/>
  <c r="F53" i="1"/>
  <c r="J53" i="1" s="1"/>
  <c r="DF52" i="1"/>
  <c r="DD52" i="1"/>
  <c r="DE52" i="1" s="1"/>
  <c r="DA52" i="1"/>
  <c r="CW52" i="1"/>
  <c r="CU52" i="1"/>
  <c r="CR52" i="1"/>
  <c r="CN52" i="1"/>
  <c r="CL52" i="1"/>
  <c r="CI52" i="1"/>
  <c r="CM52" i="1" s="1"/>
  <c r="CE52" i="1"/>
  <c r="CC52" i="1"/>
  <c r="CD52" i="1" s="1"/>
  <c r="BZ52" i="1"/>
  <c r="BV52" i="1"/>
  <c r="BU52" i="1"/>
  <c r="BT52" i="1"/>
  <c r="BQ52" i="1"/>
  <c r="BM52" i="1"/>
  <c r="BK52" i="1"/>
  <c r="BL52" i="1" s="1"/>
  <c r="BD52" i="1"/>
  <c r="BC52" i="1"/>
  <c r="BB52" i="1"/>
  <c r="AY52" i="1"/>
  <c r="AU52" i="1"/>
  <c r="AS52" i="1"/>
  <c r="AP52" i="1"/>
  <c r="AL52" i="1"/>
  <c r="AK52" i="1"/>
  <c r="AJ52" i="1"/>
  <c r="AG52" i="1"/>
  <c r="AC52" i="1"/>
  <c r="AA52" i="1"/>
  <c r="X52" i="1"/>
  <c r="AB52" i="1" s="1"/>
  <c r="T52" i="1"/>
  <c r="R52" i="1"/>
  <c r="S52" i="1" s="1"/>
  <c r="O52" i="1"/>
  <c r="K52" i="1"/>
  <c r="I52" i="1"/>
  <c r="F52" i="1"/>
  <c r="DF51" i="1"/>
  <c r="DD51" i="1"/>
  <c r="DA51" i="1"/>
  <c r="CW51" i="1"/>
  <c r="CU51" i="1"/>
  <c r="CR51" i="1"/>
  <c r="CV51" i="1" s="1"/>
  <c r="CN51" i="1"/>
  <c r="CL51" i="1"/>
  <c r="CI51" i="1"/>
  <c r="CM51" i="1" s="1"/>
  <c r="CE51" i="1"/>
  <c r="CC51" i="1"/>
  <c r="BZ51" i="1"/>
  <c r="BV51" i="1"/>
  <c r="BT51" i="1"/>
  <c r="BQ51" i="1"/>
  <c r="BU51" i="1" s="1"/>
  <c r="BM51" i="1"/>
  <c r="BK51" i="1"/>
  <c r="BL51" i="1" s="1"/>
  <c r="BD51" i="1"/>
  <c r="BC51" i="1"/>
  <c r="BB51" i="1"/>
  <c r="AY51" i="1"/>
  <c r="AU51" i="1"/>
  <c r="AT51" i="1"/>
  <c r="AS51" i="1"/>
  <c r="AP51" i="1"/>
  <c r="AL51" i="1"/>
  <c r="AK51" i="1"/>
  <c r="AJ51" i="1"/>
  <c r="AG51" i="1"/>
  <c r="AC51" i="1"/>
  <c r="AA51" i="1"/>
  <c r="X51" i="1"/>
  <c r="T51" i="1"/>
  <c r="R51" i="1"/>
  <c r="S51" i="1" s="1"/>
  <c r="O51" i="1"/>
  <c r="K51" i="1"/>
  <c r="I51" i="1"/>
  <c r="F51" i="1"/>
  <c r="J51" i="1" s="1"/>
  <c r="DF50" i="1"/>
  <c r="DD50" i="1"/>
  <c r="DA50" i="1"/>
  <c r="CW50" i="1"/>
  <c r="CU50" i="1"/>
  <c r="CR50" i="1"/>
  <c r="CV50" i="1" s="1"/>
  <c r="CN50" i="1"/>
  <c r="CL50" i="1"/>
  <c r="CM50" i="1" s="1"/>
  <c r="CI50" i="1"/>
  <c r="CE50" i="1"/>
  <c r="CD50" i="1"/>
  <c r="CC50" i="1"/>
  <c r="BZ50" i="1"/>
  <c r="BV50" i="1"/>
  <c r="BT50" i="1"/>
  <c r="BQ50" i="1"/>
  <c r="BM50" i="1"/>
  <c r="BK50" i="1"/>
  <c r="BL50" i="1" s="1"/>
  <c r="BD50" i="1"/>
  <c r="BB50" i="1"/>
  <c r="AY50" i="1"/>
  <c r="BC50" i="1" s="1"/>
  <c r="AU50" i="1"/>
  <c r="AT50" i="1"/>
  <c r="AS50" i="1"/>
  <c r="AP50" i="1"/>
  <c r="AL50" i="1"/>
  <c r="AK50" i="1"/>
  <c r="AJ50" i="1"/>
  <c r="AG50" i="1"/>
  <c r="AC50" i="1"/>
  <c r="AA50" i="1"/>
  <c r="X50" i="1"/>
  <c r="AB50" i="1" s="1"/>
  <c r="T50" i="1"/>
  <c r="R50" i="1"/>
  <c r="O50" i="1"/>
  <c r="K50" i="1"/>
  <c r="I50" i="1"/>
  <c r="F50" i="1"/>
  <c r="DF49" i="1"/>
  <c r="DE49" i="1"/>
  <c r="DD49" i="1"/>
  <c r="DA49" i="1"/>
  <c r="CW49" i="1"/>
  <c r="CU49" i="1"/>
  <c r="CR49" i="1"/>
  <c r="CN49" i="1"/>
  <c r="CL49" i="1"/>
  <c r="CI49" i="1"/>
  <c r="CM49" i="1" s="1"/>
  <c r="CE49" i="1"/>
  <c r="CC49" i="1"/>
  <c r="CD49" i="1" s="1"/>
  <c r="BZ49" i="1"/>
  <c r="BV49" i="1"/>
  <c r="BU49" i="1"/>
  <c r="BT49" i="1"/>
  <c r="BQ49" i="1"/>
  <c r="BM49" i="1"/>
  <c r="BK49" i="1"/>
  <c r="BD49" i="1"/>
  <c r="BB49" i="1"/>
  <c r="AY49" i="1"/>
  <c r="BC49" i="1" s="1"/>
  <c r="AU49" i="1"/>
  <c r="AS49" i="1"/>
  <c r="AP49" i="1"/>
  <c r="AT49" i="1" s="1"/>
  <c r="AL49" i="1"/>
  <c r="AK49" i="1"/>
  <c r="AJ49" i="1"/>
  <c r="AG49" i="1"/>
  <c r="AC49" i="1"/>
  <c r="AA49" i="1"/>
  <c r="X49" i="1"/>
  <c r="T49" i="1"/>
  <c r="R49" i="1"/>
  <c r="O49" i="1"/>
  <c r="K49" i="1"/>
  <c r="I49" i="1"/>
  <c r="F49" i="1"/>
  <c r="J49" i="1" s="1"/>
  <c r="DF48" i="1"/>
  <c r="DD48" i="1"/>
  <c r="DA48" i="1"/>
  <c r="CW48" i="1"/>
  <c r="CU48" i="1"/>
  <c r="CV48" i="1" s="1"/>
  <c r="CR48" i="1"/>
  <c r="CN48" i="1"/>
  <c r="CL48" i="1"/>
  <c r="CI48" i="1"/>
  <c r="CM48" i="1" s="1"/>
  <c r="CE48" i="1"/>
  <c r="CC48" i="1"/>
  <c r="BZ48" i="1"/>
  <c r="CD48" i="1" s="1"/>
  <c r="BV48" i="1"/>
  <c r="BT48" i="1"/>
  <c r="BU48" i="1" s="1"/>
  <c r="BQ48" i="1"/>
  <c r="BM48" i="1"/>
  <c r="BK48" i="1"/>
  <c r="BL48" i="1" s="1"/>
  <c r="BD48" i="1"/>
  <c r="BB48" i="1"/>
  <c r="AY48" i="1"/>
  <c r="BC48" i="1" s="1"/>
  <c r="AU48" i="1"/>
  <c r="AS48" i="1"/>
  <c r="AP48" i="1"/>
  <c r="AT48" i="1" s="1"/>
  <c r="AL48" i="1"/>
  <c r="AK48" i="1"/>
  <c r="AJ48" i="1"/>
  <c r="AG48" i="1"/>
  <c r="AC48" i="1"/>
  <c r="AA48" i="1"/>
  <c r="X48" i="1"/>
  <c r="AB48" i="1" s="1"/>
  <c r="T48" i="1"/>
  <c r="R48" i="1"/>
  <c r="O48" i="1"/>
  <c r="K48" i="1"/>
  <c r="I48" i="1"/>
  <c r="F48" i="1"/>
  <c r="DF47" i="1"/>
  <c r="DD47" i="1"/>
  <c r="DE47" i="1" s="1"/>
  <c r="DA47" i="1"/>
  <c r="CW47" i="1"/>
  <c r="CU47" i="1"/>
  <c r="CR47" i="1"/>
  <c r="CN47" i="1"/>
  <c r="CL47" i="1"/>
  <c r="CM47" i="1" s="1"/>
  <c r="CI47" i="1"/>
  <c r="CE47" i="1"/>
  <c r="CC47" i="1"/>
  <c r="BZ47" i="1"/>
  <c r="CD47" i="1" s="1"/>
  <c r="BV47" i="1"/>
  <c r="BT47" i="1"/>
  <c r="BQ47" i="1"/>
  <c r="BU47" i="1" s="1"/>
  <c r="BM47" i="1"/>
  <c r="BK47" i="1"/>
  <c r="BL47" i="1" s="1"/>
  <c r="BD47" i="1"/>
  <c r="BB47" i="1"/>
  <c r="AY47" i="1"/>
  <c r="BC47" i="1" s="1"/>
  <c r="AU47" i="1"/>
  <c r="AS47" i="1"/>
  <c r="AT47" i="1" s="1"/>
  <c r="AP47" i="1"/>
  <c r="AL47" i="1"/>
  <c r="AK47" i="1"/>
  <c r="AJ47" i="1"/>
  <c r="AG47" i="1"/>
  <c r="AC47" i="1"/>
  <c r="AB47" i="1"/>
  <c r="AA47" i="1"/>
  <c r="X47" i="1"/>
  <c r="T47" i="1"/>
  <c r="R47" i="1"/>
  <c r="S47" i="1" s="1"/>
  <c r="O47" i="1"/>
  <c r="K47" i="1"/>
  <c r="I47" i="1"/>
  <c r="F47" i="1"/>
  <c r="J47" i="1" s="1"/>
  <c r="DF46" i="1"/>
  <c r="DD46" i="1"/>
  <c r="DA46" i="1"/>
  <c r="CW46" i="1"/>
  <c r="CU46" i="1"/>
  <c r="CR46" i="1"/>
  <c r="CV46" i="1" s="1"/>
  <c r="CN46" i="1"/>
  <c r="CL46" i="1"/>
  <c r="CM46" i="1" s="1"/>
  <c r="CI46" i="1"/>
  <c r="CE46" i="1"/>
  <c r="CC46" i="1"/>
  <c r="BZ46" i="1"/>
  <c r="CD46" i="1" s="1"/>
  <c r="BV46" i="1"/>
  <c r="BU46" i="1"/>
  <c r="BT46" i="1"/>
  <c r="BQ46" i="1"/>
  <c r="BM46" i="1"/>
  <c r="BL46" i="1"/>
  <c r="BK46" i="1"/>
  <c r="BD46" i="1"/>
  <c r="BC46" i="1"/>
  <c r="BB46" i="1"/>
  <c r="AY46" i="1"/>
  <c r="AU46" i="1"/>
  <c r="AS46" i="1"/>
  <c r="AP46" i="1"/>
  <c r="AL46" i="1"/>
  <c r="AK46" i="1"/>
  <c r="AJ46" i="1"/>
  <c r="AG46" i="1"/>
  <c r="AC46" i="1"/>
  <c r="AA46" i="1"/>
  <c r="X46" i="1"/>
  <c r="T46" i="1"/>
  <c r="R46" i="1"/>
  <c r="O46" i="1"/>
  <c r="K46" i="1"/>
  <c r="I46" i="1"/>
  <c r="F46" i="1"/>
  <c r="DF45" i="1"/>
  <c r="DD45" i="1"/>
  <c r="DA45" i="1"/>
  <c r="DE45" i="1" s="1"/>
  <c r="CW45" i="1"/>
  <c r="CU45" i="1"/>
  <c r="CR45" i="1"/>
  <c r="CV45" i="1" s="1"/>
  <c r="CN45" i="1"/>
  <c r="CL45" i="1"/>
  <c r="CI45" i="1"/>
  <c r="CM45" i="1" s="1"/>
  <c r="CE45" i="1"/>
  <c r="CC45" i="1"/>
  <c r="BZ45" i="1"/>
  <c r="BV45" i="1"/>
  <c r="BT45" i="1"/>
  <c r="BQ45" i="1"/>
  <c r="BU45" i="1" s="1"/>
  <c r="BM45" i="1"/>
  <c r="BL45" i="1"/>
  <c r="BK45" i="1"/>
  <c r="BD45" i="1"/>
  <c r="BC45" i="1"/>
  <c r="BB45" i="1"/>
  <c r="AY45" i="1"/>
  <c r="AU45" i="1"/>
  <c r="AS45" i="1"/>
  <c r="AP45" i="1"/>
  <c r="AL45" i="1"/>
  <c r="AK45" i="1"/>
  <c r="AJ45" i="1"/>
  <c r="AG45" i="1"/>
  <c r="AC45" i="1"/>
  <c r="AA45" i="1"/>
  <c r="X45" i="1"/>
  <c r="AB45" i="1" s="1"/>
  <c r="T45" i="1"/>
  <c r="R45" i="1"/>
  <c r="O45" i="1"/>
  <c r="K45" i="1"/>
  <c r="I45" i="1"/>
  <c r="F45" i="1"/>
  <c r="J45" i="1" s="1"/>
  <c r="DF44" i="1"/>
  <c r="DD44" i="1"/>
  <c r="DE44" i="1" s="1"/>
  <c r="DA44" i="1"/>
  <c r="CW44" i="1"/>
  <c r="CU44" i="1"/>
  <c r="CR44" i="1"/>
  <c r="CV44" i="1" s="1"/>
  <c r="CN44" i="1"/>
  <c r="CL44" i="1"/>
  <c r="CM44" i="1" s="1"/>
  <c r="CI44" i="1"/>
  <c r="CE44" i="1"/>
  <c r="CD44" i="1"/>
  <c r="CC44" i="1"/>
  <c r="BZ44" i="1"/>
  <c r="BV44" i="1"/>
  <c r="BT44" i="1"/>
  <c r="BQ44" i="1"/>
  <c r="BM44" i="1"/>
  <c r="BK44" i="1"/>
  <c r="BL44" i="1" s="1"/>
  <c r="BD44" i="1"/>
  <c r="BC44" i="1"/>
  <c r="BB44" i="1"/>
  <c r="AY44" i="1"/>
  <c r="AU44" i="1"/>
  <c r="AS44" i="1"/>
  <c r="AT44" i="1" s="1"/>
  <c r="AP44" i="1"/>
  <c r="AL44" i="1"/>
  <c r="AK44" i="1"/>
  <c r="AJ44" i="1"/>
  <c r="AG44" i="1"/>
  <c r="AC44" i="1"/>
  <c r="AA44" i="1"/>
  <c r="X44" i="1"/>
  <c r="T44" i="1"/>
  <c r="R44" i="1"/>
  <c r="S44" i="1" s="1"/>
  <c r="O44" i="1"/>
  <c r="K44" i="1"/>
  <c r="I44" i="1"/>
  <c r="F44" i="1"/>
  <c r="DF43" i="1"/>
  <c r="DE43" i="1"/>
  <c r="DD43" i="1"/>
  <c r="DA43" i="1"/>
  <c r="CW43" i="1"/>
  <c r="CU43" i="1"/>
  <c r="CR43" i="1"/>
  <c r="CN43" i="1"/>
  <c r="CL43" i="1"/>
  <c r="CM43" i="1" s="1"/>
  <c r="CI43" i="1"/>
  <c r="CE43" i="1"/>
  <c r="CC43" i="1"/>
  <c r="CD43" i="1" s="1"/>
  <c r="BZ43" i="1"/>
  <c r="BV43" i="1"/>
  <c r="BT43" i="1"/>
  <c r="BU43" i="1" s="1"/>
  <c r="BQ43" i="1"/>
  <c r="BM43" i="1"/>
  <c r="BK43" i="1"/>
  <c r="BL43" i="1" s="1"/>
  <c r="BD43" i="1"/>
  <c r="BC43" i="1"/>
  <c r="BB43" i="1"/>
  <c r="AY43" i="1"/>
  <c r="AU43" i="1"/>
  <c r="AT43" i="1"/>
  <c r="AS43" i="1"/>
  <c r="AP43" i="1"/>
  <c r="AL43" i="1"/>
  <c r="AK43" i="1"/>
  <c r="AJ43" i="1"/>
  <c r="AG43" i="1"/>
  <c r="AC43" i="1"/>
  <c r="AA43" i="1"/>
  <c r="X43" i="1"/>
  <c r="AB43" i="1" s="1"/>
  <c r="T43" i="1"/>
  <c r="R43" i="1"/>
  <c r="S43" i="1" s="1"/>
  <c r="O43" i="1"/>
  <c r="K43" i="1"/>
  <c r="I43" i="1"/>
  <c r="F43" i="1"/>
  <c r="J43" i="1" s="1"/>
  <c r="DF42" i="1"/>
  <c r="DD42" i="1"/>
  <c r="DA42" i="1"/>
  <c r="DE42" i="1" s="1"/>
  <c r="CW42" i="1"/>
  <c r="CU42" i="1"/>
  <c r="CR42" i="1"/>
  <c r="CN42" i="1"/>
  <c r="CL42" i="1"/>
  <c r="CI42" i="1"/>
  <c r="CM42" i="1" s="1"/>
  <c r="CE42" i="1"/>
  <c r="CC42" i="1"/>
  <c r="BZ42" i="1"/>
  <c r="BV42" i="1"/>
  <c r="BT42" i="1"/>
  <c r="BQ42" i="1"/>
  <c r="BU42" i="1" s="1"/>
  <c r="BM42" i="1"/>
  <c r="BK42" i="1"/>
  <c r="BL42" i="1" s="1"/>
  <c r="BD42" i="1"/>
  <c r="BC42" i="1"/>
  <c r="BB42" i="1"/>
  <c r="AY42" i="1"/>
  <c r="AU42" i="1"/>
  <c r="AS42" i="1"/>
  <c r="AP42" i="1"/>
  <c r="AT42" i="1" s="1"/>
  <c r="AL42" i="1"/>
  <c r="AK42" i="1"/>
  <c r="AJ42" i="1"/>
  <c r="AG42" i="1"/>
  <c r="AC42" i="1"/>
  <c r="AA42" i="1"/>
  <c r="X42" i="1"/>
  <c r="T42" i="1"/>
  <c r="R42" i="1"/>
  <c r="O42" i="1"/>
  <c r="K42" i="1"/>
  <c r="I42" i="1"/>
  <c r="F42" i="1"/>
  <c r="DF41" i="1"/>
  <c r="DE41" i="1"/>
  <c r="DD41" i="1"/>
  <c r="DA41" i="1"/>
  <c r="CW41" i="1"/>
  <c r="CU41" i="1"/>
  <c r="CV41" i="1" s="1"/>
  <c r="CR41" i="1"/>
  <c r="CN41" i="1"/>
  <c r="CL41" i="1"/>
  <c r="CI41" i="1"/>
  <c r="CM41" i="1" s="1"/>
  <c r="CE41" i="1"/>
  <c r="CD41" i="1"/>
  <c r="CC41" i="1"/>
  <c r="BZ41" i="1"/>
  <c r="BV41" i="1"/>
  <c r="BT41" i="1"/>
  <c r="BU41" i="1" s="1"/>
  <c r="BQ41" i="1"/>
  <c r="BM41" i="1"/>
  <c r="BK41" i="1"/>
  <c r="BD41" i="1"/>
  <c r="BC41" i="1"/>
  <c r="BB41" i="1"/>
  <c r="AY41" i="1"/>
  <c r="AU41" i="1"/>
  <c r="AS41" i="1"/>
  <c r="AP41" i="1"/>
  <c r="AT41" i="1" s="1"/>
  <c r="AL41" i="1"/>
  <c r="AK41" i="1"/>
  <c r="AJ41" i="1"/>
  <c r="AG41" i="1"/>
  <c r="AC41" i="1"/>
  <c r="AA41" i="1"/>
  <c r="AB41" i="1" s="1"/>
  <c r="X41" i="1"/>
  <c r="T41" i="1"/>
  <c r="R41" i="1"/>
  <c r="O41" i="1"/>
  <c r="K41" i="1"/>
  <c r="I41" i="1"/>
  <c r="F41" i="1"/>
  <c r="J41" i="1" s="1"/>
  <c r="DF40" i="1"/>
  <c r="DD40" i="1"/>
  <c r="DE40" i="1" s="1"/>
  <c r="DA40" i="1"/>
  <c r="CW40" i="1"/>
  <c r="CU40" i="1"/>
  <c r="CV40" i="1" s="1"/>
  <c r="CR40" i="1"/>
  <c r="CN40" i="1"/>
  <c r="CL40" i="1"/>
  <c r="CI40" i="1"/>
  <c r="CM40" i="1" s="1"/>
  <c r="CE40" i="1"/>
  <c r="CD40" i="1"/>
  <c r="CC40" i="1"/>
  <c r="BZ40" i="1"/>
  <c r="BV40" i="1"/>
  <c r="BT40" i="1"/>
  <c r="BQ40" i="1"/>
  <c r="BM40" i="1"/>
  <c r="BK40" i="1"/>
  <c r="BL40" i="1"/>
  <c r="BD40" i="1"/>
  <c r="BC40" i="1"/>
  <c r="BB40" i="1"/>
  <c r="AY40" i="1"/>
  <c r="AU40" i="1"/>
  <c r="AS40" i="1"/>
  <c r="AT40" i="1" s="1"/>
  <c r="AP40" i="1"/>
  <c r="AL40" i="1"/>
  <c r="AK40" i="1"/>
  <c r="AJ40" i="1"/>
  <c r="AG40" i="1"/>
  <c r="AC40" i="1"/>
  <c r="AA40" i="1"/>
  <c r="X40" i="1"/>
  <c r="AB40" i="1" s="1"/>
  <c r="T40" i="1"/>
  <c r="R40" i="1"/>
  <c r="O40" i="1"/>
  <c r="K40" i="1"/>
  <c r="I40" i="1"/>
  <c r="F40" i="1"/>
  <c r="DF39" i="1"/>
  <c r="DD39" i="1"/>
  <c r="DE39" i="1" s="1"/>
  <c r="DA39" i="1"/>
  <c r="CW39" i="1"/>
  <c r="CU39" i="1"/>
  <c r="CR39" i="1"/>
  <c r="CV39" i="1" s="1"/>
  <c r="CN39" i="1"/>
  <c r="CL39" i="1"/>
  <c r="CM39" i="1" s="1"/>
  <c r="CI39" i="1"/>
  <c r="CE39" i="1"/>
  <c r="CC39" i="1"/>
  <c r="BZ39" i="1"/>
  <c r="CD39" i="1" s="1"/>
  <c r="BV39" i="1"/>
  <c r="BT39" i="1"/>
  <c r="BQ39" i="1"/>
  <c r="BM39" i="1"/>
  <c r="BK39" i="1"/>
  <c r="BL39" i="1" s="1"/>
  <c r="BD39" i="1"/>
  <c r="BC39" i="1"/>
  <c r="BB39" i="1"/>
  <c r="AY39" i="1"/>
  <c r="AU39" i="1"/>
  <c r="AT39" i="1"/>
  <c r="AS39" i="1"/>
  <c r="AP39" i="1"/>
  <c r="AL39" i="1"/>
  <c r="AK39" i="1"/>
  <c r="AJ39" i="1"/>
  <c r="AG39" i="1"/>
  <c r="AC39" i="1"/>
  <c r="AA39" i="1"/>
  <c r="X39" i="1"/>
  <c r="T39" i="1"/>
  <c r="R39" i="1"/>
  <c r="S39" i="1" s="1"/>
  <c r="O39" i="1"/>
  <c r="K39" i="1"/>
  <c r="I39" i="1"/>
  <c r="F39" i="1"/>
  <c r="J39" i="1" s="1"/>
  <c r="DF38" i="1"/>
  <c r="DD38" i="1"/>
  <c r="DA38" i="1"/>
  <c r="DE38" i="1" s="1"/>
  <c r="CW38" i="1"/>
  <c r="CU38" i="1"/>
  <c r="CR38" i="1"/>
  <c r="CV38" i="1" s="1"/>
  <c r="CN38" i="1"/>
  <c r="CL38" i="1"/>
  <c r="CI38" i="1"/>
  <c r="CE38" i="1"/>
  <c r="CD38" i="1"/>
  <c r="CC38" i="1"/>
  <c r="BZ38" i="1"/>
  <c r="BV38" i="1"/>
  <c r="BU38" i="1"/>
  <c r="BT38" i="1"/>
  <c r="BQ38" i="1"/>
  <c r="BM38" i="1"/>
  <c r="BK38" i="1"/>
  <c r="BL38" i="1" s="1"/>
  <c r="BD38" i="1"/>
  <c r="BB38" i="1"/>
  <c r="AY38" i="1"/>
  <c r="BC38" i="1" s="1"/>
  <c r="AU38" i="1"/>
  <c r="AS38" i="1"/>
  <c r="AP38" i="1"/>
  <c r="AL38" i="1"/>
  <c r="AK38" i="1"/>
  <c r="AJ38" i="1"/>
  <c r="AG38" i="1"/>
  <c r="AC38" i="1"/>
  <c r="AA38" i="1"/>
  <c r="AB38" i="1" s="1"/>
  <c r="X38" i="1"/>
  <c r="T38" i="1"/>
  <c r="R38" i="1"/>
  <c r="O38" i="1"/>
  <c r="K38" i="1"/>
  <c r="I38" i="1"/>
  <c r="F38" i="1"/>
  <c r="DF37" i="1"/>
  <c r="DD37" i="1"/>
  <c r="DA37" i="1"/>
  <c r="CW37" i="1"/>
  <c r="CU37" i="1"/>
  <c r="CR37" i="1"/>
  <c r="CN37" i="1"/>
  <c r="CL37" i="1"/>
  <c r="CI37" i="1"/>
  <c r="CE37" i="1"/>
  <c r="CC37" i="1"/>
  <c r="BZ37" i="1"/>
  <c r="BV37" i="1"/>
  <c r="BT37" i="1"/>
  <c r="BQ37" i="1"/>
  <c r="BM37" i="1"/>
  <c r="BK37" i="1"/>
  <c r="BD37" i="1"/>
  <c r="BB37" i="1"/>
  <c r="AY37" i="1"/>
  <c r="BC37" i="1" s="1"/>
  <c r="AU37" i="1"/>
  <c r="AS37" i="1"/>
  <c r="AP37" i="1"/>
  <c r="AL37" i="1"/>
  <c r="AK37" i="1"/>
  <c r="AJ37" i="1"/>
  <c r="AG37" i="1"/>
  <c r="AC37" i="1"/>
  <c r="AA37" i="1"/>
  <c r="X37" i="1"/>
  <c r="AB37" i="1" s="1"/>
  <c r="T37" i="1"/>
  <c r="R37" i="1"/>
  <c r="O37" i="1"/>
  <c r="K37" i="1"/>
  <c r="I37" i="1"/>
  <c r="F37" i="1"/>
  <c r="J37" i="1" s="1"/>
  <c r="DF36" i="1"/>
  <c r="DD36" i="1"/>
  <c r="DA36" i="1"/>
  <c r="CW36" i="1"/>
  <c r="CU36" i="1"/>
  <c r="CV36" i="1" s="1"/>
  <c r="CR36" i="1"/>
  <c r="CN36" i="1"/>
  <c r="CL36" i="1"/>
  <c r="CM36" i="1" s="1"/>
  <c r="CI36" i="1"/>
  <c r="CE36" i="1"/>
  <c r="CC36" i="1"/>
  <c r="BZ36" i="1"/>
  <c r="BT36" i="1"/>
  <c r="BQ36" i="1"/>
  <c r="BM36" i="1"/>
  <c r="BK36" i="1"/>
  <c r="BD36" i="1"/>
  <c r="BB36" i="1"/>
  <c r="AY36" i="1"/>
  <c r="AU36" i="1"/>
  <c r="AS36" i="1"/>
  <c r="AT36" i="1" s="1"/>
  <c r="AP36" i="1"/>
  <c r="AL36" i="1"/>
  <c r="AJ36" i="1"/>
  <c r="AK36" i="1" s="1"/>
  <c r="AG36" i="1"/>
  <c r="AC36" i="1"/>
  <c r="AA36" i="1"/>
  <c r="X36" i="1"/>
  <c r="R36" i="1"/>
  <c r="O36" i="1"/>
  <c r="K36" i="1"/>
  <c r="I36" i="1"/>
  <c r="F36" i="1"/>
  <c r="DF35" i="1"/>
  <c r="DD35" i="1"/>
  <c r="DE35" i="1" s="1"/>
  <c r="DA35" i="1"/>
  <c r="CW35" i="1"/>
  <c r="CU35" i="1"/>
  <c r="CV35" i="1" s="1"/>
  <c r="CR35" i="1"/>
  <c r="CN35" i="1"/>
  <c r="CL35" i="1"/>
  <c r="CI35" i="1"/>
  <c r="CE35" i="1"/>
  <c r="CC35" i="1"/>
  <c r="BZ35" i="1"/>
  <c r="BV35" i="1"/>
  <c r="BT35" i="1"/>
  <c r="BQ35" i="1"/>
  <c r="BM35" i="1"/>
  <c r="BK35" i="1"/>
  <c r="BL35" i="1" s="1"/>
  <c r="BD35" i="1"/>
  <c r="BB35" i="1"/>
  <c r="AY35" i="1"/>
  <c r="AU35" i="1"/>
  <c r="AS35" i="1"/>
  <c r="AP35" i="1"/>
  <c r="AL35" i="1"/>
  <c r="AJ35" i="1"/>
  <c r="AK35" i="1" s="1"/>
  <c r="AG35" i="1"/>
  <c r="AC35" i="1"/>
  <c r="AA35" i="1"/>
  <c r="AB35" i="1" s="1"/>
  <c r="X35" i="1"/>
  <c r="T35" i="1"/>
  <c r="R35" i="1"/>
  <c r="O35" i="1"/>
  <c r="K35" i="1"/>
  <c r="I35" i="1"/>
  <c r="F35" i="1"/>
  <c r="DF34" i="1"/>
  <c r="DD34" i="1"/>
  <c r="DA34" i="1"/>
  <c r="CW34" i="1"/>
  <c r="CU34" i="1"/>
  <c r="CV34" i="1" s="1"/>
  <c r="CR34" i="1"/>
  <c r="CN34" i="1"/>
  <c r="CL34" i="1"/>
  <c r="CI34" i="1"/>
  <c r="CE34" i="1"/>
  <c r="CC34" i="1"/>
  <c r="BZ34" i="1"/>
  <c r="BV34" i="1"/>
  <c r="BT34" i="1"/>
  <c r="BQ34" i="1"/>
  <c r="BM34" i="1"/>
  <c r="BK34" i="1"/>
  <c r="BL34" i="1" s="1"/>
  <c r="BD34" i="1"/>
  <c r="BB34" i="1"/>
  <c r="AY34" i="1"/>
  <c r="AU34" i="1"/>
  <c r="AS34" i="1"/>
  <c r="AP34" i="1"/>
  <c r="AL34" i="1"/>
  <c r="AJ34" i="1"/>
  <c r="AK34" i="1" s="1"/>
  <c r="AG34" i="1"/>
  <c r="AC34" i="1"/>
  <c r="AA34" i="1"/>
  <c r="AB34" i="1" s="1"/>
  <c r="X34" i="1"/>
  <c r="T34" i="1"/>
  <c r="R34" i="1"/>
  <c r="O34" i="1"/>
  <c r="K34" i="1"/>
  <c r="I34" i="1"/>
  <c r="F34" i="1"/>
  <c r="DF33" i="1"/>
  <c r="DD33" i="1"/>
  <c r="DA33" i="1"/>
  <c r="CW33" i="1"/>
  <c r="CU33" i="1"/>
  <c r="CV33" i="1" s="1"/>
  <c r="CR33" i="1"/>
  <c r="CN33" i="1"/>
  <c r="CL33" i="1"/>
  <c r="CI33" i="1"/>
  <c r="CE33" i="1"/>
  <c r="CC33" i="1"/>
  <c r="BZ33" i="1"/>
  <c r="BV33" i="1"/>
  <c r="BT33" i="1"/>
  <c r="BQ33" i="1"/>
  <c r="BM33" i="1"/>
  <c r="BK33" i="1"/>
  <c r="BD33" i="1"/>
  <c r="BB33" i="1"/>
  <c r="AY33" i="1"/>
  <c r="AU33" i="1"/>
  <c r="AS33" i="1"/>
  <c r="AP33" i="1"/>
  <c r="AL33" i="1"/>
  <c r="AJ33" i="1"/>
  <c r="AK33" i="1" s="1"/>
  <c r="AG33" i="1"/>
  <c r="AC33" i="1"/>
  <c r="AA33" i="1"/>
  <c r="X33" i="1"/>
  <c r="T33" i="1"/>
  <c r="R33" i="1"/>
  <c r="O33" i="1"/>
  <c r="K33" i="1"/>
  <c r="I33" i="1"/>
  <c r="F33" i="1"/>
  <c r="DF32" i="1"/>
  <c r="DD32" i="1"/>
  <c r="DA32" i="1"/>
  <c r="CW32" i="1"/>
  <c r="CU32" i="1"/>
  <c r="CR32" i="1"/>
  <c r="CN32" i="1"/>
  <c r="CL32" i="1"/>
  <c r="CM32" i="1" s="1"/>
  <c r="CI32" i="1"/>
  <c r="CE32" i="1"/>
  <c r="CC32" i="1"/>
  <c r="CD32" i="1" s="1"/>
  <c r="BZ32" i="1"/>
  <c r="BV32" i="1"/>
  <c r="BT32" i="1"/>
  <c r="BU32" i="1" s="1"/>
  <c r="BQ32" i="1"/>
  <c r="BM32" i="1"/>
  <c r="BK32" i="1"/>
  <c r="BL32" i="1" s="1"/>
  <c r="BD32" i="1"/>
  <c r="BB32" i="1"/>
  <c r="AY32" i="1"/>
  <c r="AU32" i="1"/>
  <c r="AS32" i="1"/>
  <c r="AP32" i="1"/>
  <c r="AL32" i="1"/>
  <c r="AJ32" i="1"/>
  <c r="AK32" i="1" s="1"/>
  <c r="AG32" i="1"/>
  <c r="AC32" i="1"/>
  <c r="AA32" i="1"/>
  <c r="X32" i="1"/>
  <c r="T32" i="1"/>
  <c r="R32" i="1"/>
  <c r="O32" i="1"/>
  <c r="K32" i="1"/>
  <c r="I32" i="1"/>
  <c r="F32" i="1"/>
  <c r="DF31" i="1"/>
  <c r="DD31" i="1"/>
  <c r="DE31" i="1" s="1"/>
  <c r="DA31" i="1"/>
  <c r="CW31" i="1"/>
  <c r="CU31" i="1"/>
  <c r="CR31" i="1"/>
  <c r="CN31" i="1"/>
  <c r="CL31" i="1"/>
  <c r="CI31" i="1"/>
  <c r="CE31" i="1"/>
  <c r="CC31" i="1"/>
  <c r="BZ31" i="1"/>
  <c r="BV31" i="1"/>
  <c r="BT31" i="1"/>
  <c r="BQ31" i="1"/>
  <c r="BM31" i="1"/>
  <c r="BK31" i="1"/>
  <c r="BL31" i="1" s="1"/>
  <c r="BD31" i="1"/>
  <c r="BB31" i="1"/>
  <c r="AY31" i="1"/>
  <c r="AU31" i="1"/>
  <c r="AS31" i="1"/>
  <c r="AP31" i="1"/>
  <c r="AL31" i="1"/>
  <c r="AJ31" i="1"/>
  <c r="AK31" i="1" s="1"/>
  <c r="AG31" i="1"/>
  <c r="AC31" i="1"/>
  <c r="AA31" i="1"/>
  <c r="X31" i="1"/>
  <c r="T31" i="1"/>
  <c r="R31" i="1"/>
  <c r="O31" i="1"/>
  <c r="K31" i="1"/>
  <c r="I31" i="1"/>
  <c r="F31" i="1"/>
  <c r="DF30" i="1"/>
  <c r="DD30" i="1"/>
  <c r="DA30" i="1"/>
  <c r="CW30" i="1"/>
  <c r="CU30" i="1"/>
  <c r="CR30" i="1"/>
  <c r="CN30" i="1"/>
  <c r="CL30" i="1"/>
  <c r="CM30" i="1" s="1"/>
  <c r="CI30" i="1"/>
  <c r="CE30" i="1"/>
  <c r="CC30" i="1"/>
  <c r="BZ30" i="1"/>
  <c r="BV30" i="1"/>
  <c r="BT30" i="1"/>
  <c r="BQ30" i="1"/>
  <c r="BM30" i="1"/>
  <c r="BK30" i="1"/>
  <c r="BL30" i="1" s="1"/>
  <c r="BD30" i="1"/>
  <c r="BB30" i="1"/>
  <c r="AY30" i="1"/>
  <c r="AU30" i="1"/>
  <c r="AS30" i="1"/>
  <c r="AP30" i="1"/>
  <c r="AL30" i="1"/>
  <c r="AJ30" i="1"/>
  <c r="AK30" i="1" s="1"/>
  <c r="AG30" i="1"/>
  <c r="AC30" i="1"/>
  <c r="AA30" i="1"/>
  <c r="X30" i="1"/>
  <c r="T30" i="1"/>
  <c r="R30" i="1"/>
  <c r="O30" i="1"/>
  <c r="K30" i="1"/>
  <c r="I30" i="1"/>
  <c r="F30" i="1"/>
  <c r="DF29" i="1"/>
  <c r="DD29" i="1"/>
  <c r="DA29" i="1"/>
  <c r="CW29" i="1"/>
  <c r="CU29" i="1"/>
  <c r="CV29" i="1" s="1"/>
  <c r="CR29" i="1"/>
  <c r="CN29" i="1"/>
  <c r="CL29" i="1"/>
  <c r="CI29" i="1"/>
  <c r="CE29" i="1"/>
  <c r="CC29" i="1"/>
  <c r="BZ29" i="1"/>
  <c r="BV29" i="1"/>
  <c r="BT29" i="1"/>
  <c r="BQ29" i="1"/>
  <c r="BM29" i="1"/>
  <c r="BK29" i="1"/>
  <c r="BD29" i="1"/>
  <c r="BB29" i="1"/>
  <c r="AY29" i="1"/>
  <c r="AU29" i="1"/>
  <c r="AS29" i="1"/>
  <c r="AP29" i="1"/>
  <c r="AL29" i="1"/>
  <c r="AJ29" i="1"/>
  <c r="AK29" i="1" s="1"/>
  <c r="AG29" i="1"/>
  <c r="AC29" i="1"/>
  <c r="AA29" i="1"/>
  <c r="X29" i="1"/>
  <c r="T29" i="1"/>
  <c r="R29" i="1"/>
  <c r="O29" i="1"/>
  <c r="K29" i="1"/>
  <c r="I29" i="1"/>
  <c r="F29" i="1"/>
  <c r="DF28" i="1"/>
  <c r="DD28" i="1"/>
  <c r="DA28" i="1"/>
  <c r="CW28" i="1"/>
  <c r="CU28" i="1"/>
  <c r="CR28" i="1"/>
  <c r="CN28" i="1"/>
  <c r="CL28" i="1"/>
  <c r="CM28" i="1" s="1"/>
  <c r="CI28" i="1"/>
  <c r="CE28" i="1"/>
  <c r="CC28" i="1"/>
  <c r="CD28" i="1" s="1"/>
  <c r="BZ28" i="1"/>
  <c r="BV28" i="1"/>
  <c r="BT28" i="1"/>
  <c r="BU28" i="1" s="1"/>
  <c r="BQ28" i="1"/>
  <c r="BM28" i="1"/>
  <c r="BK28" i="1"/>
  <c r="BL28" i="1" s="1"/>
  <c r="BD28" i="1"/>
  <c r="BB28" i="1"/>
  <c r="AY28" i="1"/>
  <c r="AU28" i="1"/>
  <c r="AS28" i="1"/>
  <c r="AP28" i="1"/>
  <c r="AL28" i="1"/>
  <c r="AJ28" i="1"/>
  <c r="AK28" i="1" s="1"/>
  <c r="AG28" i="1"/>
  <c r="AC28" i="1"/>
  <c r="AA28" i="1"/>
  <c r="X28" i="1"/>
  <c r="T28" i="1"/>
  <c r="R28" i="1"/>
  <c r="O28" i="1"/>
  <c r="K28" i="1"/>
  <c r="I28" i="1"/>
  <c r="F28" i="1"/>
  <c r="DF27" i="1"/>
  <c r="DD27" i="1"/>
  <c r="DE27" i="1" s="1"/>
  <c r="DA27" i="1"/>
  <c r="CW27" i="1"/>
  <c r="CU27" i="1"/>
  <c r="CR27" i="1"/>
  <c r="CN27" i="1"/>
  <c r="CL27" i="1"/>
  <c r="CI27" i="1"/>
  <c r="CE27" i="1"/>
  <c r="CC27" i="1"/>
  <c r="BZ27" i="1"/>
  <c r="BV27" i="1"/>
  <c r="BT27" i="1"/>
  <c r="BQ27" i="1"/>
  <c r="BM27" i="1"/>
  <c r="BK27" i="1"/>
  <c r="BL27" i="1" s="1"/>
  <c r="BD27" i="1"/>
  <c r="BB27" i="1"/>
  <c r="AY27" i="1"/>
  <c r="AU27" i="1"/>
  <c r="AS27" i="1"/>
  <c r="AP27" i="1"/>
  <c r="AL27" i="1"/>
  <c r="AJ27" i="1"/>
  <c r="AK27" i="1" s="1"/>
  <c r="AG27" i="1"/>
  <c r="AC27" i="1"/>
  <c r="AA27" i="1"/>
  <c r="X27" i="1"/>
  <c r="T27" i="1"/>
  <c r="R27" i="1"/>
  <c r="O27" i="1"/>
  <c r="K27" i="1"/>
  <c r="I27" i="1"/>
  <c r="F27" i="1"/>
  <c r="DF26" i="1"/>
  <c r="DD26" i="1"/>
  <c r="DA26" i="1"/>
  <c r="CW26" i="1"/>
  <c r="CU26" i="1"/>
  <c r="CR26" i="1"/>
  <c r="CN26" i="1"/>
  <c r="CL26" i="1"/>
  <c r="CI26" i="1"/>
  <c r="CE26" i="1"/>
  <c r="CC26" i="1"/>
  <c r="BZ26" i="1"/>
  <c r="BV26" i="1"/>
  <c r="BT26" i="1"/>
  <c r="BQ26" i="1"/>
  <c r="BM26" i="1"/>
  <c r="BK26" i="1"/>
  <c r="BL26" i="1" s="1"/>
  <c r="BD26" i="1"/>
  <c r="BB26" i="1"/>
  <c r="AY26" i="1"/>
  <c r="AU26" i="1"/>
  <c r="AS26" i="1"/>
  <c r="AP26" i="1"/>
  <c r="AL26" i="1"/>
  <c r="AJ26" i="1"/>
  <c r="AK26" i="1" s="1"/>
  <c r="AG26" i="1"/>
  <c r="AC26" i="1"/>
  <c r="AA26" i="1"/>
  <c r="X26" i="1"/>
  <c r="T26" i="1"/>
  <c r="R26" i="1"/>
  <c r="O26" i="1"/>
  <c r="K26" i="1"/>
  <c r="I26" i="1"/>
  <c r="F26" i="1"/>
  <c r="DF25" i="1"/>
  <c r="DD25" i="1"/>
  <c r="DA25" i="1"/>
  <c r="CW25" i="1"/>
  <c r="CU25" i="1"/>
  <c r="CV25" i="1" s="1"/>
  <c r="CR25" i="1"/>
  <c r="CN25" i="1"/>
  <c r="CL25" i="1"/>
  <c r="CI25" i="1"/>
  <c r="CE25" i="1"/>
  <c r="CC25" i="1"/>
  <c r="BZ25" i="1"/>
  <c r="BV25" i="1"/>
  <c r="BT25" i="1"/>
  <c r="BQ25" i="1"/>
  <c r="BM25" i="1"/>
  <c r="BK25" i="1"/>
  <c r="BD25" i="1"/>
  <c r="BB25" i="1"/>
  <c r="AY25" i="1"/>
  <c r="AU25" i="1"/>
  <c r="AS25" i="1"/>
  <c r="AP25" i="1"/>
  <c r="AL25" i="1"/>
  <c r="AJ25" i="1"/>
  <c r="AK25" i="1" s="1"/>
  <c r="AG25" i="1"/>
  <c r="AC25" i="1"/>
  <c r="AA25" i="1"/>
  <c r="X25" i="1"/>
  <c r="T25" i="1"/>
  <c r="R25" i="1"/>
  <c r="O25" i="1"/>
  <c r="K25" i="1"/>
  <c r="I25" i="1"/>
  <c r="F25" i="1"/>
  <c r="DF24" i="1"/>
  <c r="DD24" i="1"/>
  <c r="DA24" i="1"/>
  <c r="CW24" i="1"/>
  <c r="CU24" i="1"/>
  <c r="CR24" i="1"/>
  <c r="CN24" i="1"/>
  <c r="CL24" i="1"/>
  <c r="CM24" i="1" s="1"/>
  <c r="CI24" i="1"/>
  <c r="CE24" i="1"/>
  <c r="CC24" i="1"/>
  <c r="CD24" i="1" s="1"/>
  <c r="BZ24" i="1"/>
  <c r="BV24" i="1"/>
  <c r="BT24" i="1"/>
  <c r="BU24" i="1" s="1"/>
  <c r="BQ24" i="1"/>
  <c r="BM24" i="1"/>
  <c r="BK24" i="1"/>
  <c r="BL24" i="1" s="1"/>
  <c r="BD24" i="1"/>
  <c r="BB24" i="1"/>
  <c r="AY24" i="1"/>
  <c r="AU24" i="1"/>
  <c r="AS24" i="1"/>
  <c r="AP24" i="1"/>
  <c r="AL24" i="1"/>
  <c r="AJ24" i="1"/>
  <c r="AK24" i="1" s="1"/>
  <c r="AG24" i="1"/>
  <c r="AC24" i="1"/>
  <c r="AA24" i="1"/>
  <c r="X24" i="1"/>
  <c r="T24" i="1"/>
  <c r="R24" i="1"/>
  <c r="O24" i="1"/>
  <c r="K24" i="1"/>
  <c r="I24" i="1"/>
  <c r="F24" i="1"/>
  <c r="DF23" i="1"/>
  <c r="DD23" i="1"/>
  <c r="DE23" i="1" s="1"/>
  <c r="DA23" i="1"/>
  <c r="CW23" i="1"/>
  <c r="CU23" i="1"/>
  <c r="CR23" i="1"/>
  <c r="CN23" i="1"/>
  <c r="CL23" i="1"/>
  <c r="CI23" i="1"/>
  <c r="CE23" i="1"/>
  <c r="CC23" i="1"/>
  <c r="BZ23" i="1"/>
  <c r="BV23" i="1"/>
  <c r="BT23" i="1"/>
  <c r="BQ23" i="1"/>
  <c r="BM23" i="1"/>
  <c r="BK23" i="1"/>
  <c r="BL23" i="1" s="1"/>
  <c r="BD23" i="1"/>
  <c r="BB23" i="1"/>
  <c r="AY23" i="1"/>
  <c r="AU23" i="1"/>
  <c r="AS23" i="1"/>
  <c r="AP23" i="1"/>
  <c r="AL23" i="1"/>
  <c r="AJ23" i="1"/>
  <c r="AK23" i="1" s="1"/>
  <c r="AG23" i="1"/>
  <c r="AC23" i="1"/>
  <c r="AA23" i="1"/>
  <c r="X23" i="1"/>
  <c r="T23" i="1"/>
  <c r="R23" i="1"/>
  <c r="O23" i="1"/>
  <c r="K23" i="1"/>
  <c r="I23" i="1"/>
  <c r="F23" i="1"/>
  <c r="DF22" i="1"/>
  <c r="DD22" i="1"/>
  <c r="DA22" i="1"/>
  <c r="CW22" i="1"/>
  <c r="CU22" i="1"/>
  <c r="CR22" i="1"/>
  <c r="CN22" i="1"/>
  <c r="CL22" i="1"/>
  <c r="CI22" i="1"/>
  <c r="CE22" i="1"/>
  <c r="CC22" i="1"/>
  <c r="BZ22" i="1"/>
  <c r="BV22" i="1"/>
  <c r="BT22" i="1"/>
  <c r="BQ22" i="1"/>
  <c r="BM22" i="1"/>
  <c r="BK22" i="1"/>
  <c r="BL22" i="1" s="1"/>
  <c r="BD22" i="1"/>
  <c r="BB22" i="1"/>
  <c r="AY22" i="1"/>
  <c r="AU22" i="1"/>
  <c r="AS22" i="1"/>
  <c r="AP22" i="1"/>
  <c r="AL22" i="1"/>
  <c r="AJ22" i="1"/>
  <c r="AK22" i="1" s="1"/>
  <c r="AG22" i="1"/>
  <c r="AC22" i="1"/>
  <c r="AA22" i="1"/>
  <c r="X22" i="1"/>
  <c r="T22" i="1"/>
  <c r="R22" i="1"/>
  <c r="S22" i="1" s="1"/>
  <c r="O22" i="1"/>
  <c r="K22" i="1"/>
  <c r="I22" i="1"/>
  <c r="F22" i="1"/>
  <c r="DF21" i="1"/>
  <c r="DD21" i="1"/>
  <c r="DA21" i="1"/>
  <c r="CW21" i="1"/>
  <c r="CU21" i="1"/>
  <c r="CV21" i="1" s="1"/>
  <c r="CR21" i="1"/>
  <c r="CN21" i="1"/>
  <c r="CL21" i="1"/>
  <c r="CI21" i="1"/>
  <c r="CE21" i="1"/>
  <c r="CC21" i="1"/>
  <c r="BZ21" i="1"/>
  <c r="BV21" i="1"/>
  <c r="BT21" i="1"/>
  <c r="BQ21" i="1"/>
  <c r="BM21" i="1"/>
  <c r="BK21" i="1"/>
  <c r="BD21" i="1"/>
  <c r="BB21" i="1"/>
  <c r="AY21" i="1"/>
  <c r="AU21" i="1"/>
  <c r="AS21" i="1"/>
  <c r="AP21" i="1"/>
  <c r="AL21" i="1"/>
  <c r="AJ21" i="1"/>
  <c r="AK21" i="1" s="1"/>
  <c r="AG21" i="1"/>
  <c r="AC21" i="1"/>
  <c r="AA21" i="1"/>
  <c r="X21" i="1"/>
  <c r="T21" i="1"/>
  <c r="R21" i="1"/>
  <c r="O21" i="1"/>
  <c r="K21" i="1"/>
  <c r="I21" i="1"/>
  <c r="F21" i="1"/>
  <c r="DF20" i="1"/>
  <c r="DD20" i="1"/>
  <c r="DA20" i="1"/>
  <c r="CW20" i="1"/>
  <c r="CU20" i="1"/>
  <c r="CR20" i="1"/>
  <c r="CN20" i="1"/>
  <c r="CL20" i="1"/>
  <c r="CM20" i="1" s="1"/>
  <c r="CI20" i="1"/>
  <c r="CE20" i="1"/>
  <c r="CC20" i="1"/>
  <c r="CD20" i="1" s="1"/>
  <c r="BZ20" i="1"/>
  <c r="BV20" i="1"/>
  <c r="BT20" i="1"/>
  <c r="BU20" i="1" s="1"/>
  <c r="BQ20" i="1"/>
  <c r="BM20" i="1"/>
  <c r="BK20" i="1"/>
  <c r="BL20" i="1" s="1"/>
  <c r="BD20" i="1"/>
  <c r="BB20" i="1"/>
  <c r="AY20" i="1"/>
  <c r="AU20" i="1"/>
  <c r="AS20" i="1"/>
  <c r="AP20" i="1"/>
  <c r="AL20" i="1"/>
  <c r="AJ20" i="1"/>
  <c r="AK20" i="1" s="1"/>
  <c r="AG20" i="1"/>
  <c r="AC20" i="1"/>
  <c r="AA20" i="1"/>
  <c r="X20" i="1"/>
  <c r="T20" i="1"/>
  <c r="R20" i="1"/>
  <c r="S20" i="1" s="1"/>
  <c r="O20" i="1"/>
  <c r="K20" i="1"/>
  <c r="I20" i="1"/>
  <c r="F20" i="1"/>
  <c r="DF19" i="1"/>
  <c r="DD19" i="1"/>
  <c r="DE19" i="1" s="1"/>
  <c r="DA19" i="1"/>
  <c r="CW19" i="1"/>
  <c r="CU19" i="1"/>
  <c r="CR19" i="1"/>
  <c r="CN19" i="1"/>
  <c r="CL19" i="1"/>
  <c r="CI19" i="1"/>
  <c r="CE19" i="1"/>
  <c r="CC19" i="1"/>
  <c r="BZ19" i="1"/>
  <c r="BV19" i="1"/>
  <c r="BT19" i="1"/>
  <c r="BQ19" i="1"/>
  <c r="BM19" i="1"/>
  <c r="BK19" i="1"/>
  <c r="BL19" i="1" s="1"/>
  <c r="BD19" i="1"/>
  <c r="BB19" i="1"/>
  <c r="AY19" i="1"/>
  <c r="AU19" i="1"/>
  <c r="AS19" i="1"/>
  <c r="AP19" i="1"/>
  <c r="AL19" i="1"/>
  <c r="AJ19" i="1"/>
  <c r="AK19" i="1" s="1"/>
  <c r="AG19" i="1"/>
  <c r="AC19" i="1"/>
  <c r="AA19" i="1"/>
  <c r="AB19" i="1" s="1"/>
  <c r="X19" i="1"/>
  <c r="T19" i="1"/>
  <c r="R19" i="1"/>
  <c r="S19" i="1" s="1"/>
  <c r="O19" i="1"/>
  <c r="K19" i="1"/>
  <c r="I19" i="1"/>
  <c r="F19" i="1"/>
  <c r="DF18" i="1"/>
  <c r="DD18" i="1"/>
  <c r="DA18" i="1"/>
  <c r="CW18" i="1"/>
  <c r="CU18" i="1"/>
  <c r="CR18" i="1"/>
  <c r="CN18" i="1"/>
  <c r="CL18" i="1"/>
  <c r="CM18" i="1" s="1"/>
  <c r="CI18" i="1"/>
  <c r="CE18" i="1"/>
  <c r="CC18" i="1"/>
  <c r="BZ18" i="1"/>
  <c r="BV18" i="1"/>
  <c r="BT18" i="1"/>
  <c r="BQ18" i="1"/>
  <c r="BM18" i="1"/>
  <c r="BK18" i="1"/>
  <c r="BL18" i="1" s="1"/>
  <c r="BD18" i="1"/>
  <c r="BB18" i="1"/>
  <c r="AY18" i="1"/>
  <c r="AU18" i="1"/>
  <c r="AS18" i="1"/>
  <c r="AP18" i="1"/>
  <c r="AL18" i="1"/>
  <c r="AJ18" i="1"/>
  <c r="AK18" i="1" s="1"/>
  <c r="AG18" i="1"/>
  <c r="AC18" i="1"/>
  <c r="AA18" i="1"/>
  <c r="X18" i="1"/>
  <c r="T18" i="1"/>
  <c r="R18" i="1"/>
  <c r="S18" i="1" s="1"/>
  <c r="O18" i="1"/>
  <c r="K18" i="1"/>
  <c r="I18" i="1"/>
  <c r="F18" i="1"/>
  <c r="DF17" i="1"/>
  <c r="DD17" i="1"/>
  <c r="DA17" i="1"/>
  <c r="CW17" i="1"/>
  <c r="CU17" i="1"/>
  <c r="CV17" i="1" s="1"/>
  <c r="CR17" i="1"/>
  <c r="CN17" i="1"/>
  <c r="CL17" i="1"/>
  <c r="CI17" i="1"/>
  <c r="CE17" i="1"/>
  <c r="CC17" i="1"/>
  <c r="BZ17" i="1"/>
  <c r="BV17" i="1"/>
  <c r="BT17" i="1"/>
  <c r="BQ17" i="1"/>
  <c r="BM17" i="1"/>
  <c r="BK17" i="1"/>
  <c r="BD17" i="1"/>
  <c r="BB17" i="1"/>
  <c r="AY17" i="1"/>
  <c r="AU17" i="1"/>
  <c r="AS17" i="1"/>
  <c r="AP17" i="1"/>
  <c r="AL17" i="1"/>
  <c r="AJ17" i="1"/>
  <c r="AK17" i="1" s="1"/>
  <c r="AG17" i="1"/>
  <c r="AC17" i="1"/>
  <c r="AA17" i="1"/>
  <c r="AB17" i="1" s="1"/>
  <c r="X17" i="1"/>
  <c r="T17" i="1"/>
  <c r="R17" i="1"/>
  <c r="S17" i="1" s="1"/>
  <c r="O17" i="1"/>
  <c r="K17" i="1"/>
  <c r="I17" i="1"/>
  <c r="F17" i="1"/>
  <c r="DF16" i="1"/>
  <c r="DD16" i="1"/>
  <c r="DA16" i="1"/>
  <c r="CW16" i="1"/>
  <c r="CU16" i="1"/>
  <c r="CR16" i="1"/>
  <c r="CN16" i="1"/>
  <c r="CL16" i="1"/>
  <c r="CM16" i="1" s="1"/>
  <c r="CI16" i="1"/>
  <c r="CE16" i="1"/>
  <c r="CC16" i="1"/>
  <c r="CD16" i="1" s="1"/>
  <c r="BZ16" i="1"/>
  <c r="BV16" i="1"/>
  <c r="BT16" i="1"/>
  <c r="BU16" i="1" s="1"/>
  <c r="BQ16" i="1"/>
  <c r="BM16" i="1"/>
  <c r="BK16" i="1"/>
  <c r="BL16" i="1" s="1"/>
  <c r="BD16" i="1"/>
  <c r="BB16" i="1"/>
  <c r="AY16" i="1"/>
  <c r="AU16" i="1"/>
  <c r="AS16" i="1"/>
  <c r="AP16" i="1"/>
  <c r="AL16" i="1"/>
  <c r="AJ16" i="1"/>
  <c r="AK16" i="1" s="1"/>
  <c r="AG16" i="1"/>
  <c r="AC16" i="1"/>
  <c r="AA16" i="1"/>
  <c r="X16" i="1"/>
  <c r="T16" i="1"/>
  <c r="R16" i="1"/>
  <c r="S16" i="1" s="1"/>
  <c r="O16" i="1"/>
  <c r="K16" i="1"/>
  <c r="I16" i="1"/>
  <c r="F16" i="1"/>
  <c r="DF15" i="1"/>
  <c r="DD15" i="1"/>
  <c r="DE15" i="1" s="1"/>
  <c r="DA15" i="1"/>
  <c r="CW15" i="1"/>
  <c r="CU15" i="1"/>
  <c r="CR15" i="1"/>
  <c r="CN15" i="1"/>
  <c r="CL15" i="1"/>
  <c r="CI15" i="1"/>
  <c r="CE15" i="1"/>
  <c r="CC15" i="1"/>
  <c r="BZ15" i="1"/>
  <c r="BV15" i="1"/>
  <c r="BT15" i="1"/>
  <c r="BQ15" i="1"/>
  <c r="BM15" i="1"/>
  <c r="BK15" i="1"/>
  <c r="BL15" i="1" s="1"/>
  <c r="BD15" i="1"/>
  <c r="BB15" i="1"/>
  <c r="AY15" i="1"/>
  <c r="AU15" i="1"/>
  <c r="AS15" i="1"/>
  <c r="AP15" i="1"/>
  <c r="AL15" i="1"/>
  <c r="AJ15" i="1"/>
  <c r="AK15" i="1" s="1"/>
  <c r="AG15" i="1"/>
  <c r="AC15" i="1"/>
  <c r="AA15" i="1"/>
  <c r="X15" i="1"/>
  <c r="T15" i="1"/>
  <c r="R15" i="1"/>
  <c r="S15" i="1" s="1"/>
  <c r="O15" i="1"/>
  <c r="K15" i="1"/>
  <c r="I15" i="1"/>
  <c r="F15" i="1"/>
  <c r="DF14" i="1"/>
  <c r="DD14" i="1"/>
  <c r="DA14" i="1"/>
  <c r="CW14" i="1"/>
  <c r="CU14" i="1"/>
  <c r="CR14" i="1"/>
  <c r="CN14" i="1"/>
  <c r="CL14" i="1"/>
  <c r="CI14" i="1"/>
  <c r="CE14" i="1"/>
  <c r="CC14" i="1"/>
  <c r="BZ14" i="1"/>
  <c r="BV14" i="1"/>
  <c r="BT14" i="1"/>
  <c r="BQ14" i="1"/>
  <c r="BM14" i="1"/>
  <c r="BK14" i="1"/>
  <c r="BL14" i="1" s="1"/>
  <c r="BD14" i="1"/>
  <c r="BB14" i="1"/>
  <c r="AY14" i="1"/>
  <c r="AU14" i="1"/>
  <c r="AS14" i="1"/>
  <c r="AP14" i="1"/>
  <c r="AL14" i="1"/>
  <c r="AJ14" i="1"/>
  <c r="AK14" i="1" s="1"/>
  <c r="AG14" i="1"/>
  <c r="AC14" i="1"/>
  <c r="AA14" i="1"/>
  <c r="X14" i="1"/>
  <c r="T14" i="1"/>
  <c r="R14" i="1"/>
  <c r="S14" i="1" s="1"/>
  <c r="O14" i="1"/>
  <c r="K14" i="1"/>
  <c r="I14" i="1"/>
  <c r="F14" i="1"/>
  <c r="DF13" i="1"/>
  <c r="DD13" i="1"/>
  <c r="DA13" i="1"/>
  <c r="CW13" i="1"/>
  <c r="CU13" i="1"/>
  <c r="CV13" i="1" s="1"/>
  <c r="CR13" i="1"/>
  <c r="CN13" i="1"/>
  <c r="CL13" i="1"/>
  <c r="CI13" i="1"/>
  <c r="CE13" i="1"/>
  <c r="CC13" i="1"/>
  <c r="BZ13" i="1"/>
  <c r="BV13" i="1"/>
  <c r="BT13" i="1"/>
  <c r="BQ13" i="1"/>
  <c r="BM13" i="1"/>
  <c r="BK13" i="1"/>
  <c r="BD13" i="1"/>
  <c r="BB13" i="1"/>
  <c r="AY13" i="1"/>
  <c r="AU13" i="1"/>
  <c r="AS13" i="1"/>
  <c r="AP13" i="1"/>
  <c r="AL13" i="1"/>
  <c r="AJ13" i="1"/>
  <c r="AK13" i="1" s="1"/>
  <c r="AG13" i="1"/>
  <c r="AC13" i="1"/>
  <c r="AA13" i="1"/>
  <c r="X13" i="1"/>
  <c r="T13" i="1"/>
  <c r="R13" i="1"/>
  <c r="S13" i="1" s="1"/>
  <c r="O13" i="1"/>
  <c r="K13" i="1"/>
  <c r="I13" i="1"/>
  <c r="F13" i="1"/>
  <c r="DF12" i="1"/>
  <c r="DD12" i="1"/>
  <c r="DA12" i="1"/>
  <c r="CW12" i="1"/>
  <c r="CU12" i="1"/>
  <c r="CR12" i="1"/>
  <c r="CN12" i="1"/>
  <c r="CL12" i="1"/>
  <c r="CM12" i="1" s="1"/>
  <c r="CI12" i="1"/>
  <c r="CE12" i="1"/>
  <c r="CC12" i="1"/>
  <c r="CD12" i="1" s="1"/>
  <c r="BZ12" i="1"/>
  <c r="BV12" i="1"/>
  <c r="BT12" i="1"/>
  <c r="BU12" i="1" s="1"/>
  <c r="BQ12" i="1"/>
  <c r="BM12" i="1"/>
  <c r="BK12" i="1"/>
  <c r="BL12" i="1" s="1"/>
  <c r="BD12" i="1"/>
  <c r="BB12" i="1"/>
  <c r="AY12" i="1"/>
  <c r="AU12" i="1"/>
  <c r="AS12" i="1"/>
  <c r="AP12" i="1"/>
  <c r="AL12" i="1"/>
  <c r="AJ12" i="1"/>
  <c r="AK12" i="1" s="1"/>
  <c r="AG12" i="1"/>
  <c r="AC12" i="1"/>
  <c r="AA12" i="1"/>
  <c r="X12" i="1"/>
  <c r="T12" i="1"/>
  <c r="R12" i="1"/>
  <c r="S12" i="1" s="1"/>
  <c r="O12" i="1"/>
  <c r="K12" i="1"/>
  <c r="I12" i="1"/>
  <c r="F12" i="1"/>
  <c r="DF11" i="1"/>
  <c r="DD11" i="1"/>
  <c r="DE11" i="1" s="1"/>
  <c r="DA11" i="1"/>
  <c r="CW11" i="1"/>
  <c r="CU11" i="1"/>
  <c r="CR11" i="1"/>
  <c r="CN11" i="1"/>
  <c r="CL11" i="1"/>
  <c r="CI11" i="1"/>
  <c r="CE11" i="1"/>
  <c r="CC11" i="1"/>
  <c r="BZ11" i="1"/>
  <c r="BV11" i="1"/>
  <c r="BT11" i="1"/>
  <c r="BQ11" i="1"/>
  <c r="BM11" i="1"/>
  <c r="BK11" i="1"/>
  <c r="BL11" i="1" s="1"/>
  <c r="BD11" i="1"/>
  <c r="BB11" i="1"/>
  <c r="AY11" i="1"/>
  <c r="AU11" i="1"/>
  <c r="AS11" i="1"/>
  <c r="AP11" i="1"/>
  <c r="AL11" i="1"/>
  <c r="AJ11" i="1"/>
  <c r="AK11" i="1" s="1"/>
  <c r="AG11" i="1"/>
  <c r="AC11" i="1"/>
  <c r="AA11" i="1"/>
  <c r="X11" i="1"/>
  <c r="T11" i="1"/>
  <c r="R11" i="1"/>
  <c r="S11" i="1" s="1"/>
  <c r="O11" i="1"/>
  <c r="K11" i="1"/>
  <c r="I11" i="1"/>
  <c r="F11" i="1"/>
  <c r="DF10" i="1"/>
  <c r="DD10" i="1"/>
  <c r="DA10" i="1"/>
  <c r="CW10" i="1"/>
  <c r="CU10" i="1"/>
  <c r="CR10" i="1"/>
  <c r="CN10" i="1"/>
  <c r="CL10" i="1"/>
  <c r="CI10" i="1"/>
  <c r="CE10" i="1"/>
  <c r="CC10" i="1"/>
  <c r="BZ10" i="1"/>
  <c r="BV10" i="1"/>
  <c r="BT10" i="1"/>
  <c r="BQ10" i="1"/>
  <c r="BM10" i="1"/>
  <c r="BK10" i="1"/>
  <c r="BL10" i="1" s="1"/>
  <c r="BD10" i="1"/>
  <c r="BB10" i="1"/>
  <c r="AY10" i="1"/>
  <c r="AU10" i="1"/>
  <c r="AS10" i="1"/>
  <c r="AP10" i="1"/>
  <c r="AL10" i="1"/>
  <c r="AJ10" i="1"/>
  <c r="AK10" i="1" s="1"/>
  <c r="AG10" i="1"/>
  <c r="AC10" i="1"/>
  <c r="AA10" i="1"/>
  <c r="X10" i="1"/>
  <c r="T10" i="1"/>
  <c r="R10" i="1"/>
  <c r="S10" i="1" s="1"/>
  <c r="O10" i="1"/>
  <c r="K10" i="1"/>
  <c r="I10" i="1"/>
  <c r="F10" i="1"/>
  <c r="DF9" i="1"/>
  <c r="DD9" i="1"/>
  <c r="DA9" i="1"/>
  <c r="CW9" i="1"/>
  <c r="CU9" i="1"/>
  <c r="CV9" i="1" s="1"/>
  <c r="CR9" i="1"/>
  <c r="CN9" i="1"/>
  <c r="CL9" i="1"/>
  <c r="CI9" i="1"/>
  <c r="CE9" i="1"/>
  <c r="CC9" i="1"/>
  <c r="BZ9" i="1"/>
  <c r="BV9" i="1"/>
  <c r="BT9" i="1"/>
  <c r="BQ9" i="1"/>
  <c r="BM9" i="1"/>
  <c r="BK9" i="1"/>
  <c r="BD9" i="1"/>
  <c r="BB9" i="1"/>
  <c r="AY9" i="1"/>
  <c r="AU9" i="1"/>
  <c r="AS9" i="1"/>
  <c r="AP9" i="1"/>
  <c r="AL9" i="1"/>
  <c r="AJ9" i="1"/>
  <c r="AK9" i="1" s="1"/>
  <c r="AG9" i="1"/>
  <c r="AC9" i="1"/>
  <c r="AA9" i="1"/>
  <c r="X9" i="1"/>
  <c r="T9" i="1"/>
  <c r="R9" i="1"/>
  <c r="S9" i="1" s="1"/>
  <c r="O9" i="1"/>
  <c r="K9" i="1"/>
  <c r="I9" i="1"/>
  <c r="F9" i="1"/>
  <c r="DF8" i="1"/>
  <c r="DD8" i="1"/>
  <c r="DA8" i="1"/>
  <c r="CW8" i="1"/>
  <c r="CU8" i="1"/>
  <c r="CR8" i="1"/>
  <c r="CN8" i="1"/>
  <c r="CL8" i="1"/>
  <c r="CM8" i="1" s="1"/>
  <c r="CI8" i="1"/>
  <c r="CE8" i="1"/>
  <c r="CC8" i="1"/>
  <c r="CD8" i="1" s="1"/>
  <c r="BZ8" i="1"/>
  <c r="BV8" i="1"/>
  <c r="BT8" i="1"/>
  <c r="BU8" i="1" s="1"/>
  <c r="BQ8" i="1"/>
  <c r="BM8" i="1"/>
  <c r="BK8" i="1"/>
  <c r="BL8" i="1" s="1"/>
  <c r="BD8" i="1"/>
  <c r="BB8" i="1"/>
  <c r="AY8" i="1"/>
  <c r="AU8" i="1"/>
  <c r="AS8" i="1"/>
  <c r="AP8" i="1"/>
  <c r="AL8" i="1"/>
  <c r="AJ8" i="1"/>
  <c r="AK8" i="1" s="1"/>
  <c r="AG8" i="1"/>
  <c r="AC8" i="1"/>
  <c r="AA8" i="1"/>
  <c r="X8" i="1"/>
  <c r="T8" i="1"/>
  <c r="R8" i="1"/>
  <c r="S8" i="1" s="1"/>
  <c r="O8" i="1"/>
  <c r="K8" i="1"/>
  <c r="I8" i="1"/>
  <c r="F8" i="1"/>
  <c r="DF7" i="1"/>
  <c r="DD7" i="1"/>
  <c r="DE7" i="1" s="1"/>
  <c r="DA7" i="1"/>
  <c r="CW7" i="1"/>
  <c r="CU7" i="1"/>
  <c r="CR7" i="1"/>
  <c r="CN7" i="1"/>
  <c r="CL7" i="1"/>
  <c r="CI7" i="1"/>
  <c r="CE7" i="1"/>
  <c r="CC7" i="1"/>
  <c r="BZ7" i="1"/>
  <c r="BV7" i="1"/>
  <c r="BT7" i="1"/>
  <c r="BQ7" i="1"/>
  <c r="BM7" i="1"/>
  <c r="BK7" i="1"/>
  <c r="BL7" i="1" s="1"/>
  <c r="BD7" i="1"/>
  <c r="BB7" i="1"/>
  <c r="AY7" i="1"/>
  <c r="AU7" i="1"/>
  <c r="AS7" i="1"/>
  <c r="AP7" i="1"/>
  <c r="AL7" i="1"/>
  <c r="AJ7" i="1"/>
  <c r="AK7" i="1" s="1"/>
  <c r="AG7" i="1"/>
  <c r="AC7" i="1"/>
  <c r="AA7" i="1"/>
  <c r="X7" i="1"/>
  <c r="T7" i="1"/>
  <c r="R7" i="1"/>
  <c r="S7" i="1" s="1"/>
  <c r="O7" i="1"/>
  <c r="K7" i="1"/>
  <c r="I7" i="1"/>
  <c r="F7" i="1"/>
  <c r="DF6" i="1"/>
  <c r="DD6" i="1"/>
  <c r="DE6" i="1" s="1"/>
  <c r="DA6" i="1"/>
  <c r="CW6" i="1"/>
  <c r="CU6" i="1"/>
  <c r="CV6" i="1" s="1"/>
  <c r="CR6" i="1"/>
  <c r="CN6" i="1"/>
  <c r="CL6" i="1"/>
  <c r="CI6" i="1"/>
  <c r="CE6" i="1"/>
  <c r="CC6" i="1"/>
  <c r="BZ6" i="1"/>
  <c r="BV6" i="1"/>
  <c r="BT6" i="1"/>
  <c r="BQ6" i="1"/>
  <c r="BM6" i="1"/>
  <c r="BK6" i="1"/>
  <c r="BL6" i="1" s="1"/>
  <c r="BD6" i="1"/>
  <c r="BB6" i="1"/>
  <c r="AY6" i="1"/>
  <c r="AU6" i="1"/>
  <c r="AS6" i="1"/>
  <c r="AP6" i="1"/>
  <c r="AL6" i="1"/>
  <c r="AJ6" i="1"/>
  <c r="AK6" i="1" s="1"/>
  <c r="AG6" i="1"/>
  <c r="AC6" i="1"/>
  <c r="AA6" i="1"/>
  <c r="X6" i="1"/>
  <c r="T6" i="1"/>
  <c r="R6" i="1"/>
  <c r="S6" i="1" s="1"/>
  <c r="O6" i="1"/>
  <c r="K6" i="1"/>
  <c r="I6" i="1"/>
  <c r="F6" i="1"/>
  <c r="DF5" i="1"/>
  <c r="DD5" i="1"/>
  <c r="DE5" i="1" s="1"/>
  <c r="DA5" i="1"/>
  <c r="CW5" i="1"/>
  <c r="CU5" i="1"/>
  <c r="CV5" i="1" s="1"/>
  <c r="CR5" i="1"/>
  <c r="CN5" i="1"/>
  <c r="CL5" i="1"/>
  <c r="CM5" i="1" s="1"/>
  <c r="CI5" i="1"/>
  <c r="CE5" i="1"/>
  <c r="CC5" i="1"/>
  <c r="BZ5" i="1"/>
  <c r="BV5" i="1"/>
  <c r="BT5" i="1"/>
  <c r="BQ5" i="1"/>
  <c r="BM5" i="1"/>
  <c r="BK5" i="1"/>
  <c r="BD5" i="1"/>
  <c r="BB5" i="1"/>
  <c r="AY5" i="1"/>
  <c r="AU5" i="1"/>
  <c r="AS5" i="1"/>
  <c r="AP5" i="1"/>
  <c r="AL5" i="1"/>
  <c r="AJ5" i="1"/>
  <c r="AK5" i="1" s="1"/>
  <c r="AG5" i="1"/>
  <c r="AC5" i="1"/>
  <c r="AA5" i="1"/>
  <c r="X5" i="1"/>
  <c r="T5" i="1"/>
  <c r="R5" i="1"/>
  <c r="S5" i="1" s="1"/>
  <c r="O5" i="1"/>
  <c r="K5" i="1"/>
  <c r="I5" i="1"/>
  <c r="F5" i="1"/>
  <c r="DF4" i="1"/>
  <c r="DD4" i="1"/>
  <c r="DE4" i="1" s="1"/>
  <c r="DA4" i="1"/>
  <c r="CW4" i="1"/>
  <c r="CU4" i="1"/>
  <c r="CV4" i="1" s="1"/>
  <c r="CR4" i="1"/>
  <c r="CN4" i="1"/>
  <c r="CL4" i="1"/>
  <c r="CM4" i="1" s="1"/>
  <c r="CI4" i="1"/>
  <c r="CE4" i="1"/>
  <c r="CC4" i="1"/>
  <c r="CD4" i="1" s="1"/>
  <c r="BZ4" i="1"/>
  <c r="BV4" i="1"/>
  <c r="BT4" i="1"/>
  <c r="BU4" i="1" s="1"/>
  <c r="BQ4" i="1"/>
  <c r="BM4" i="1"/>
  <c r="BK4" i="1"/>
  <c r="BL4" i="1" s="1"/>
  <c r="BD4" i="1"/>
  <c r="BB4" i="1"/>
  <c r="AY4" i="1"/>
  <c r="AU4" i="1"/>
  <c r="AS4" i="1"/>
  <c r="AP4" i="1"/>
  <c r="AL4" i="1"/>
  <c r="AJ4" i="1"/>
  <c r="AK4" i="1" s="1"/>
  <c r="AG4" i="1"/>
  <c r="AC4" i="1"/>
  <c r="AA4" i="1"/>
  <c r="X4" i="1"/>
  <c r="R4" i="1"/>
  <c r="O4" i="1"/>
  <c r="I4" i="1"/>
  <c r="K4" i="1"/>
  <c r="F4" i="1"/>
  <c r="DF3" i="1"/>
  <c r="DD3" i="1"/>
  <c r="DE3" i="1" s="1"/>
  <c r="DA3" i="1"/>
  <c r="CW3" i="1"/>
  <c r="CU3" i="1"/>
  <c r="CV3" i="1" s="1"/>
  <c r="CR3" i="1"/>
  <c r="CN3" i="1"/>
  <c r="CL3" i="1"/>
  <c r="CM3" i="1" s="1"/>
  <c r="CI3" i="1"/>
  <c r="CE3" i="1"/>
  <c r="CC3" i="1"/>
  <c r="CD3" i="1" s="1"/>
  <c r="BZ3" i="1"/>
  <c r="BV3" i="1"/>
  <c r="BT3" i="1"/>
  <c r="BU3" i="1" s="1"/>
  <c r="BQ3" i="1"/>
  <c r="BM3" i="1"/>
  <c r="BK3" i="1"/>
  <c r="BL3" i="1" s="1"/>
  <c r="BH3" i="1"/>
  <c r="BD3" i="1"/>
  <c r="BB3" i="1"/>
  <c r="BC3" i="1" s="1"/>
  <c r="AY3" i="1"/>
  <c r="AU3" i="1"/>
  <c r="AS3" i="1"/>
  <c r="AT3" i="1" s="1"/>
  <c r="AP3" i="1"/>
  <c r="AL3" i="1"/>
  <c r="AJ3" i="1"/>
  <c r="AK3" i="1" s="1"/>
  <c r="AG3" i="1"/>
  <c r="AC3" i="1"/>
  <c r="AA3" i="1"/>
  <c r="X3" i="1"/>
  <c r="T3" i="1"/>
  <c r="R3" i="1"/>
  <c r="O3" i="1"/>
  <c r="K3" i="1"/>
  <c r="I3" i="1"/>
  <c r="F3" i="1"/>
  <c r="DE48" i="1" l="1"/>
  <c r="DE50" i="1"/>
  <c r="DE61" i="1"/>
  <c r="DE65" i="1"/>
  <c r="DE71" i="1"/>
  <c r="DE78" i="1"/>
  <c r="DE80" i="1"/>
  <c r="DE88" i="1"/>
  <c r="DE108" i="1"/>
  <c r="DE69" i="1"/>
  <c r="DE115" i="1"/>
  <c r="DE36" i="1"/>
  <c r="DE37" i="1"/>
  <c r="DE46" i="1"/>
  <c r="DE51" i="1"/>
  <c r="DE53" i="1"/>
  <c r="DE66" i="1"/>
  <c r="DE75" i="1"/>
  <c r="DE76" i="1"/>
  <c r="DE85" i="1"/>
  <c r="DE94" i="1"/>
  <c r="DE95" i="1"/>
  <c r="DE10" i="1"/>
  <c r="DE14" i="1"/>
  <c r="DE18" i="1"/>
  <c r="DE22" i="1"/>
  <c r="DE26" i="1"/>
  <c r="DE30" i="1"/>
  <c r="DE34" i="1"/>
  <c r="DE9" i="1"/>
  <c r="DE13" i="1"/>
  <c r="DE17" i="1"/>
  <c r="DE21" i="1"/>
  <c r="DE25" i="1"/>
  <c r="DE29" i="1"/>
  <c r="DE33" i="1"/>
  <c r="DE8" i="1"/>
  <c r="DE12" i="1"/>
  <c r="DE16" i="1"/>
  <c r="DE20" i="1"/>
  <c r="DE24" i="1"/>
  <c r="DE28" i="1"/>
  <c r="DE32" i="1"/>
  <c r="CV37" i="1"/>
  <c r="CV43" i="1"/>
  <c r="CV47" i="1"/>
  <c r="CV49" i="1"/>
  <c r="CV63" i="1"/>
  <c r="CV70" i="1"/>
  <c r="CV78" i="1"/>
  <c r="CV86" i="1"/>
  <c r="CV87" i="1"/>
  <c r="CV98" i="1"/>
  <c r="CV104" i="1"/>
  <c r="CV105" i="1"/>
  <c r="CV106" i="1"/>
  <c r="CV42" i="1"/>
  <c r="CV52" i="1"/>
  <c r="CV62" i="1"/>
  <c r="CV73" i="1"/>
  <c r="CV82" i="1"/>
  <c r="CV94" i="1"/>
  <c r="CV96" i="1"/>
  <c r="CV113" i="1"/>
  <c r="CV8" i="1"/>
  <c r="CV12" i="1"/>
  <c r="CV16" i="1"/>
  <c r="CV20" i="1"/>
  <c r="CV24" i="1"/>
  <c r="CV28" i="1"/>
  <c r="CV32" i="1"/>
  <c r="CV7" i="1"/>
  <c r="CV11" i="1"/>
  <c r="CV15" i="1"/>
  <c r="CV19" i="1"/>
  <c r="CV23" i="1"/>
  <c r="CV27" i="1"/>
  <c r="CV31" i="1"/>
  <c r="CV10" i="1"/>
  <c r="CV14" i="1"/>
  <c r="CV18" i="1"/>
  <c r="CV22" i="1"/>
  <c r="CV26" i="1"/>
  <c r="CV30" i="1"/>
  <c r="CM37" i="1"/>
  <c r="CM38" i="1"/>
  <c r="CM71" i="1"/>
  <c r="CM75" i="1"/>
  <c r="CM78" i="1"/>
  <c r="CM84" i="1"/>
  <c r="CM94" i="1"/>
  <c r="CM99" i="1"/>
  <c r="CM104" i="1"/>
  <c r="CM7" i="1"/>
  <c r="CM11" i="1"/>
  <c r="CM15" i="1"/>
  <c r="CM19" i="1"/>
  <c r="CM23" i="1"/>
  <c r="CM27" i="1"/>
  <c r="CM31" i="1"/>
  <c r="CM35" i="1"/>
  <c r="CM6" i="1"/>
  <c r="CM10" i="1"/>
  <c r="CM14" i="1"/>
  <c r="CM22" i="1"/>
  <c r="CM26" i="1"/>
  <c r="CM34" i="1"/>
  <c r="CM9" i="1"/>
  <c r="CM13" i="1"/>
  <c r="CM17" i="1"/>
  <c r="CM21" i="1"/>
  <c r="CM25" i="1"/>
  <c r="CM29" i="1"/>
  <c r="CM33" i="1"/>
  <c r="CD37" i="1"/>
  <c r="CD60" i="1"/>
  <c r="CD61" i="1"/>
  <c r="CD74" i="1"/>
  <c r="CD75" i="1"/>
  <c r="CD85" i="1"/>
  <c r="CD94" i="1"/>
  <c r="CD99" i="1"/>
  <c r="CD111" i="1"/>
  <c r="CD115" i="1"/>
  <c r="CD36" i="1"/>
  <c r="CD42" i="1"/>
  <c r="CD45" i="1"/>
  <c r="CD51" i="1"/>
  <c r="CD65" i="1"/>
  <c r="CD78" i="1"/>
  <c r="CD93" i="1"/>
  <c r="CD97" i="1"/>
  <c r="CD98" i="1"/>
  <c r="CD105" i="1"/>
  <c r="CD110" i="1"/>
  <c r="CD114" i="1"/>
  <c r="CD11" i="1"/>
  <c r="CD15" i="1"/>
  <c r="CD19" i="1"/>
  <c r="CD27" i="1"/>
  <c r="CD31" i="1"/>
  <c r="CD35" i="1"/>
  <c r="CD6" i="1"/>
  <c r="CD10" i="1"/>
  <c r="CD14" i="1"/>
  <c r="CD18" i="1"/>
  <c r="CD22" i="1"/>
  <c r="CD26" i="1"/>
  <c r="CD30" i="1"/>
  <c r="CD34" i="1"/>
  <c r="CD7" i="1"/>
  <c r="CD23" i="1"/>
  <c r="CD5" i="1"/>
  <c r="CD9" i="1"/>
  <c r="CD13" i="1"/>
  <c r="CD17" i="1"/>
  <c r="CD21" i="1"/>
  <c r="CD25" i="1"/>
  <c r="CD29" i="1"/>
  <c r="CD33" i="1"/>
  <c r="BU39" i="1"/>
  <c r="BU90" i="1"/>
  <c r="BU98" i="1"/>
  <c r="BU99" i="1"/>
  <c r="BU100" i="1"/>
  <c r="BU101" i="1"/>
  <c r="BU105" i="1"/>
  <c r="BU37" i="1"/>
  <c r="BU44" i="1"/>
  <c r="BU66" i="1"/>
  <c r="BU67" i="1"/>
  <c r="BU74" i="1"/>
  <c r="BU79" i="1"/>
  <c r="BU80" i="1"/>
  <c r="BU87" i="1"/>
  <c r="BU95" i="1"/>
  <c r="BU104" i="1"/>
  <c r="BU108" i="1"/>
  <c r="BU109" i="1"/>
  <c r="BU110" i="1"/>
  <c r="BU111" i="1"/>
  <c r="BU112" i="1"/>
  <c r="BU113" i="1"/>
  <c r="BU114" i="1"/>
  <c r="BU115" i="1"/>
  <c r="BU36" i="1"/>
  <c r="BU40" i="1"/>
  <c r="BU50" i="1"/>
  <c r="BU56" i="1"/>
  <c r="BU58" i="1"/>
  <c r="BU72" i="1"/>
  <c r="BU85" i="1"/>
  <c r="BU103" i="1"/>
  <c r="BU116" i="1"/>
  <c r="BU19" i="1"/>
  <c r="BU27" i="1"/>
  <c r="BU14" i="1"/>
  <c r="BU18" i="1"/>
  <c r="BU22" i="1"/>
  <c r="BU26" i="1"/>
  <c r="BU30" i="1"/>
  <c r="BU34" i="1"/>
  <c r="BU7" i="1"/>
  <c r="BU11" i="1"/>
  <c r="BU15" i="1"/>
  <c r="BU23" i="1"/>
  <c r="BU31" i="1"/>
  <c r="BU35" i="1"/>
  <c r="BU6" i="1"/>
  <c r="BU10" i="1"/>
  <c r="BU5" i="1"/>
  <c r="BU9" i="1"/>
  <c r="BU13" i="1"/>
  <c r="BU17" i="1"/>
  <c r="BU21" i="1"/>
  <c r="BU25" i="1"/>
  <c r="BU29" i="1"/>
  <c r="BU33" i="1"/>
  <c r="BL37" i="1"/>
  <c r="BL97" i="1"/>
  <c r="BL73" i="1"/>
  <c r="BL5" i="1"/>
  <c r="BL9" i="1"/>
  <c r="BL13" i="1"/>
  <c r="BL17" i="1"/>
  <c r="BL21" i="1"/>
  <c r="BL25" i="1"/>
  <c r="BL29" i="1"/>
  <c r="BL33" i="1"/>
  <c r="BL36" i="1"/>
  <c r="BL102" i="1"/>
  <c r="BL104" i="1"/>
  <c r="BL115" i="1"/>
  <c r="BL98" i="1"/>
  <c r="BL101" i="1"/>
  <c r="BL106" i="1"/>
  <c r="BC105" i="1"/>
  <c r="BC110" i="1"/>
  <c r="BC36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AT56" i="1"/>
  <c r="AT37" i="1"/>
  <c r="AT38" i="1"/>
  <c r="AT45" i="1"/>
  <c r="AT46" i="1"/>
  <c r="AT52" i="1"/>
  <c r="AT53" i="1"/>
  <c r="AT77" i="1"/>
  <c r="AT78" i="1"/>
  <c r="AT85" i="1"/>
  <c r="AT86" i="1"/>
  <c r="AT102" i="1"/>
  <c r="AT103" i="1"/>
  <c r="AT107" i="1"/>
  <c r="AT59" i="1"/>
  <c r="AT60" i="1"/>
  <c r="AT67" i="1"/>
  <c r="AT68" i="1"/>
  <c r="AT92" i="1"/>
  <c r="AT93" i="1"/>
  <c r="AT101" i="1"/>
  <c r="AT106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K98" i="1"/>
  <c r="AK99" i="1"/>
  <c r="AK100" i="1"/>
  <c r="AK109" i="1"/>
  <c r="AK110" i="1"/>
  <c r="AK111" i="1"/>
  <c r="AK101" i="1"/>
  <c r="AK102" i="1"/>
  <c r="AB44" i="1"/>
  <c r="AB51" i="1"/>
  <c r="AB55" i="1"/>
  <c r="AB61" i="1"/>
  <c r="AB65" i="1"/>
  <c r="AB69" i="1"/>
  <c r="AB72" i="1"/>
  <c r="AB76" i="1"/>
  <c r="AB82" i="1"/>
  <c r="AB86" i="1"/>
  <c r="AB89" i="1"/>
  <c r="AB95" i="1"/>
  <c r="AB104" i="1"/>
  <c r="AB111" i="1"/>
  <c r="AB114" i="1"/>
  <c r="AB39" i="1"/>
  <c r="AB42" i="1"/>
  <c r="AB46" i="1"/>
  <c r="AB49" i="1"/>
  <c r="AB53" i="1"/>
  <c r="AB59" i="1"/>
  <c r="AB63" i="1"/>
  <c r="AB67" i="1"/>
  <c r="AB71" i="1"/>
  <c r="AB74" i="1"/>
  <c r="AB80" i="1"/>
  <c r="AB84" i="1"/>
  <c r="AB91" i="1"/>
  <c r="AB99" i="1"/>
  <c r="AB102" i="1"/>
  <c r="AB106" i="1"/>
  <c r="AB109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8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S40" i="1"/>
  <c r="S48" i="1"/>
  <c r="S57" i="1"/>
  <c r="S80" i="1"/>
  <c r="S89" i="1"/>
  <c r="S98" i="1"/>
  <c r="S109" i="1"/>
  <c r="S38" i="1"/>
  <c r="S41" i="1"/>
  <c r="S46" i="1"/>
  <c r="S49" i="1"/>
  <c r="S70" i="1"/>
  <c r="S73" i="1"/>
  <c r="S78" i="1"/>
  <c r="S81" i="1"/>
  <c r="S97" i="1"/>
  <c r="S99" i="1"/>
  <c r="S107" i="1"/>
  <c r="S115" i="1"/>
  <c r="S63" i="1"/>
  <c r="S75" i="1"/>
  <c r="S83" i="1"/>
  <c r="S87" i="1"/>
  <c r="S91" i="1"/>
  <c r="S113" i="1"/>
  <c r="S84" i="1"/>
  <c r="S92" i="1"/>
  <c r="S116" i="1"/>
  <c r="S21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67" i="1"/>
  <c r="S71" i="1"/>
  <c r="S76" i="1"/>
  <c r="S79" i="1"/>
  <c r="S95" i="1"/>
  <c r="S104" i="1"/>
  <c r="J89" i="1"/>
  <c r="J3" i="1"/>
  <c r="AB3" i="1"/>
  <c r="AB36" i="1"/>
  <c r="S37" i="1"/>
  <c r="S42" i="1"/>
  <c r="S45" i="1"/>
  <c r="S50" i="1"/>
  <c r="S53" i="1"/>
  <c r="S58" i="1"/>
  <c r="S61" i="1"/>
  <c r="S66" i="1"/>
  <c r="S69" i="1"/>
  <c r="S74" i="1"/>
  <c r="S77" i="1"/>
  <c r="S82" i="1"/>
  <c r="S85" i="1"/>
  <c r="S90" i="1"/>
  <c r="S93" i="1"/>
  <c r="S103" i="1"/>
  <c r="S106" i="1"/>
  <c r="S111" i="1"/>
  <c r="S114" i="1"/>
  <c r="S3" i="1"/>
  <c r="S4" i="1"/>
  <c r="J40" i="1"/>
  <c r="J44" i="1"/>
  <c r="J48" i="1"/>
  <c r="J52" i="1"/>
  <c r="J56" i="1"/>
  <c r="J60" i="1"/>
  <c r="J64" i="1"/>
  <c r="J68" i="1"/>
  <c r="J76" i="1"/>
  <c r="J80" i="1"/>
  <c r="J84" i="1"/>
  <c r="J88" i="1"/>
  <c r="J107" i="1"/>
  <c r="J111" i="1"/>
  <c r="J4" i="1"/>
  <c r="J79" i="1"/>
  <c r="J93" i="1"/>
  <c r="J38" i="1"/>
  <c r="J42" i="1"/>
  <c r="J46" i="1"/>
  <c r="J50" i="1"/>
  <c r="J54" i="1"/>
  <c r="J58" i="1"/>
  <c r="J62" i="1"/>
  <c r="J66" i="1"/>
  <c r="J70" i="1"/>
  <c r="J74" i="1"/>
  <c r="J78" i="1"/>
  <c r="J82" i="1"/>
  <c r="J86" i="1"/>
  <c r="J92" i="1"/>
  <c r="J96" i="1"/>
  <c r="J105" i="1"/>
  <c r="J109" i="1"/>
  <c r="J11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T36" i="1"/>
  <c r="BV36" i="1"/>
  <c r="J4" i="2"/>
  <c r="AT4" i="2"/>
  <c r="BV4" i="2"/>
  <c r="J6" i="2"/>
  <c r="S7" i="2"/>
  <c r="BC7" i="2"/>
  <c r="CM7" i="2"/>
  <c r="S11" i="2"/>
  <c r="BC11" i="2"/>
  <c r="CM11" i="2"/>
  <c r="S15" i="2"/>
  <c r="BC15" i="2"/>
  <c r="CM15" i="2"/>
  <c r="S19" i="2"/>
  <c r="BC19" i="2"/>
  <c r="CM19" i="2"/>
  <c r="S23" i="2"/>
  <c r="BC23" i="2"/>
  <c r="S26" i="2"/>
  <c r="BU30" i="2"/>
  <c r="BL33" i="2"/>
  <c r="J72" i="2"/>
  <c r="AT72" i="2"/>
  <c r="CD72" i="2"/>
  <c r="J76" i="2"/>
  <c r="AT76" i="2"/>
  <c r="CD76" i="2"/>
  <c r="J77" i="2"/>
  <c r="AT77" i="2"/>
  <c r="CD77" i="2"/>
  <c r="AP88" i="2"/>
  <c r="AU88" i="2"/>
  <c r="BV88" i="2"/>
  <c r="BQ88" i="2"/>
  <c r="BU88" i="2" s="1"/>
  <c r="CE88" i="2"/>
  <c r="T4" i="1"/>
  <c r="AK4" i="2"/>
  <c r="J7" i="2"/>
  <c r="AT7" i="2"/>
  <c r="CD7" i="2"/>
  <c r="J11" i="2"/>
  <c r="AT11" i="2"/>
  <c r="CD11" i="2"/>
  <c r="J15" i="2"/>
  <c r="AT15" i="2"/>
  <c r="CD15" i="2"/>
  <c r="J19" i="2"/>
  <c r="AT19" i="2"/>
  <c r="CD19" i="2"/>
  <c r="J23" i="2"/>
  <c r="AT23" i="2"/>
  <c r="J26" i="2"/>
  <c r="BV30" i="2"/>
  <c r="BM33" i="2"/>
  <c r="AK72" i="2"/>
  <c r="BU72" i="2"/>
  <c r="DE72" i="2"/>
  <c r="AK76" i="2"/>
  <c r="BU76" i="2"/>
  <c r="DE76" i="2"/>
  <c r="AK77" i="2"/>
  <c r="BU77" i="2"/>
  <c r="DE77" i="2"/>
  <c r="AT88" i="2"/>
  <c r="CN99" i="2"/>
  <c r="CI99" i="2"/>
  <c r="AB4" i="2"/>
  <c r="BL4" i="2"/>
  <c r="CN6" i="2"/>
  <c r="AK7" i="2"/>
  <c r="BU7" i="2"/>
  <c r="DE7" i="2"/>
  <c r="AK11" i="2"/>
  <c r="BU11" i="2"/>
  <c r="DE11" i="2"/>
  <c r="AK15" i="2"/>
  <c r="BU15" i="2"/>
  <c r="DE15" i="2"/>
  <c r="AK19" i="2"/>
  <c r="BU19" i="2"/>
  <c r="DE19" i="2"/>
  <c r="AK23" i="2"/>
  <c r="S56" i="2"/>
  <c r="BC56" i="2"/>
  <c r="S61" i="2"/>
  <c r="BC61" i="2"/>
  <c r="CM61" i="2"/>
  <c r="S65" i="2"/>
  <c r="BC65" i="2"/>
  <c r="CM65" i="2"/>
  <c r="S69" i="2"/>
  <c r="BC69" i="2"/>
  <c r="CM69" i="2"/>
  <c r="S73" i="2"/>
  <c r="BC73" i="2"/>
  <c r="CM73" i="2"/>
  <c r="S78" i="2"/>
  <c r="BC78" i="2"/>
  <c r="AB81" i="2"/>
  <c r="BL81" i="2"/>
  <c r="AK83" i="2"/>
  <c r="BU83" i="2"/>
  <c r="DE83" i="2"/>
  <c r="AK87" i="2"/>
  <c r="BU87" i="2"/>
  <c r="DE87" i="2"/>
  <c r="AB89" i="2"/>
  <c r="BL89" i="2"/>
  <c r="CV89" i="2"/>
  <c r="AB93" i="2"/>
  <c r="BL93" i="2"/>
  <c r="CV93" i="2"/>
  <c r="AB97" i="2"/>
  <c r="BL97" i="2"/>
  <c r="CV97" i="2"/>
  <c r="CV99" i="2"/>
  <c r="AB103" i="2"/>
  <c r="BL103" i="2"/>
  <c r="CV103" i="2"/>
  <c r="S106" i="2"/>
  <c r="BC106" i="2"/>
  <c r="CM106" i="2"/>
  <c r="AB107" i="2"/>
  <c r="BL107" i="2"/>
  <c r="CV107" i="2"/>
  <c r="S110" i="2"/>
  <c r="BC110" i="2"/>
  <c r="CM110" i="2"/>
  <c r="AB111" i="2"/>
  <c r="BL111" i="2"/>
  <c r="CV111" i="2"/>
  <c r="S114" i="2"/>
  <c r="BC114" i="2"/>
  <c r="CM114" i="2"/>
  <c r="AB115" i="2"/>
  <c r="BL115" i="2"/>
  <c r="CV115" i="2"/>
  <c r="S118" i="2"/>
  <c r="BC118" i="2"/>
  <c r="CM118" i="2"/>
  <c r="AB119" i="2"/>
  <c r="BL119" i="2"/>
  <c r="CV119" i="2"/>
  <c r="S5" i="3"/>
  <c r="BC5" i="3"/>
  <c r="CM5" i="3"/>
  <c r="S9" i="3"/>
  <c r="BC9" i="3"/>
  <c r="CM9" i="3"/>
  <c r="S13" i="3"/>
  <c r="BV56" i="2"/>
  <c r="J73" i="2"/>
  <c r="AT73" i="2"/>
  <c r="CD73" i="2"/>
  <c r="J78" i="2"/>
  <c r="AT78" i="2"/>
  <c r="BV78" i="2"/>
  <c r="S81" i="2"/>
  <c r="BC81" i="2"/>
  <c r="AB83" i="2"/>
  <c r="BL83" i="2"/>
  <c r="CV83" i="2"/>
  <c r="AB87" i="2"/>
  <c r="BL87" i="2"/>
  <c r="CV87" i="2"/>
  <c r="S89" i="2"/>
  <c r="BC89" i="2"/>
  <c r="CM89" i="2"/>
  <c r="S93" i="2"/>
  <c r="BC93" i="2"/>
  <c r="CM93" i="2"/>
  <c r="S97" i="2"/>
  <c r="BC97" i="2"/>
  <c r="CM97" i="2"/>
  <c r="CM99" i="2"/>
  <c r="S103" i="2"/>
  <c r="BC103" i="2"/>
  <c r="CM103" i="2"/>
  <c r="J106" i="2"/>
  <c r="AT106" i="2"/>
  <c r="CD106" i="2"/>
  <c r="S107" i="2"/>
  <c r="BC107" i="2"/>
  <c r="CM107" i="2"/>
  <c r="J110" i="2"/>
  <c r="AT110" i="2"/>
  <c r="CD110" i="2"/>
  <c r="S111" i="2"/>
  <c r="BC111" i="2"/>
  <c r="CM111" i="2"/>
  <c r="J114" i="2"/>
  <c r="AT114" i="2"/>
  <c r="CD114" i="2"/>
  <c r="S115" i="2"/>
  <c r="BC115" i="2"/>
  <c r="CM115" i="2"/>
  <c r="J118" i="2"/>
  <c r="AT118" i="2"/>
  <c r="CD118" i="2"/>
  <c r="S119" i="2"/>
  <c r="BC119" i="2"/>
  <c r="CM119" i="2"/>
  <c r="J5" i="3"/>
  <c r="AT5" i="3"/>
  <c r="CD5" i="3"/>
  <c r="J9" i="3"/>
  <c r="AT9" i="3"/>
  <c r="CD9" i="3"/>
  <c r="J13" i="3"/>
  <c r="AT13" i="3"/>
  <c r="AK56" i="2"/>
  <c r="BL58" i="2"/>
  <c r="AK61" i="2"/>
  <c r="BU61" i="2"/>
  <c r="DE61" i="2"/>
  <c r="AK65" i="2"/>
  <c r="BU65" i="2"/>
  <c r="DE65" i="2"/>
  <c r="AK69" i="2"/>
  <c r="BU69" i="2"/>
  <c r="DE69" i="2"/>
  <c r="AK73" i="2"/>
  <c r="BU73" i="2"/>
  <c r="DE73" i="2"/>
  <c r="AK78" i="2"/>
  <c r="J81" i="2"/>
  <c r="AT81" i="2"/>
  <c r="BQ81" i="2"/>
  <c r="BU81" i="2" s="1"/>
  <c r="S83" i="2"/>
  <c r="BC83" i="2"/>
  <c r="CM83" i="2"/>
  <c r="S87" i="2"/>
  <c r="BC87" i="2"/>
  <c r="CM87" i="2"/>
  <c r="J89" i="2"/>
  <c r="AT89" i="2"/>
  <c r="CD89" i="2"/>
  <c r="J93" i="2"/>
  <c r="AT93" i="2"/>
  <c r="CD93" i="2"/>
  <c r="J97" i="2"/>
  <c r="AT97" i="2"/>
  <c r="CD97" i="2"/>
  <c r="J103" i="2"/>
  <c r="AT103" i="2"/>
  <c r="CD103" i="2"/>
  <c r="AK106" i="2"/>
  <c r="BU106" i="2"/>
  <c r="DE106" i="2"/>
  <c r="J107" i="2"/>
  <c r="AT107" i="2"/>
  <c r="CD107" i="2"/>
  <c r="AK110" i="2"/>
  <c r="BU110" i="2"/>
  <c r="DE110" i="2"/>
  <c r="J111" i="2"/>
  <c r="AT111" i="2"/>
  <c r="CD111" i="2"/>
  <c r="AK114" i="2"/>
  <c r="BU114" i="2"/>
  <c r="DE114" i="2"/>
  <c r="J115" i="2"/>
  <c r="AT115" i="2"/>
  <c r="CD115" i="2"/>
  <c r="AK118" i="2"/>
  <c r="BU118" i="2"/>
  <c r="DE118" i="2"/>
  <c r="J119" i="2"/>
  <c r="AT119" i="2"/>
  <c r="CD119" i="2"/>
  <c r="AK5" i="3"/>
  <c r="BU5" i="3"/>
  <c r="DE5" i="3"/>
  <c r="AK9" i="3"/>
  <c r="BU9" i="3"/>
  <c r="DE9" i="3"/>
  <c r="AK13" i="3"/>
  <c r="BC13" i="3"/>
  <c r="CM13" i="3"/>
  <c r="J16" i="3"/>
  <c r="AT16" i="3"/>
  <c r="CD16" i="3"/>
  <c r="S17" i="3"/>
  <c r="BC17" i="3"/>
  <c r="CM17" i="3"/>
  <c r="J20" i="3"/>
  <c r="AT20" i="3"/>
  <c r="CD20" i="3"/>
  <c r="S21" i="3"/>
  <c r="BC21" i="3"/>
  <c r="CM21" i="3"/>
  <c r="J24" i="3"/>
  <c r="AT24" i="3"/>
  <c r="CD24" i="3"/>
  <c r="S25" i="3"/>
  <c r="BC25" i="3"/>
  <c r="CM25" i="3"/>
  <c r="J5" i="4"/>
  <c r="AT5" i="4"/>
  <c r="CD5" i="4"/>
  <c r="S6" i="4"/>
  <c r="BC6" i="4"/>
  <c r="CM6" i="4"/>
  <c r="J9" i="4"/>
  <c r="AT9" i="4"/>
  <c r="CD9" i="4"/>
  <c r="S10" i="4"/>
  <c r="BC10" i="4"/>
  <c r="CM10" i="4"/>
  <c r="J13" i="4"/>
  <c r="AT13" i="4"/>
  <c r="CD13" i="4"/>
  <c r="S14" i="4"/>
  <c r="BC14" i="4"/>
  <c r="CM14" i="4"/>
  <c r="J17" i="4"/>
  <c r="AT17" i="4"/>
  <c r="CD17" i="4"/>
  <c r="S18" i="4"/>
  <c r="BC18" i="4"/>
  <c r="CM18" i="4"/>
  <c r="J21" i="4"/>
  <c r="AT21" i="4"/>
  <c r="CD21" i="4"/>
  <c r="S22" i="4"/>
  <c r="BC22" i="4"/>
  <c r="CM22" i="4"/>
  <c r="J25" i="4"/>
  <c r="AT25" i="4"/>
  <c r="CD25" i="4"/>
  <c r="S26" i="4"/>
  <c r="BC26" i="4"/>
  <c r="CM26" i="4"/>
  <c r="J29" i="4"/>
  <c r="AT29" i="4"/>
  <c r="CD29" i="4"/>
  <c r="S30" i="4"/>
  <c r="BC30" i="4"/>
  <c r="CM30" i="4"/>
  <c r="J34" i="4"/>
  <c r="AT34" i="4"/>
  <c r="CD34" i="4"/>
  <c r="S35" i="4"/>
  <c r="BC35" i="4"/>
  <c r="CM35" i="4"/>
  <c r="J38" i="4"/>
  <c r="AT38" i="4"/>
  <c r="CD38" i="4"/>
  <c r="S39" i="4"/>
  <c r="BC39" i="4"/>
  <c r="CM39" i="4"/>
  <c r="J42" i="4"/>
  <c r="AT42" i="4"/>
  <c r="CD42" i="4"/>
  <c r="S43" i="4"/>
  <c r="BC43" i="4"/>
  <c r="CM43" i="4"/>
  <c r="J46" i="4"/>
  <c r="AT46" i="4"/>
  <c r="CD46" i="4"/>
  <c r="S47" i="4"/>
  <c r="BC47" i="4"/>
  <c r="CM47" i="4"/>
  <c r="J5" i="5"/>
  <c r="AT5" i="5"/>
  <c r="CD5" i="5"/>
  <c r="S6" i="5"/>
  <c r="BC6" i="5"/>
  <c r="CM6" i="5"/>
  <c r="J9" i="5"/>
  <c r="AT9" i="5"/>
  <c r="CD9" i="5"/>
  <c r="S10" i="5"/>
  <c r="BC10" i="5"/>
  <c r="CM10" i="5"/>
  <c r="J13" i="5"/>
  <c r="AT13" i="5"/>
  <c r="CD13" i="5"/>
  <c r="S14" i="5"/>
  <c r="BC14" i="5"/>
  <c r="CM14" i="5"/>
  <c r="J17" i="5"/>
  <c r="AT17" i="5"/>
  <c r="CD17" i="5"/>
  <c r="S18" i="5"/>
  <c r="BC18" i="5"/>
  <c r="CM18" i="5"/>
  <c r="J21" i="5"/>
  <c r="AT21" i="5"/>
  <c r="CD21" i="5"/>
  <c r="CD13" i="3"/>
  <c r="AK16" i="3"/>
  <c r="BU16" i="3"/>
  <c r="DE16" i="3"/>
  <c r="J17" i="3"/>
  <c r="AT17" i="3"/>
  <c r="CD17" i="3"/>
  <c r="AK20" i="3"/>
  <c r="BU20" i="3"/>
  <c r="DE20" i="3"/>
  <c r="J21" i="3"/>
  <c r="AT21" i="3"/>
  <c r="CD21" i="3"/>
  <c r="AK24" i="3"/>
  <c r="BU24" i="3"/>
  <c r="DE24" i="3"/>
  <c r="J25" i="3"/>
  <c r="AT25" i="3"/>
  <c r="CD25" i="3"/>
  <c r="AK5" i="4"/>
  <c r="BU5" i="4"/>
  <c r="DE5" i="4"/>
  <c r="J6" i="4"/>
  <c r="AT6" i="4"/>
  <c r="CD6" i="4"/>
  <c r="AK9" i="4"/>
  <c r="BU9" i="4"/>
  <c r="DE9" i="4"/>
  <c r="J10" i="4"/>
  <c r="AT10" i="4"/>
  <c r="CD10" i="4"/>
  <c r="AK13" i="4"/>
  <c r="BU13" i="4"/>
  <c r="DE13" i="4"/>
  <c r="J14" i="4"/>
  <c r="AT14" i="4"/>
  <c r="CD14" i="4"/>
  <c r="AK17" i="4"/>
  <c r="BU17" i="4"/>
  <c r="DE17" i="4"/>
  <c r="J18" i="4"/>
  <c r="AT18" i="4"/>
  <c r="CD18" i="4"/>
  <c r="AK21" i="4"/>
  <c r="BU21" i="4"/>
  <c r="DE21" i="4"/>
  <c r="J22" i="4"/>
  <c r="AT22" i="4"/>
  <c r="CD22" i="4"/>
  <c r="AK25" i="4"/>
  <c r="BU25" i="4"/>
  <c r="DE25" i="4"/>
  <c r="J26" i="4"/>
  <c r="AT26" i="4"/>
  <c r="CD26" i="4"/>
  <c r="AK29" i="4"/>
  <c r="BU29" i="4"/>
  <c r="DE29" i="4"/>
  <c r="J30" i="4"/>
  <c r="AT30" i="4"/>
  <c r="CD30" i="4"/>
  <c r="AK34" i="4"/>
  <c r="BU34" i="4"/>
  <c r="DE34" i="4"/>
  <c r="AK38" i="4"/>
  <c r="BU38" i="4"/>
  <c r="DE38" i="4"/>
  <c r="S22" i="5"/>
  <c r="BC22" i="5"/>
  <c r="CM22" i="5"/>
  <c r="J25" i="5"/>
  <c r="AT25" i="5"/>
  <c r="CD25" i="5"/>
  <c r="S26" i="5"/>
  <c r="BC26" i="5"/>
  <c r="J29" i="5"/>
  <c r="AT29" i="5"/>
  <c r="CD29" i="5"/>
  <c r="J33" i="5"/>
  <c r="AT33" i="5"/>
  <c r="CD33" i="5"/>
  <c r="J35" i="4"/>
  <c r="AT35" i="4"/>
  <c r="CD35" i="4"/>
  <c r="J39" i="4"/>
  <c r="AT39" i="4"/>
  <c r="CD39" i="4"/>
  <c r="AK42" i="4"/>
  <c r="BU42" i="4"/>
  <c r="DE42" i="4"/>
  <c r="J43" i="4"/>
  <c r="AT43" i="4"/>
  <c r="CD43" i="4"/>
  <c r="AK46" i="4"/>
  <c r="BU46" i="4"/>
  <c r="DE46" i="4"/>
  <c r="J47" i="4"/>
  <c r="AT47" i="4"/>
  <c r="CD47" i="4"/>
  <c r="AK5" i="5"/>
  <c r="BU5" i="5"/>
  <c r="DE5" i="5"/>
  <c r="J6" i="5"/>
  <c r="AT6" i="5"/>
  <c r="CD6" i="5"/>
  <c r="AK9" i="5"/>
  <c r="BU9" i="5"/>
  <c r="DE9" i="5"/>
  <c r="J10" i="5"/>
  <c r="AT10" i="5"/>
  <c r="CD10" i="5"/>
  <c r="AK13" i="5"/>
  <c r="BU13" i="5"/>
  <c r="DE13" i="5"/>
  <c r="J14" i="5"/>
  <c r="AT14" i="5"/>
  <c r="CD14" i="5"/>
  <c r="AK17" i="5"/>
  <c r="BU17" i="5"/>
  <c r="DE17" i="5"/>
  <c r="J18" i="5"/>
  <c r="AT18" i="5"/>
  <c r="CD18" i="5"/>
  <c r="AK21" i="5"/>
  <c r="BU21" i="5"/>
  <c r="DE21" i="5"/>
  <c r="J22" i="5"/>
  <c r="AT22" i="5"/>
  <c r="CD22" i="5"/>
  <c r="AK25" i="5"/>
  <c r="BU25" i="5"/>
  <c r="DE25" i="5"/>
  <c r="J26" i="5"/>
  <c r="AT26" i="5"/>
  <c r="AK29" i="5"/>
  <c r="BU29" i="5"/>
  <c r="DE29" i="5"/>
  <c r="AK33" i="5"/>
  <c r="BU33" i="5"/>
  <c r="DE33" i="5"/>
  <c r="DE31" i="4"/>
  <c r="AK35" i="4"/>
  <c r="BU35" i="4"/>
  <c r="DE35" i="4"/>
  <c r="AK39" i="4"/>
  <c r="BU39" i="4"/>
  <c r="DE39" i="4"/>
  <c r="AB42" i="4"/>
  <c r="BL42" i="4"/>
  <c r="CV42" i="4"/>
  <c r="AK43" i="4"/>
  <c r="BU43" i="4"/>
  <c r="DE43" i="4"/>
  <c r="AB46" i="4"/>
  <c r="BL46" i="4"/>
  <c r="CV46" i="4"/>
  <c r="BU47" i="4"/>
  <c r="DE47" i="4"/>
  <c r="AB5" i="5"/>
  <c r="BL5" i="5"/>
  <c r="CV5" i="5"/>
  <c r="AK6" i="5"/>
  <c r="BU6" i="5"/>
  <c r="DE6" i="5"/>
  <c r="AB9" i="5"/>
  <c r="BL9" i="5"/>
  <c r="CV9" i="5"/>
  <c r="AK10" i="5"/>
  <c r="BU10" i="5"/>
  <c r="DE10" i="5"/>
  <c r="AB13" i="5"/>
  <c r="BL13" i="5"/>
  <c r="CV13" i="5"/>
  <c r="AK14" i="5"/>
  <c r="BU14" i="5"/>
  <c r="DE14" i="5"/>
  <c r="AB17" i="5"/>
  <c r="BL17" i="5"/>
  <c r="CV17" i="5"/>
  <c r="G3" i="6"/>
  <c r="Q3" i="6"/>
  <c r="AA3" i="6"/>
  <c r="H3" i="7"/>
  <c r="L3" i="6"/>
  <c r="AB3" i="7"/>
  <c r="R3" i="7"/>
</calcChain>
</file>

<file path=xl/sharedStrings.xml><?xml version="1.0" encoding="utf-8"?>
<sst xmlns="http://schemas.openxmlformats.org/spreadsheetml/2006/main" count="744" uniqueCount="44">
  <si>
    <t>JAY 10 KG</t>
  </si>
  <si>
    <t>JAY 20 KG</t>
  </si>
  <si>
    <t>05 10 KG</t>
  </si>
  <si>
    <t>DHANWAN 10 KG</t>
  </si>
  <si>
    <t>DHANWAN 5KG</t>
  </si>
  <si>
    <t>SWATI 10 KG</t>
  </si>
  <si>
    <t>SWATI 5 KG</t>
  </si>
  <si>
    <t>S O9 KG</t>
  </si>
  <si>
    <t>SHAKTI 2 KG</t>
  </si>
  <si>
    <t>S 07 2KG</t>
  </si>
  <si>
    <t>S. 77 2 KG</t>
  </si>
  <si>
    <t>GC 4 C/F</t>
  </si>
  <si>
    <t>PARTY NAME</t>
  </si>
  <si>
    <t>place</t>
  </si>
  <si>
    <t>LAST YEAR</t>
  </si>
  <si>
    <t>TOTAL SALE</t>
  </si>
  <si>
    <t>SALE RETURN</t>
  </si>
  <si>
    <t>NET SALE</t>
  </si>
  <si>
    <t>PRICE (AS PER LIST)</t>
  </si>
  <si>
    <t>CN RATE</t>
  </si>
  <si>
    <t>NET RATE</t>
  </si>
  <si>
    <t>TOTAL AMT</t>
  </si>
  <si>
    <t>S R PERCENTAGE</t>
  </si>
  <si>
    <t>Place</t>
  </si>
  <si>
    <t>Gram</t>
  </si>
  <si>
    <t>Savan 07/77</t>
  </si>
  <si>
    <t>Shakti</t>
  </si>
  <si>
    <t>SWATI</t>
  </si>
  <si>
    <t>DHANVAN</t>
  </si>
  <si>
    <t xml:space="preserve">Party name </t>
  </si>
  <si>
    <t>Net Sale</t>
  </si>
  <si>
    <t xml:space="preserve">Price ( as per list ) </t>
  </si>
  <si>
    <t xml:space="preserve">CN ( Per Kg ) </t>
  </si>
  <si>
    <t>net rate</t>
  </si>
  <si>
    <t>Total amount</t>
  </si>
  <si>
    <t>Net sale</t>
  </si>
  <si>
    <t>Price(as per list)</t>
  </si>
  <si>
    <t>Cn</t>
  </si>
  <si>
    <t>Net rate</t>
  </si>
  <si>
    <t>Price (as per list)</t>
  </si>
  <si>
    <t>cn</t>
  </si>
  <si>
    <t>Price (as per ;ist)</t>
  </si>
  <si>
    <t>net sale</t>
  </si>
  <si>
    <t>Min_Price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</si>
</sst>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b/>
      <sz val="12"/>
      <color rgb="FF222A35"/>
      <name val="Calibri"/>
    </font>
    <font>
      <b/>
      <sz val="11"/>
      <color rgb="FF222A35"/>
      <name val="Calibri"/>
    </font>
    <font>
      <b/>
      <sz val="12"/>
      <color theme="1"/>
      <name val="Calibri"/>
    </font>
    <font>
      <sz val="10"/>
      <color theme="1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CD"/>
        <bgColor rgb="FFFFFFCD"/>
      </patternFill>
    </fill>
    <fill>
      <patternFill patternType="solid">
        <fgColor rgb="FFD6DCE4"/>
        <bgColor rgb="FFD6DCE4"/>
      </patternFill>
    </fill>
    <fill>
      <patternFill patternType="solid">
        <fgColor rgb="FFFBE4D5"/>
        <bgColor rgb="FFFBE4D5"/>
      </patternFill>
    </fill>
    <fill>
      <patternFill patternType="solid">
        <fgColor rgb="FFE0D4F8"/>
        <bgColor rgb="FFE0D4F8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FED5A8"/>
        <bgColor rgb="FFFED5A8"/>
      </patternFill>
    </fill>
    <fill>
      <patternFill patternType="solid">
        <fgColor rgb="FFE9FABE"/>
        <bgColor rgb="FFE9FABE"/>
      </patternFill>
    </fill>
    <fill>
      <patternFill patternType="solid">
        <fgColor rgb="FFFBB7E1"/>
        <bgColor rgb="FFFBB7E1"/>
      </patternFill>
    </fill>
    <fill>
      <patternFill patternType="solid">
        <fgColor rgb="FFFCEDB6"/>
        <bgColor rgb="FFFCEDB6"/>
      </patternFill>
    </fill>
    <fill>
      <patternFill patternType="solid">
        <fgColor rgb="FFCABEF4"/>
        <bgColor rgb="FFCABEF4"/>
      </patternFill>
    </fill>
    <fill>
      <patternFill patternType="solid">
        <fgColor rgb="FFD3FAB8"/>
        <bgColor rgb="FFD3FAB8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</fills>
  <borders count="2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7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7" fillId="9" borderId="1" xfId="0" applyFont="1" applyFill="1" applyBorder="1" applyAlignment="1">
      <alignment horizontal="center" wrapText="1"/>
    </xf>
    <xf numFmtId="0" fontId="5" fillId="9" borderId="1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 wrapText="1"/>
    </xf>
    <xf numFmtId="0" fontId="7" fillId="11" borderId="1" xfId="0" applyFont="1" applyFill="1" applyBorder="1" applyAlignment="1">
      <alignment horizontal="center" wrapText="1"/>
    </xf>
    <xf numFmtId="0" fontId="5" fillId="11" borderId="1" xfId="0" applyFont="1" applyFill="1" applyBorder="1" applyAlignment="1">
      <alignment horizontal="center" wrapText="1"/>
    </xf>
    <xf numFmtId="0" fontId="7" fillId="12" borderId="1" xfId="0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 wrapText="1"/>
    </xf>
    <xf numFmtId="0" fontId="7" fillId="13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 wrapText="1"/>
    </xf>
    <xf numFmtId="0" fontId="7" fillId="14" borderId="1" xfId="0" applyFont="1" applyFill="1" applyBorder="1" applyAlignment="1">
      <alignment horizontal="center" wrapText="1"/>
    </xf>
    <xf numFmtId="0" fontId="5" fillId="14" borderId="1" xfId="0" applyFont="1" applyFill="1" applyBorder="1" applyAlignment="1">
      <alignment horizontal="center" wrapText="1"/>
    </xf>
    <xf numFmtId="0" fontId="2" fillId="2" borderId="5" xfId="0" applyFont="1" applyFill="1" applyBorder="1"/>
    <xf numFmtId="0" fontId="2" fillId="2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2" fontId="2" fillId="3" borderId="5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2" fillId="14" borderId="5" xfId="0" applyFont="1" applyFill="1" applyBorder="1" applyAlignment="1">
      <alignment horizontal="center"/>
    </xf>
    <xf numFmtId="0" fontId="2" fillId="2" borderId="6" xfId="0" applyFont="1" applyFill="1" applyBorder="1"/>
    <xf numFmtId="0" fontId="2" fillId="2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2" fontId="2" fillId="3" borderId="7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0" fontId="2" fillId="13" borderId="7" xfId="0" applyFont="1" applyFill="1" applyBorder="1" applyAlignment="1">
      <alignment horizontal="center"/>
    </xf>
    <xf numFmtId="0" fontId="2" fillId="14" borderId="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49" fontId="8" fillId="2" borderId="8" xfId="0" applyNumberFormat="1" applyFont="1" applyFill="1" applyBorder="1" applyAlignment="1">
      <alignment vertical="top" wrapText="1"/>
    </xf>
    <xf numFmtId="49" fontId="8" fillId="2" borderId="9" xfId="0" applyNumberFormat="1" applyFont="1" applyFill="1" applyBorder="1" applyAlignment="1">
      <alignment vertical="top" wrapText="1"/>
    </xf>
    <xf numFmtId="0" fontId="5" fillId="2" borderId="14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7" fillId="3" borderId="15" xfId="0" applyFont="1" applyFill="1" applyBorder="1" applyAlignment="1">
      <alignment horizontal="center" wrapText="1"/>
    </xf>
    <xf numFmtId="0" fontId="5" fillId="3" borderId="15" xfId="0" applyFont="1" applyFill="1" applyBorder="1" applyAlignment="1">
      <alignment horizontal="center" wrapText="1"/>
    </xf>
    <xf numFmtId="0" fontId="7" fillId="4" borderId="15" xfId="0" applyFont="1" applyFill="1" applyBorder="1" applyAlignment="1">
      <alignment horizontal="center" wrapText="1"/>
    </xf>
    <xf numFmtId="0" fontId="5" fillId="4" borderId="15" xfId="0" applyFont="1" applyFill="1" applyBorder="1" applyAlignment="1">
      <alignment horizontal="center" wrapText="1"/>
    </xf>
    <xf numFmtId="0" fontId="7" fillId="5" borderId="15" xfId="0" applyFont="1" applyFill="1" applyBorder="1" applyAlignment="1">
      <alignment horizontal="center" wrapText="1"/>
    </xf>
    <xf numFmtId="0" fontId="5" fillId="5" borderId="15" xfId="0" applyFont="1" applyFill="1" applyBorder="1" applyAlignment="1">
      <alignment horizontal="center" wrapText="1"/>
    </xf>
    <xf numFmtId="0" fontId="7" fillId="6" borderId="15" xfId="0" applyFont="1" applyFill="1" applyBorder="1" applyAlignment="1">
      <alignment horizontal="center" wrapText="1"/>
    </xf>
    <xf numFmtId="0" fontId="5" fillId="6" borderId="15" xfId="0" applyFont="1" applyFill="1" applyBorder="1" applyAlignment="1">
      <alignment horizontal="center" wrapText="1"/>
    </xf>
    <xf numFmtId="0" fontId="7" fillId="7" borderId="15" xfId="0" applyFont="1" applyFill="1" applyBorder="1" applyAlignment="1">
      <alignment horizontal="center" wrapText="1"/>
    </xf>
    <xf numFmtId="0" fontId="5" fillId="7" borderId="15" xfId="0" applyFont="1" applyFill="1" applyBorder="1" applyAlignment="1">
      <alignment horizontal="center" wrapText="1"/>
    </xf>
    <xf numFmtId="0" fontId="7" fillId="8" borderId="15" xfId="0" applyFont="1" applyFill="1" applyBorder="1" applyAlignment="1">
      <alignment horizontal="center" wrapText="1"/>
    </xf>
    <xf numFmtId="0" fontId="5" fillId="8" borderId="15" xfId="0" applyFont="1" applyFill="1" applyBorder="1" applyAlignment="1">
      <alignment horizontal="center" wrapText="1"/>
    </xf>
    <xf numFmtId="0" fontId="7" fillId="9" borderId="15" xfId="0" applyFont="1" applyFill="1" applyBorder="1" applyAlignment="1">
      <alignment horizontal="center" wrapText="1"/>
    </xf>
    <xf numFmtId="0" fontId="5" fillId="9" borderId="15" xfId="0" applyFont="1" applyFill="1" applyBorder="1" applyAlignment="1">
      <alignment horizontal="center" wrapText="1"/>
    </xf>
    <xf numFmtId="0" fontId="7" fillId="10" borderId="15" xfId="0" applyFont="1" applyFill="1" applyBorder="1" applyAlignment="1">
      <alignment horizontal="center" wrapText="1"/>
    </xf>
    <xf numFmtId="0" fontId="5" fillId="10" borderId="15" xfId="0" applyFont="1" applyFill="1" applyBorder="1" applyAlignment="1">
      <alignment horizontal="center" wrapText="1"/>
    </xf>
    <xf numFmtId="0" fontId="7" fillId="11" borderId="15" xfId="0" applyFont="1" applyFill="1" applyBorder="1" applyAlignment="1">
      <alignment horizontal="center" wrapText="1"/>
    </xf>
    <xf numFmtId="0" fontId="5" fillId="11" borderId="15" xfId="0" applyFont="1" applyFill="1" applyBorder="1" applyAlignment="1">
      <alignment horizontal="center" wrapText="1"/>
    </xf>
    <xf numFmtId="0" fontId="7" fillId="12" borderId="15" xfId="0" applyFont="1" applyFill="1" applyBorder="1" applyAlignment="1">
      <alignment horizontal="center" wrapText="1"/>
    </xf>
    <xf numFmtId="0" fontId="5" fillId="12" borderId="15" xfId="0" applyFont="1" applyFill="1" applyBorder="1" applyAlignment="1">
      <alignment horizontal="center" wrapText="1"/>
    </xf>
    <xf numFmtId="0" fontId="7" fillId="14" borderId="15" xfId="0" applyFont="1" applyFill="1" applyBorder="1" applyAlignment="1">
      <alignment horizontal="center" wrapText="1"/>
    </xf>
    <xf numFmtId="0" fontId="5" fillId="14" borderId="15" xfId="0" applyFont="1" applyFill="1" applyBorder="1" applyAlignment="1">
      <alignment horizontal="center" wrapText="1"/>
    </xf>
    <xf numFmtId="0" fontId="7" fillId="14" borderId="16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wrapText="1"/>
    </xf>
    <xf numFmtId="49" fontId="8" fillId="2" borderId="8" xfId="0" applyNumberFormat="1" applyFont="1" applyFill="1" applyBorder="1" applyAlignment="1">
      <alignment horizontal="left" vertical="top" wrapText="1"/>
    </xf>
    <xf numFmtId="49" fontId="8" fillId="2" borderId="9" xfId="0" applyNumberFormat="1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/>
    </xf>
    <xf numFmtId="0" fontId="2" fillId="15" borderId="6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7" borderId="6" xfId="0" applyFont="1" applyFill="1" applyBorder="1" applyAlignment="1">
      <alignment horizontal="center"/>
    </xf>
    <xf numFmtId="0" fontId="2" fillId="18" borderId="6" xfId="0" applyFont="1" applyFill="1" applyBorder="1" applyAlignment="1">
      <alignment horizontal="center"/>
    </xf>
    <xf numFmtId="0" fontId="2" fillId="18" borderId="0" xfId="0" applyFont="1" applyFill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6" fillId="19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15" borderId="23" xfId="0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7" borderId="23" xfId="0" applyFont="1" applyFill="1" applyBorder="1" applyAlignment="1">
      <alignment horizontal="center"/>
    </xf>
    <xf numFmtId="0" fontId="6" fillId="18" borderId="23" xfId="0" applyFont="1" applyFill="1" applyBorder="1" applyAlignment="1">
      <alignment horizontal="center"/>
    </xf>
    <xf numFmtId="0" fontId="2" fillId="15" borderId="6" xfId="0" applyFont="1" applyFill="1" applyBorder="1"/>
    <xf numFmtId="0" fontId="2" fillId="16" borderId="6" xfId="0" applyFont="1" applyFill="1" applyBorder="1"/>
    <xf numFmtId="0" fontId="2" fillId="17" borderId="6" xfId="0" applyFont="1" applyFill="1" applyBorder="1"/>
    <xf numFmtId="0" fontId="2" fillId="18" borderId="6" xfId="0" applyFont="1" applyFill="1" applyBorder="1"/>
    <xf numFmtId="0" fontId="2" fillId="19" borderId="6" xfId="0" applyFont="1" applyFill="1" applyBorder="1"/>
    <xf numFmtId="0" fontId="2" fillId="19" borderId="6" xfId="0" applyFont="1" applyFill="1" applyBorder="1" applyAlignment="1">
      <alignment horizontal="center"/>
    </xf>
    <xf numFmtId="2" fontId="2" fillId="2" borderId="6" xfId="0" applyNumberFormat="1" applyFont="1" applyFill="1" applyBorder="1"/>
    <xf numFmtId="2" fontId="2" fillId="19" borderId="6" xfId="0" applyNumberFormat="1" applyFont="1" applyFill="1" applyBorder="1"/>
    <xf numFmtId="2" fontId="2" fillId="16" borderId="6" xfId="0" applyNumberFormat="1" applyFont="1" applyFill="1" applyBorder="1"/>
    <xf numFmtId="2" fontId="2" fillId="17" borderId="6" xfId="0" applyNumberFormat="1" applyFont="1" applyFill="1" applyBorder="1"/>
    <xf numFmtId="2" fontId="2" fillId="18" borderId="6" xfId="0" applyNumberFormat="1" applyFont="1" applyFill="1" applyBorder="1"/>
    <xf numFmtId="0" fontId="2" fillId="16" borderId="24" xfId="0" applyFont="1" applyFill="1" applyBorder="1"/>
    <xf numFmtId="0" fontId="2" fillId="17" borderId="24" xfId="0" applyFont="1" applyFill="1" applyBorder="1"/>
    <xf numFmtId="0" fontId="2" fillId="18" borderId="24" xfId="0" applyFont="1" applyFill="1" applyBorder="1"/>
    <xf numFmtId="0" fontId="3" fillId="2" borderId="6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9" fillId="0" borderId="0" xfId="0" applyFont="1"/>
    <xf numFmtId="0" fontId="1" fillId="0" borderId="0" xfId="0" applyFont="1"/>
    <xf numFmtId="2" fontId="10" fillId="3" borderId="1" xfId="0" applyNumberFormat="1" applyFont="1" applyFill="1" applyBorder="1" applyAlignment="1">
      <alignment horizontal="center" wrapText="1"/>
    </xf>
    <xf numFmtId="0" fontId="3" fillId="8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3" fillId="9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3" fillId="9" borderId="10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3" fillId="11" borderId="10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3" fillId="14" borderId="10" xfId="0" applyFont="1" applyFill="1" applyBorder="1" applyAlignment="1">
      <alignment horizontal="center"/>
    </xf>
    <xf numFmtId="0" fontId="4" fillId="0" borderId="13" xfId="0" applyFont="1" applyBorder="1"/>
    <xf numFmtId="0" fontId="3" fillId="2" borderId="9" xfId="0" applyFont="1" applyFill="1" applyBorder="1" applyAlignment="1">
      <alignment horizontal="center"/>
    </xf>
    <xf numFmtId="0" fontId="4" fillId="0" borderId="17" xfId="0" applyFont="1" applyBorder="1"/>
    <xf numFmtId="0" fontId="4" fillId="0" borderId="18" xfId="0" applyFont="1" applyBorder="1"/>
    <xf numFmtId="0" fontId="3" fillId="15" borderId="19" xfId="0" applyFont="1" applyFill="1" applyBorder="1" applyAlignment="1">
      <alignment horizontal="center"/>
    </xf>
    <xf numFmtId="0" fontId="4" fillId="0" borderId="20" xfId="0" applyFont="1" applyBorder="1"/>
    <xf numFmtId="0" fontId="4" fillId="0" borderId="21" xfId="0" applyFont="1" applyBorder="1"/>
    <xf numFmtId="0" fontId="3" fillId="16" borderId="22" xfId="0" applyFont="1" applyFill="1" applyBorder="1" applyAlignment="1">
      <alignment horizontal="center"/>
    </xf>
    <xf numFmtId="0" fontId="3" fillId="17" borderId="22" xfId="0" applyFont="1" applyFill="1" applyBorder="1" applyAlignment="1">
      <alignment horizontal="center"/>
    </xf>
    <xf numFmtId="0" fontId="3" fillId="18" borderId="22" xfId="0" applyFont="1" applyFill="1" applyBorder="1" applyAlignment="1">
      <alignment horizontal="center"/>
    </xf>
    <xf numFmtId="0" fontId="11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121"/>
  <sheetViews>
    <sheetView zoomScaleNormal="100" workbookViewId="0">
      <pane ySplit="2" topLeftCell="A3" activePane="bottomLeft" state="frozen"/>
      <selection pane="bottomLeft" activeCell="CY120" sqref="A120:CY120"/>
    </sheetView>
  </sheetViews>
  <sheetFormatPr defaultColWidth="14.44140625" defaultRowHeight="15" customHeight="1"/>
  <cols>
    <col min="1" max="1" width="21.6640625" customWidth="1"/>
    <col min="2" max="2" width="16.5546875" customWidth="1"/>
    <col min="3" max="110" width="12.44140625" customWidth="1"/>
  </cols>
  <sheetData>
    <row r="1" spans="1:110" ht="14.25" customHeight="1">
      <c r="A1" s="1"/>
      <c r="B1" s="2"/>
      <c r="C1" s="127" t="s">
        <v>0</v>
      </c>
      <c r="D1" s="124"/>
      <c r="E1" s="124"/>
      <c r="F1" s="124"/>
      <c r="G1" s="124"/>
      <c r="H1" s="124"/>
      <c r="I1" s="124"/>
      <c r="J1" s="124"/>
      <c r="K1" s="125"/>
      <c r="L1" s="128" t="s">
        <v>1</v>
      </c>
      <c r="M1" s="124"/>
      <c r="N1" s="124"/>
      <c r="O1" s="124"/>
      <c r="P1" s="124"/>
      <c r="Q1" s="124"/>
      <c r="R1" s="124"/>
      <c r="S1" s="124"/>
      <c r="T1" s="125"/>
      <c r="U1" s="129" t="s">
        <v>2</v>
      </c>
      <c r="V1" s="124"/>
      <c r="W1" s="124"/>
      <c r="X1" s="124"/>
      <c r="Y1" s="124"/>
      <c r="Z1" s="124"/>
      <c r="AA1" s="124"/>
      <c r="AB1" s="124"/>
      <c r="AC1" s="125"/>
      <c r="AD1" s="130" t="s">
        <v>3</v>
      </c>
      <c r="AE1" s="124"/>
      <c r="AF1" s="124"/>
      <c r="AG1" s="124"/>
      <c r="AH1" s="124"/>
      <c r="AI1" s="124"/>
      <c r="AJ1" s="124"/>
      <c r="AK1" s="124"/>
      <c r="AL1" s="125"/>
      <c r="AM1" s="131" t="s">
        <v>4</v>
      </c>
      <c r="AN1" s="124"/>
      <c r="AO1" s="124"/>
      <c r="AP1" s="124"/>
      <c r="AQ1" s="124"/>
      <c r="AR1" s="124"/>
      <c r="AS1" s="124"/>
      <c r="AT1" s="124"/>
      <c r="AU1" s="125"/>
      <c r="AV1" s="123" t="s">
        <v>5</v>
      </c>
      <c r="AW1" s="124"/>
      <c r="AX1" s="124"/>
      <c r="AY1" s="124"/>
      <c r="AZ1" s="124"/>
      <c r="BA1" s="124"/>
      <c r="BB1" s="124"/>
      <c r="BC1" s="124"/>
      <c r="BD1" s="125"/>
      <c r="BE1" s="126" t="s">
        <v>6</v>
      </c>
      <c r="BF1" s="124"/>
      <c r="BG1" s="124"/>
      <c r="BH1" s="124"/>
      <c r="BI1" s="124"/>
      <c r="BJ1" s="124"/>
      <c r="BK1" s="124"/>
      <c r="BL1" s="124"/>
      <c r="BM1" s="125"/>
      <c r="BN1" s="132" t="s">
        <v>7</v>
      </c>
      <c r="BO1" s="124"/>
      <c r="BP1" s="124"/>
      <c r="BQ1" s="124"/>
      <c r="BR1" s="124"/>
      <c r="BS1" s="124"/>
      <c r="BT1" s="124"/>
      <c r="BU1" s="124"/>
      <c r="BV1" s="125"/>
      <c r="BW1" s="133" t="s">
        <v>8</v>
      </c>
      <c r="BX1" s="124"/>
      <c r="BY1" s="124"/>
      <c r="BZ1" s="124"/>
      <c r="CA1" s="124"/>
      <c r="CB1" s="124"/>
      <c r="CC1" s="124"/>
      <c r="CD1" s="124"/>
      <c r="CE1" s="125"/>
      <c r="CF1" s="134" t="s">
        <v>9</v>
      </c>
      <c r="CG1" s="124"/>
      <c r="CH1" s="124"/>
      <c r="CI1" s="124"/>
      <c r="CJ1" s="124"/>
      <c r="CK1" s="124"/>
      <c r="CL1" s="124"/>
      <c r="CM1" s="124"/>
      <c r="CN1" s="125"/>
      <c r="CO1" s="135" t="s">
        <v>10</v>
      </c>
      <c r="CP1" s="124"/>
      <c r="CQ1" s="124"/>
      <c r="CR1" s="124"/>
      <c r="CS1" s="124"/>
      <c r="CT1" s="124"/>
      <c r="CU1" s="124"/>
      <c r="CV1" s="124"/>
      <c r="CW1" s="125"/>
      <c r="CX1" s="136" t="s">
        <v>11</v>
      </c>
      <c r="CY1" s="124"/>
      <c r="CZ1" s="124"/>
      <c r="DA1" s="124"/>
      <c r="DB1" s="124"/>
      <c r="DC1" s="124"/>
      <c r="DD1" s="124"/>
      <c r="DE1" s="124"/>
      <c r="DF1" s="125"/>
    </row>
    <row r="2" spans="1:110" s="119" customFormat="1" ht="36" customHeight="1">
      <c r="A2" s="3" t="s">
        <v>12</v>
      </c>
      <c r="B2" s="58" t="s">
        <v>13</v>
      </c>
      <c r="C2" s="4" t="s">
        <v>14</v>
      </c>
      <c r="D2" s="4" t="s">
        <v>15</v>
      </c>
      <c r="E2" s="4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4" t="s">
        <v>21</v>
      </c>
      <c r="K2" s="122" t="s">
        <v>22</v>
      </c>
      <c r="L2" s="6" t="s">
        <v>14</v>
      </c>
      <c r="M2" s="6" t="s">
        <v>15</v>
      </c>
      <c r="N2" s="6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6" t="s">
        <v>21</v>
      </c>
      <c r="T2" s="6" t="s">
        <v>22</v>
      </c>
      <c r="U2" s="8" t="s">
        <v>14</v>
      </c>
      <c r="V2" s="8" t="s">
        <v>15</v>
      </c>
      <c r="W2" s="8" t="s">
        <v>16</v>
      </c>
      <c r="X2" s="9" t="s">
        <v>17</v>
      </c>
      <c r="Y2" s="9" t="s">
        <v>18</v>
      </c>
      <c r="Z2" s="9" t="s">
        <v>19</v>
      </c>
      <c r="AA2" s="9" t="s">
        <v>20</v>
      </c>
      <c r="AB2" s="8" t="s">
        <v>21</v>
      </c>
      <c r="AC2" s="8" t="s">
        <v>22</v>
      </c>
      <c r="AD2" s="10" t="s">
        <v>14</v>
      </c>
      <c r="AE2" s="10" t="s">
        <v>15</v>
      </c>
      <c r="AF2" s="10" t="s">
        <v>16</v>
      </c>
      <c r="AG2" s="11" t="s">
        <v>17</v>
      </c>
      <c r="AH2" s="11" t="s">
        <v>18</v>
      </c>
      <c r="AI2" s="11" t="s">
        <v>19</v>
      </c>
      <c r="AJ2" s="11" t="s">
        <v>20</v>
      </c>
      <c r="AK2" s="10" t="s">
        <v>21</v>
      </c>
      <c r="AL2" s="10" t="s">
        <v>22</v>
      </c>
      <c r="AM2" s="12" t="s">
        <v>14</v>
      </c>
      <c r="AN2" s="12" t="s">
        <v>15</v>
      </c>
      <c r="AO2" s="12" t="s">
        <v>16</v>
      </c>
      <c r="AP2" s="13" t="s">
        <v>17</v>
      </c>
      <c r="AQ2" s="13" t="s">
        <v>18</v>
      </c>
      <c r="AR2" s="13" t="s">
        <v>19</v>
      </c>
      <c r="AS2" s="13" t="s">
        <v>20</v>
      </c>
      <c r="AT2" s="12" t="s">
        <v>21</v>
      </c>
      <c r="AU2" s="12" t="s">
        <v>22</v>
      </c>
      <c r="AV2" s="14" t="s">
        <v>14</v>
      </c>
      <c r="AW2" s="14" t="s">
        <v>15</v>
      </c>
      <c r="AX2" s="14" t="s">
        <v>16</v>
      </c>
      <c r="AY2" s="15" t="s">
        <v>17</v>
      </c>
      <c r="AZ2" s="15" t="s">
        <v>18</v>
      </c>
      <c r="BA2" s="15" t="s">
        <v>19</v>
      </c>
      <c r="BB2" s="15" t="s">
        <v>20</v>
      </c>
      <c r="BC2" s="14" t="s">
        <v>21</v>
      </c>
      <c r="BD2" s="14" t="s">
        <v>22</v>
      </c>
      <c r="BE2" s="16" t="s">
        <v>14</v>
      </c>
      <c r="BF2" s="16" t="s">
        <v>15</v>
      </c>
      <c r="BG2" s="16" t="s">
        <v>16</v>
      </c>
      <c r="BH2" s="17" t="s">
        <v>17</v>
      </c>
      <c r="BI2" s="17" t="s">
        <v>18</v>
      </c>
      <c r="BJ2" s="17" t="s">
        <v>19</v>
      </c>
      <c r="BK2" s="17" t="s">
        <v>20</v>
      </c>
      <c r="BL2" s="16" t="s">
        <v>21</v>
      </c>
      <c r="BM2" s="16" t="s">
        <v>22</v>
      </c>
      <c r="BN2" s="18" t="s">
        <v>14</v>
      </c>
      <c r="BO2" s="18" t="s">
        <v>15</v>
      </c>
      <c r="BP2" s="18" t="s">
        <v>16</v>
      </c>
      <c r="BQ2" s="19" t="s">
        <v>17</v>
      </c>
      <c r="BR2" s="19" t="s">
        <v>18</v>
      </c>
      <c r="BS2" s="19" t="s">
        <v>19</v>
      </c>
      <c r="BT2" s="19" t="s">
        <v>20</v>
      </c>
      <c r="BU2" s="18" t="s">
        <v>21</v>
      </c>
      <c r="BV2" s="18" t="s">
        <v>22</v>
      </c>
      <c r="BW2" s="20" t="s">
        <v>14</v>
      </c>
      <c r="BX2" s="20" t="s">
        <v>15</v>
      </c>
      <c r="BY2" s="20" t="s">
        <v>16</v>
      </c>
      <c r="BZ2" s="21" t="s">
        <v>17</v>
      </c>
      <c r="CA2" s="21" t="s">
        <v>18</v>
      </c>
      <c r="CB2" s="21" t="s">
        <v>19</v>
      </c>
      <c r="CC2" s="21" t="s">
        <v>20</v>
      </c>
      <c r="CD2" s="20" t="s">
        <v>21</v>
      </c>
      <c r="CE2" s="20" t="s">
        <v>22</v>
      </c>
      <c r="CF2" s="22" t="s">
        <v>14</v>
      </c>
      <c r="CG2" s="22" t="s">
        <v>15</v>
      </c>
      <c r="CH2" s="22" t="s">
        <v>16</v>
      </c>
      <c r="CI2" s="23" t="s">
        <v>17</v>
      </c>
      <c r="CJ2" s="23" t="s">
        <v>18</v>
      </c>
      <c r="CK2" s="23" t="s">
        <v>19</v>
      </c>
      <c r="CL2" s="23" t="s">
        <v>20</v>
      </c>
      <c r="CM2" s="22" t="s">
        <v>21</v>
      </c>
      <c r="CN2" s="22" t="s">
        <v>22</v>
      </c>
      <c r="CO2" s="24" t="s">
        <v>14</v>
      </c>
      <c r="CP2" s="24" t="s">
        <v>15</v>
      </c>
      <c r="CQ2" s="24" t="s">
        <v>16</v>
      </c>
      <c r="CR2" s="25" t="s">
        <v>17</v>
      </c>
      <c r="CS2" s="25" t="s">
        <v>18</v>
      </c>
      <c r="CT2" s="25" t="s">
        <v>19</v>
      </c>
      <c r="CU2" s="25" t="s">
        <v>20</v>
      </c>
      <c r="CV2" s="24" t="s">
        <v>21</v>
      </c>
      <c r="CW2" s="24" t="s">
        <v>22</v>
      </c>
      <c r="CX2" s="26" t="s">
        <v>14</v>
      </c>
      <c r="CY2" s="26" t="s">
        <v>15</v>
      </c>
      <c r="CZ2" s="26" t="s">
        <v>16</v>
      </c>
      <c r="DA2" s="27" t="s">
        <v>17</v>
      </c>
      <c r="DB2" s="27" t="s">
        <v>18</v>
      </c>
      <c r="DC2" s="27" t="s">
        <v>19</v>
      </c>
      <c r="DD2" s="27" t="s">
        <v>20</v>
      </c>
      <c r="DE2" s="26" t="s">
        <v>21</v>
      </c>
      <c r="DF2" s="26" t="s">
        <v>22</v>
      </c>
    </row>
    <row r="3" spans="1:110" ht="14.25" customHeight="1">
      <c r="A3" s="28"/>
      <c r="B3" s="29"/>
      <c r="C3" s="30">
        <v>0</v>
      </c>
      <c r="D3" s="30">
        <v>1000</v>
      </c>
      <c r="E3" s="30">
        <v>50</v>
      </c>
      <c r="F3" s="30">
        <f t="shared" ref="F3:F116" si="0">D3-E3</f>
        <v>950</v>
      </c>
      <c r="G3" s="30">
        <v>900</v>
      </c>
      <c r="H3" s="30">
        <v>50</v>
      </c>
      <c r="I3" s="30">
        <f t="shared" ref="I3:I116" si="1">G3-H3</f>
        <v>850</v>
      </c>
      <c r="J3" s="30">
        <f t="shared" ref="J3:J116" si="2">I3*F3</f>
        <v>807500</v>
      </c>
      <c r="K3" s="31">
        <f t="shared" ref="K3:K116" si="3">(E3/D3)*100</f>
        <v>5</v>
      </c>
      <c r="L3" s="32">
        <v>0</v>
      </c>
      <c r="M3" s="32">
        <v>0</v>
      </c>
      <c r="N3" s="32">
        <v>0</v>
      </c>
      <c r="O3" s="32">
        <f t="shared" ref="O3:O116" si="4">M3-N3</f>
        <v>0</v>
      </c>
      <c r="P3" s="32">
        <v>1800</v>
      </c>
      <c r="Q3" s="47">
        <v>0</v>
      </c>
      <c r="R3" s="32">
        <f t="shared" ref="R3:R116" si="5">P3-Q3</f>
        <v>1800</v>
      </c>
      <c r="S3" s="32">
        <f t="shared" ref="S3:S116" si="6">R3*O3</f>
        <v>0</v>
      </c>
      <c r="T3" s="32" t="e">
        <f t="shared" ref="T3:T116" si="7">(N3/M3)*100</f>
        <v>#DIV/0!</v>
      </c>
      <c r="U3" s="33">
        <v>0</v>
      </c>
      <c r="V3" s="33">
        <v>0</v>
      </c>
      <c r="W3" s="33">
        <v>0</v>
      </c>
      <c r="X3" s="33">
        <f t="shared" ref="X3:X116" si="8">V3-W3</f>
        <v>0</v>
      </c>
      <c r="Y3" s="33">
        <v>910</v>
      </c>
      <c r="Z3" s="33">
        <v>0</v>
      </c>
      <c r="AA3" s="33">
        <f t="shared" ref="AA3:AA116" si="9">Y3-Z3</f>
        <v>910</v>
      </c>
      <c r="AB3" s="33">
        <f t="shared" ref="AB3:AB116" si="10">AA3*X3</f>
        <v>0</v>
      </c>
      <c r="AC3" s="33" t="e">
        <f t="shared" ref="AC3:AC116" si="11">(W3/V3)*100</f>
        <v>#DIV/0!</v>
      </c>
      <c r="AD3" s="34">
        <v>0</v>
      </c>
      <c r="AE3" s="34">
        <v>0</v>
      </c>
      <c r="AF3" s="34">
        <v>0</v>
      </c>
      <c r="AG3" s="34">
        <f t="shared" ref="AG3:AG116" si="12">AE3-AF3</f>
        <v>0</v>
      </c>
      <c r="AH3" s="34">
        <v>1200</v>
      </c>
      <c r="AI3" s="34">
        <v>0</v>
      </c>
      <c r="AJ3" s="34">
        <f t="shared" ref="AJ3:AJ116" si="13">AH3-AI3</f>
        <v>1200</v>
      </c>
      <c r="AK3" s="34">
        <f t="shared" ref="AK3:AK116" si="14">AJ3*AG3</f>
        <v>0</v>
      </c>
      <c r="AL3" s="34" t="e">
        <f t="shared" ref="AL3:AL116" si="15">(AF3/AE3)*100</f>
        <v>#DIV/0!</v>
      </c>
      <c r="AM3" s="35">
        <v>0</v>
      </c>
      <c r="AN3" s="50">
        <v>0</v>
      </c>
      <c r="AO3" s="50">
        <v>0</v>
      </c>
      <c r="AP3" s="35">
        <f t="shared" ref="AP3:AP116" si="16">AN3-AO3</f>
        <v>0</v>
      </c>
      <c r="AQ3" s="35">
        <v>600</v>
      </c>
      <c r="AR3" s="50">
        <v>0</v>
      </c>
      <c r="AS3" s="35">
        <f t="shared" ref="AS3:AS116" si="17">AQ3-AR3</f>
        <v>600</v>
      </c>
      <c r="AT3" s="35">
        <f t="shared" ref="AT3:AT116" si="18">AS3*AP3</f>
        <v>0</v>
      </c>
      <c r="AU3" s="35" t="e">
        <f t="shared" ref="AU3:AU116" si="19">(AO3/AN3)*100</f>
        <v>#DIV/0!</v>
      </c>
      <c r="AV3" s="36">
        <v>0</v>
      </c>
      <c r="AW3" s="36">
        <v>0</v>
      </c>
      <c r="AX3" s="36">
        <v>0</v>
      </c>
      <c r="AY3" s="36">
        <f t="shared" ref="AY3:AY116" si="20">AW3-AX3</f>
        <v>0</v>
      </c>
      <c r="AZ3" s="36">
        <v>1500</v>
      </c>
      <c r="BA3" s="36">
        <v>0</v>
      </c>
      <c r="BB3" s="36">
        <f t="shared" ref="BB3:BB116" si="21">AZ3-BA3</f>
        <v>1500</v>
      </c>
      <c r="BC3" s="36">
        <f t="shared" ref="BC3:BC116" si="22">BB3*AY3</f>
        <v>0</v>
      </c>
      <c r="BD3" s="36" t="e">
        <f t="shared" ref="BD3:BD116" si="23">(AX3/AW3)*100</f>
        <v>#DIV/0!</v>
      </c>
      <c r="BE3" s="37">
        <v>0</v>
      </c>
      <c r="BF3" s="37">
        <v>0</v>
      </c>
      <c r="BG3" s="37">
        <v>0</v>
      </c>
      <c r="BH3" s="37">
        <f t="shared" ref="BH3:BH116" si="24">BF3-BG3</f>
        <v>0</v>
      </c>
      <c r="BI3" s="37">
        <v>750</v>
      </c>
      <c r="BJ3" s="37">
        <v>0</v>
      </c>
      <c r="BK3" s="37">
        <f t="shared" ref="BK3:BK116" si="25">BI3-BJ3</f>
        <v>750</v>
      </c>
      <c r="BL3" s="37">
        <f t="shared" ref="BL3:BL116" si="26">BK3*BH3</f>
        <v>0</v>
      </c>
      <c r="BM3" s="37" t="e">
        <f t="shared" ref="BM3:BM116" si="27">(BG3/BF3)*100</f>
        <v>#DIV/0!</v>
      </c>
      <c r="BN3" s="38">
        <v>0</v>
      </c>
      <c r="BO3" s="38">
        <v>0</v>
      </c>
      <c r="BP3" s="38">
        <v>0</v>
      </c>
      <c r="BQ3" s="38">
        <f t="shared" ref="BQ3:BQ116" si="28">BO3-BP3</f>
        <v>0</v>
      </c>
      <c r="BR3" s="38">
        <v>2450</v>
      </c>
      <c r="BS3" s="38">
        <v>0</v>
      </c>
      <c r="BT3" s="38">
        <f t="shared" ref="BT3:BT116" si="29">BR3-BS3</f>
        <v>2450</v>
      </c>
      <c r="BU3" s="38">
        <f t="shared" ref="BU3:BU116" si="30">BT3*BQ3</f>
        <v>0</v>
      </c>
      <c r="BV3" s="38" t="e">
        <f t="shared" ref="BV3:BV116" si="31">(BP3/BO3)*100</f>
        <v>#DIV/0!</v>
      </c>
      <c r="BW3" s="39">
        <v>0</v>
      </c>
      <c r="BX3" s="39">
        <v>0</v>
      </c>
      <c r="BY3" s="39">
        <v>0</v>
      </c>
      <c r="BZ3" s="39">
        <f t="shared" ref="BZ3:BZ116" si="32">BX3-BY3</f>
        <v>0</v>
      </c>
      <c r="CA3" s="39">
        <v>750</v>
      </c>
      <c r="CB3" s="39">
        <v>0</v>
      </c>
      <c r="CC3" s="39">
        <f t="shared" ref="CC3:CC116" si="33">CA3-CB3</f>
        <v>750</v>
      </c>
      <c r="CD3" s="39">
        <f t="shared" ref="CD3:CD116" si="34">CC3*BZ3</f>
        <v>0</v>
      </c>
      <c r="CE3" s="39" t="e">
        <f t="shared" ref="CE3:CE116" si="35">(BY3/BX3)*100</f>
        <v>#DIV/0!</v>
      </c>
      <c r="CF3" s="40">
        <v>0</v>
      </c>
      <c r="CG3" s="40">
        <v>0</v>
      </c>
      <c r="CH3" s="40">
        <v>0</v>
      </c>
      <c r="CI3" s="40">
        <f t="shared" ref="CI3:CI116" si="36">CG3-CH3</f>
        <v>0</v>
      </c>
      <c r="CJ3" s="40">
        <v>730</v>
      </c>
      <c r="CK3" s="40">
        <v>0</v>
      </c>
      <c r="CL3" s="40">
        <f t="shared" ref="CL3:CL116" si="37">CJ3-CK3</f>
        <v>730</v>
      </c>
      <c r="CM3" s="40">
        <f t="shared" ref="CM3:CM116" si="38">CL3*CI3</f>
        <v>0</v>
      </c>
      <c r="CN3" s="40" t="e">
        <f t="shared" ref="CN3:CN116" si="39">(CH3/CG3)*100</f>
        <v>#DIV/0!</v>
      </c>
      <c r="CO3" s="41">
        <v>0</v>
      </c>
      <c r="CP3" s="41">
        <v>0</v>
      </c>
      <c r="CQ3" s="41">
        <v>0</v>
      </c>
      <c r="CR3" s="41">
        <f t="shared" ref="CR3:CR116" si="40">CP3-CQ3</f>
        <v>0</v>
      </c>
      <c r="CS3" s="41">
        <v>730</v>
      </c>
      <c r="CT3" s="41">
        <v>0</v>
      </c>
      <c r="CU3" s="41">
        <f t="shared" ref="CU3:CU116" si="41">CS3-CT3</f>
        <v>730</v>
      </c>
      <c r="CV3" s="41">
        <f t="shared" ref="CV3:CV116" si="42">CU3*CR3</f>
        <v>0</v>
      </c>
      <c r="CW3" s="41" t="e">
        <f t="shared" ref="CW3:CW116" si="43">(CQ3/CP3)*100</f>
        <v>#DIV/0!</v>
      </c>
      <c r="CX3" s="42">
        <v>0</v>
      </c>
      <c r="CY3" s="42">
        <v>0</v>
      </c>
      <c r="CZ3" s="42">
        <v>0</v>
      </c>
      <c r="DA3" s="42">
        <f t="shared" ref="DA3:DA116" si="44">CY3-CZ3</f>
        <v>0</v>
      </c>
      <c r="DB3" s="42">
        <v>600</v>
      </c>
      <c r="DC3" s="42">
        <v>0</v>
      </c>
      <c r="DD3" s="42">
        <f t="shared" ref="DD3:DD116" si="45">DB3-DC3</f>
        <v>600</v>
      </c>
      <c r="DE3" s="42">
        <f t="shared" ref="DE3:DE116" si="46">DD3*DA3</f>
        <v>0</v>
      </c>
      <c r="DF3" s="42" t="e">
        <f t="shared" ref="DF3:DF116" si="47">(CZ3/CY3)*100</f>
        <v>#DIV/0!</v>
      </c>
    </row>
    <row r="4" spans="1:110" ht="14.25" customHeight="1">
      <c r="A4" s="43"/>
      <c r="B4" s="44"/>
      <c r="C4" s="45">
        <v>0</v>
      </c>
      <c r="D4" s="30">
        <v>0</v>
      </c>
      <c r="E4" s="30">
        <v>0</v>
      </c>
      <c r="F4" s="45">
        <f t="shared" si="0"/>
        <v>0</v>
      </c>
      <c r="G4" s="45">
        <v>900</v>
      </c>
      <c r="H4" s="30">
        <v>0</v>
      </c>
      <c r="I4" s="45">
        <f t="shared" si="1"/>
        <v>900</v>
      </c>
      <c r="J4" s="45">
        <f t="shared" si="2"/>
        <v>0</v>
      </c>
      <c r="K4" s="46" t="e">
        <f t="shared" si="3"/>
        <v>#DIV/0!</v>
      </c>
      <c r="L4" s="47">
        <v>0</v>
      </c>
      <c r="M4" s="32">
        <v>0</v>
      </c>
      <c r="N4" s="32">
        <v>0</v>
      </c>
      <c r="O4" s="47">
        <f t="shared" si="4"/>
        <v>0</v>
      </c>
      <c r="P4" s="47">
        <v>1800</v>
      </c>
      <c r="Q4" s="47">
        <v>0</v>
      </c>
      <c r="R4" s="47">
        <f t="shared" si="5"/>
        <v>1800</v>
      </c>
      <c r="S4" s="47">
        <f t="shared" si="6"/>
        <v>0</v>
      </c>
      <c r="T4" s="47" t="e">
        <f t="shared" si="7"/>
        <v>#DIV/0!</v>
      </c>
      <c r="U4" s="48">
        <v>0</v>
      </c>
      <c r="V4" s="48">
        <v>0</v>
      </c>
      <c r="W4" s="48">
        <v>0</v>
      </c>
      <c r="X4" s="48">
        <f t="shared" si="8"/>
        <v>0</v>
      </c>
      <c r="Y4" s="48">
        <v>910</v>
      </c>
      <c r="Z4" s="33">
        <v>0</v>
      </c>
      <c r="AA4" s="48">
        <f t="shared" si="9"/>
        <v>910</v>
      </c>
      <c r="AB4" s="48">
        <f t="shared" si="10"/>
        <v>0</v>
      </c>
      <c r="AC4" s="48" t="e">
        <f t="shared" si="11"/>
        <v>#DIV/0!</v>
      </c>
      <c r="AD4" s="49">
        <v>0</v>
      </c>
      <c r="AE4" s="49">
        <v>0</v>
      </c>
      <c r="AF4" s="49">
        <v>0</v>
      </c>
      <c r="AG4" s="49">
        <f t="shared" si="12"/>
        <v>0</v>
      </c>
      <c r="AH4" s="49">
        <v>1200</v>
      </c>
      <c r="AI4" s="49">
        <v>0</v>
      </c>
      <c r="AJ4" s="49">
        <f t="shared" si="13"/>
        <v>1200</v>
      </c>
      <c r="AK4" s="49">
        <f t="shared" si="14"/>
        <v>0</v>
      </c>
      <c r="AL4" s="49" t="e">
        <f t="shared" si="15"/>
        <v>#DIV/0!</v>
      </c>
      <c r="AM4" s="50">
        <v>0</v>
      </c>
      <c r="AN4" s="50">
        <v>0</v>
      </c>
      <c r="AO4" s="50">
        <v>0</v>
      </c>
      <c r="AP4" s="50">
        <f t="shared" si="16"/>
        <v>0</v>
      </c>
      <c r="AQ4" s="50">
        <v>600</v>
      </c>
      <c r="AR4" s="50">
        <v>0</v>
      </c>
      <c r="AS4" s="50">
        <f t="shared" si="17"/>
        <v>600</v>
      </c>
      <c r="AT4" s="50">
        <f t="shared" si="18"/>
        <v>0</v>
      </c>
      <c r="AU4" s="50" t="e">
        <f t="shared" si="19"/>
        <v>#DIV/0!</v>
      </c>
      <c r="AV4" s="51">
        <v>0</v>
      </c>
      <c r="AW4" s="36">
        <v>0</v>
      </c>
      <c r="AX4" s="36">
        <v>0</v>
      </c>
      <c r="AY4" s="51">
        <f t="shared" si="20"/>
        <v>0</v>
      </c>
      <c r="AZ4" s="51">
        <v>1500</v>
      </c>
      <c r="BA4" s="51">
        <v>0</v>
      </c>
      <c r="BB4" s="51">
        <f t="shared" si="21"/>
        <v>1500</v>
      </c>
      <c r="BC4" s="51">
        <f t="shared" si="22"/>
        <v>0</v>
      </c>
      <c r="BD4" s="51" t="e">
        <f t="shared" si="23"/>
        <v>#DIV/0!</v>
      </c>
      <c r="BE4" s="52">
        <v>0</v>
      </c>
      <c r="BF4" s="37">
        <v>0</v>
      </c>
      <c r="BG4" s="37">
        <v>0</v>
      </c>
      <c r="BH4" s="37">
        <f t="shared" si="24"/>
        <v>0</v>
      </c>
      <c r="BI4" s="52">
        <v>750</v>
      </c>
      <c r="BJ4" s="37">
        <v>0</v>
      </c>
      <c r="BK4" s="52">
        <f t="shared" si="25"/>
        <v>750</v>
      </c>
      <c r="BL4" s="52">
        <f t="shared" si="26"/>
        <v>0</v>
      </c>
      <c r="BM4" s="52" t="e">
        <f t="shared" si="27"/>
        <v>#DIV/0!</v>
      </c>
      <c r="BN4" s="53">
        <v>0</v>
      </c>
      <c r="BO4" s="38">
        <v>0</v>
      </c>
      <c r="BP4" s="38">
        <v>0</v>
      </c>
      <c r="BQ4" s="53">
        <f t="shared" si="28"/>
        <v>0</v>
      </c>
      <c r="BR4" s="53">
        <v>2450</v>
      </c>
      <c r="BS4" s="38">
        <v>0</v>
      </c>
      <c r="BT4" s="53">
        <f t="shared" si="29"/>
        <v>2450</v>
      </c>
      <c r="BU4" s="53">
        <f t="shared" si="30"/>
        <v>0</v>
      </c>
      <c r="BV4" s="53" t="e">
        <f t="shared" si="31"/>
        <v>#DIV/0!</v>
      </c>
      <c r="BW4" s="54">
        <v>0</v>
      </c>
      <c r="BX4" s="39">
        <v>0</v>
      </c>
      <c r="BY4" s="39">
        <v>0</v>
      </c>
      <c r="BZ4" s="54">
        <f t="shared" si="32"/>
        <v>0</v>
      </c>
      <c r="CA4" s="54">
        <v>750</v>
      </c>
      <c r="CB4" s="54">
        <v>0</v>
      </c>
      <c r="CC4" s="54">
        <f t="shared" si="33"/>
        <v>750</v>
      </c>
      <c r="CD4" s="54">
        <f t="shared" si="34"/>
        <v>0</v>
      </c>
      <c r="CE4" s="54" t="e">
        <f t="shared" si="35"/>
        <v>#DIV/0!</v>
      </c>
      <c r="CF4" s="55">
        <v>0</v>
      </c>
      <c r="CG4" s="55">
        <v>0</v>
      </c>
      <c r="CH4" s="55">
        <v>0</v>
      </c>
      <c r="CI4" s="55">
        <f t="shared" si="36"/>
        <v>0</v>
      </c>
      <c r="CJ4" s="55">
        <v>730</v>
      </c>
      <c r="CK4" s="55">
        <v>0</v>
      </c>
      <c r="CL4" s="55">
        <f t="shared" si="37"/>
        <v>730</v>
      </c>
      <c r="CM4" s="55">
        <f t="shared" si="38"/>
        <v>0</v>
      </c>
      <c r="CN4" s="55" t="e">
        <f t="shared" si="39"/>
        <v>#DIV/0!</v>
      </c>
      <c r="CO4" s="56">
        <v>0</v>
      </c>
      <c r="CP4" s="56">
        <v>0</v>
      </c>
      <c r="CQ4" s="56">
        <v>0</v>
      </c>
      <c r="CR4" s="56">
        <f t="shared" si="40"/>
        <v>0</v>
      </c>
      <c r="CS4" s="56">
        <v>730</v>
      </c>
      <c r="CT4" s="56">
        <v>0</v>
      </c>
      <c r="CU4" s="56">
        <f t="shared" si="41"/>
        <v>730</v>
      </c>
      <c r="CV4" s="56">
        <f t="shared" si="42"/>
        <v>0</v>
      </c>
      <c r="CW4" s="56" t="e">
        <f t="shared" si="43"/>
        <v>#DIV/0!</v>
      </c>
      <c r="CX4" s="57">
        <v>0</v>
      </c>
      <c r="CY4" s="57">
        <v>0</v>
      </c>
      <c r="CZ4" s="57">
        <v>0</v>
      </c>
      <c r="DA4" s="57">
        <f t="shared" si="44"/>
        <v>0</v>
      </c>
      <c r="DB4" s="57">
        <v>600</v>
      </c>
      <c r="DC4" s="57">
        <v>0</v>
      </c>
      <c r="DD4" s="57">
        <f t="shared" si="45"/>
        <v>600</v>
      </c>
      <c r="DE4" s="57">
        <f t="shared" si="46"/>
        <v>0</v>
      </c>
      <c r="DF4" s="57" t="e">
        <f t="shared" si="47"/>
        <v>#DIV/0!</v>
      </c>
    </row>
    <row r="5" spans="1:110" ht="14.25" customHeight="1">
      <c r="A5" s="43"/>
      <c r="B5" s="44"/>
      <c r="C5" s="45">
        <v>0</v>
      </c>
      <c r="D5" s="30">
        <v>0</v>
      </c>
      <c r="E5" s="30">
        <v>0</v>
      </c>
      <c r="F5" s="45">
        <f t="shared" si="0"/>
        <v>0</v>
      </c>
      <c r="G5" s="45">
        <v>900</v>
      </c>
      <c r="H5" s="30">
        <v>0</v>
      </c>
      <c r="I5" s="45">
        <f t="shared" si="1"/>
        <v>900</v>
      </c>
      <c r="J5" s="45">
        <f t="shared" si="2"/>
        <v>0</v>
      </c>
      <c r="K5" s="46" t="e">
        <f t="shared" si="3"/>
        <v>#DIV/0!</v>
      </c>
      <c r="L5" s="47">
        <v>0</v>
      </c>
      <c r="M5" s="32">
        <v>0</v>
      </c>
      <c r="N5" s="32">
        <v>0</v>
      </c>
      <c r="O5" s="47">
        <f t="shared" si="4"/>
        <v>0</v>
      </c>
      <c r="P5" s="47">
        <v>1800</v>
      </c>
      <c r="Q5" s="47">
        <v>0</v>
      </c>
      <c r="R5" s="47">
        <f t="shared" si="5"/>
        <v>1800</v>
      </c>
      <c r="S5" s="47">
        <f t="shared" si="6"/>
        <v>0</v>
      </c>
      <c r="T5" s="47" t="e">
        <f t="shared" si="7"/>
        <v>#DIV/0!</v>
      </c>
      <c r="U5" s="48">
        <v>0</v>
      </c>
      <c r="V5" s="48">
        <v>0</v>
      </c>
      <c r="W5" s="48">
        <v>0</v>
      </c>
      <c r="X5" s="48">
        <f t="shared" si="8"/>
        <v>0</v>
      </c>
      <c r="Y5" s="48">
        <v>910</v>
      </c>
      <c r="Z5" s="33">
        <v>0</v>
      </c>
      <c r="AA5" s="48">
        <f t="shared" si="9"/>
        <v>910</v>
      </c>
      <c r="AB5" s="48">
        <f t="shared" si="10"/>
        <v>0</v>
      </c>
      <c r="AC5" s="48" t="e">
        <f t="shared" si="11"/>
        <v>#DIV/0!</v>
      </c>
      <c r="AD5" s="49">
        <v>0</v>
      </c>
      <c r="AE5" s="49">
        <v>0</v>
      </c>
      <c r="AF5" s="49">
        <v>0</v>
      </c>
      <c r="AG5" s="49">
        <f t="shared" si="12"/>
        <v>0</v>
      </c>
      <c r="AH5" s="49">
        <v>1200</v>
      </c>
      <c r="AI5" s="49">
        <v>0</v>
      </c>
      <c r="AJ5" s="49">
        <f t="shared" si="13"/>
        <v>1200</v>
      </c>
      <c r="AK5" s="49">
        <f t="shared" si="14"/>
        <v>0</v>
      </c>
      <c r="AL5" s="49" t="e">
        <f t="shared" si="15"/>
        <v>#DIV/0!</v>
      </c>
      <c r="AM5" s="50">
        <v>0</v>
      </c>
      <c r="AN5" s="50">
        <v>0</v>
      </c>
      <c r="AO5" s="50">
        <v>0</v>
      </c>
      <c r="AP5" s="50">
        <f t="shared" si="16"/>
        <v>0</v>
      </c>
      <c r="AQ5" s="50">
        <v>600</v>
      </c>
      <c r="AR5" s="50">
        <v>0</v>
      </c>
      <c r="AS5" s="50">
        <f t="shared" si="17"/>
        <v>600</v>
      </c>
      <c r="AT5" s="50">
        <f t="shared" si="18"/>
        <v>0</v>
      </c>
      <c r="AU5" s="50" t="e">
        <f t="shared" si="19"/>
        <v>#DIV/0!</v>
      </c>
      <c r="AV5" s="51">
        <v>0</v>
      </c>
      <c r="AW5" s="36">
        <v>0</v>
      </c>
      <c r="AX5" s="36">
        <v>0</v>
      </c>
      <c r="AY5" s="51">
        <f t="shared" si="20"/>
        <v>0</v>
      </c>
      <c r="AZ5" s="51">
        <v>1500</v>
      </c>
      <c r="BA5" s="51">
        <v>0</v>
      </c>
      <c r="BB5" s="51">
        <f t="shared" si="21"/>
        <v>1500</v>
      </c>
      <c r="BC5" s="51">
        <f t="shared" si="22"/>
        <v>0</v>
      </c>
      <c r="BD5" s="51" t="e">
        <f t="shared" si="23"/>
        <v>#DIV/0!</v>
      </c>
      <c r="BE5" s="52">
        <v>0</v>
      </c>
      <c r="BF5" s="37">
        <v>0</v>
      </c>
      <c r="BG5" s="37">
        <v>0</v>
      </c>
      <c r="BH5" s="37">
        <f t="shared" si="24"/>
        <v>0</v>
      </c>
      <c r="BI5" s="52">
        <v>750</v>
      </c>
      <c r="BJ5" s="37">
        <v>0</v>
      </c>
      <c r="BK5" s="52">
        <f t="shared" si="25"/>
        <v>750</v>
      </c>
      <c r="BL5" s="52">
        <f t="shared" si="26"/>
        <v>0</v>
      </c>
      <c r="BM5" s="52" t="e">
        <f t="shared" si="27"/>
        <v>#DIV/0!</v>
      </c>
      <c r="BN5" s="53">
        <v>0</v>
      </c>
      <c r="BO5" s="38">
        <v>0</v>
      </c>
      <c r="BP5" s="38">
        <v>0</v>
      </c>
      <c r="BQ5" s="53">
        <f t="shared" si="28"/>
        <v>0</v>
      </c>
      <c r="BR5" s="53">
        <v>2450</v>
      </c>
      <c r="BS5" s="38">
        <v>0</v>
      </c>
      <c r="BT5" s="53">
        <f t="shared" si="29"/>
        <v>2450</v>
      </c>
      <c r="BU5" s="53">
        <f t="shared" si="30"/>
        <v>0</v>
      </c>
      <c r="BV5" s="53" t="e">
        <f t="shared" si="31"/>
        <v>#DIV/0!</v>
      </c>
      <c r="BW5" s="54">
        <v>0</v>
      </c>
      <c r="BX5" s="39">
        <v>0</v>
      </c>
      <c r="BY5" s="39">
        <v>0</v>
      </c>
      <c r="BZ5" s="54">
        <f t="shared" si="32"/>
        <v>0</v>
      </c>
      <c r="CA5" s="54">
        <v>750</v>
      </c>
      <c r="CB5" s="54">
        <v>0</v>
      </c>
      <c r="CC5" s="54">
        <f t="shared" si="33"/>
        <v>750</v>
      </c>
      <c r="CD5" s="54">
        <f t="shared" si="34"/>
        <v>0</v>
      </c>
      <c r="CE5" s="54" t="e">
        <f t="shared" si="35"/>
        <v>#DIV/0!</v>
      </c>
      <c r="CF5" s="55">
        <v>0</v>
      </c>
      <c r="CG5" s="55">
        <v>0</v>
      </c>
      <c r="CH5" s="55">
        <v>0</v>
      </c>
      <c r="CI5" s="55">
        <f t="shared" si="36"/>
        <v>0</v>
      </c>
      <c r="CJ5" s="55">
        <v>730</v>
      </c>
      <c r="CK5" s="55">
        <v>0</v>
      </c>
      <c r="CL5" s="55">
        <f t="shared" si="37"/>
        <v>730</v>
      </c>
      <c r="CM5" s="55">
        <f t="shared" si="38"/>
        <v>0</v>
      </c>
      <c r="CN5" s="55" t="e">
        <f t="shared" si="39"/>
        <v>#DIV/0!</v>
      </c>
      <c r="CO5" s="56">
        <v>0</v>
      </c>
      <c r="CP5" s="56">
        <v>0</v>
      </c>
      <c r="CQ5" s="56">
        <v>0</v>
      </c>
      <c r="CR5" s="56">
        <f t="shared" si="40"/>
        <v>0</v>
      </c>
      <c r="CS5" s="56">
        <v>730</v>
      </c>
      <c r="CT5" s="56">
        <v>0</v>
      </c>
      <c r="CU5" s="56">
        <f t="shared" si="41"/>
        <v>730</v>
      </c>
      <c r="CV5" s="56">
        <f t="shared" si="42"/>
        <v>0</v>
      </c>
      <c r="CW5" s="56" t="e">
        <f t="shared" si="43"/>
        <v>#DIV/0!</v>
      </c>
      <c r="CX5" s="57">
        <v>0</v>
      </c>
      <c r="CY5" s="57">
        <v>0</v>
      </c>
      <c r="CZ5" s="57">
        <v>0</v>
      </c>
      <c r="DA5" s="57">
        <f t="shared" si="44"/>
        <v>0</v>
      </c>
      <c r="DB5" s="57">
        <v>600</v>
      </c>
      <c r="DC5" s="57">
        <v>0</v>
      </c>
      <c r="DD5" s="57">
        <f t="shared" si="45"/>
        <v>600</v>
      </c>
      <c r="DE5" s="57">
        <f t="shared" si="46"/>
        <v>0</v>
      </c>
      <c r="DF5" s="57" t="e">
        <f t="shared" si="47"/>
        <v>#DIV/0!</v>
      </c>
    </row>
    <row r="6" spans="1:110" ht="14.25" customHeight="1">
      <c r="A6" s="43"/>
      <c r="B6" s="44"/>
      <c r="C6" s="45">
        <v>0</v>
      </c>
      <c r="D6" s="30">
        <v>0</v>
      </c>
      <c r="E6" s="30">
        <v>0</v>
      </c>
      <c r="F6" s="45">
        <f t="shared" si="0"/>
        <v>0</v>
      </c>
      <c r="G6" s="45">
        <v>900</v>
      </c>
      <c r="H6" s="30">
        <v>0</v>
      </c>
      <c r="I6" s="45">
        <f t="shared" si="1"/>
        <v>900</v>
      </c>
      <c r="J6" s="45">
        <f t="shared" si="2"/>
        <v>0</v>
      </c>
      <c r="K6" s="46" t="e">
        <f t="shared" si="3"/>
        <v>#DIV/0!</v>
      </c>
      <c r="L6" s="47">
        <v>0</v>
      </c>
      <c r="M6" s="32">
        <v>0</v>
      </c>
      <c r="N6" s="32">
        <v>0</v>
      </c>
      <c r="O6" s="47">
        <f t="shared" si="4"/>
        <v>0</v>
      </c>
      <c r="P6" s="47">
        <v>1800</v>
      </c>
      <c r="Q6" s="47">
        <v>0</v>
      </c>
      <c r="R6" s="47">
        <f t="shared" si="5"/>
        <v>1800</v>
      </c>
      <c r="S6" s="47">
        <f t="shared" si="6"/>
        <v>0</v>
      </c>
      <c r="T6" s="47" t="e">
        <f t="shared" si="7"/>
        <v>#DIV/0!</v>
      </c>
      <c r="U6" s="48">
        <v>0</v>
      </c>
      <c r="V6" s="48">
        <v>0</v>
      </c>
      <c r="W6" s="48">
        <v>0</v>
      </c>
      <c r="X6" s="48">
        <f t="shared" si="8"/>
        <v>0</v>
      </c>
      <c r="Y6" s="48">
        <v>910</v>
      </c>
      <c r="Z6" s="33">
        <v>0</v>
      </c>
      <c r="AA6" s="48">
        <f t="shared" si="9"/>
        <v>910</v>
      </c>
      <c r="AB6" s="48">
        <f t="shared" si="10"/>
        <v>0</v>
      </c>
      <c r="AC6" s="48" t="e">
        <f t="shared" si="11"/>
        <v>#DIV/0!</v>
      </c>
      <c r="AD6" s="49">
        <v>0</v>
      </c>
      <c r="AE6" s="49">
        <v>0</v>
      </c>
      <c r="AF6" s="49">
        <v>0</v>
      </c>
      <c r="AG6" s="49">
        <f t="shared" si="12"/>
        <v>0</v>
      </c>
      <c r="AH6" s="49">
        <v>1200</v>
      </c>
      <c r="AI6" s="49">
        <v>0</v>
      </c>
      <c r="AJ6" s="49">
        <f t="shared" si="13"/>
        <v>1200</v>
      </c>
      <c r="AK6" s="49">
        <f t="shared" si="14"/>
        <v>0</v>
      </c>
      <c r="AL6" s="49" t="e">
        <f t="shared" si="15"/>
        <v>#DIV/0!</v>
      </c>
      <c r="AM6" s="50">
        <v>0</v>
      </c>
      <c r="AN6" s="50">
        <v>0</v>
      </c>
      <c r="AO6" s="50">
        <v>0</v>
      </c>
      <c r="AP6" s="50">
        <f t="shared" si="16"/>
        <v>0</v>
      </c>
      <c r="AQ6" s="50">
        <v>600</v>
      </c>
      <c r="AR6" s="50">
        <v>0</v>
      </c>
      <c r="AS6" s="50">
        <f t="shared" si="17"/>
        <v>600</v>
      </c>
      <c r="AT6" s="50">
        <f t="shared" si="18"/>
        <v>0</v>
      </c>
      <c r="AU6" s="50" t="e">
        <f t="shared" si="19"/>
        <v>#DIV/0!</v>
      </c>
      <c r="AV6" s="51">
        <v>0</v>
      </c>
      <c r="AW6" s="36">
        <v>0</v>
      </c>
      <c r="AX6" s="36">
        <v>0</v>
      </c>
      <c r="AY6" s="51">
        <f t="shared" si="20"/>
        <v>0</v>
      </c>
      <c r="AZ6" s="51">
        <v>1500</v>
      </c>
      <c r="BA6" s="51">
        <v>0</v>
      </c>
      <c r="BB6" s="51">
        <f t="shared" si="21"/>
        <v>1500</v>
      </c>
      <c r="BC6" s="51">
        <f t="shared" si="22"/>
        <v>0</v>
      </c>
      <c r="BD6" s="51" t="e">
        <f t="shared" si="23"/>
        <v>#DIV/0!</v>
      </c>
      <c r="BE6" s="52">
        <v>0</v>
      </c>
      <c r="BF6" s="37">
        <v>0</v>
      </c>
      <c r="BG6" s="37">
        <v>0</v>
      </c>
      <c r="BH6" s="37">
        <f t="shared" si="24"/>
        <v>0</v>
      </c>
      <c r="BI6" s="52">
        <v>750</v>
      </c>
      <c r="BJ6" s="37">
        <v>0</v>
      </c>
      <c r="BK6" s="52">
        <f t="shared" si="25"/>
        <v>750</v>
      </c>
      <c r="BL6" s="52">
        <f t="shared" si="26"/>
        <v>0</v>
      </c>
      <c r="BM6" s="52" t="e">
        <f t="shared" si="27"/>
        <v>#DIV/0!</v>
      </c>
      <c r="BN6" s="53">
        <v>0</v>
      </c>
      <c r="BO6" s="38">
        <v>0</v>
      </c>
      <c r="BP6" s="38">
        <v>0</v>
      </c>
      <c r="BQ6" s="53">
        <f t="shared" si="28"/>
        <v>0</v>
      </c>
      <c r="BR6" s="53">
        <v>2450</v>
      </c>
      <c r="BS6" s="38">
        <v>0</v>
      </c>
      <c r="BT6" s="53">
        <f t="shared" si="29"/>
        <v>2450</v>
      </c>
      <c r="BU6" s="53">
        <f t="shared" si="30"/>
        <v>0</v>
      </c>
      <c r="BV6" s="53" t="e">
        <f t="shared" si="31"/>
        <v>#DIV/0!</v>
      </c>
      <c r="BW6" s="54">
        <v>0</v>
      </c>
      <c r="BX6" s="39">
        <v>0</v>
      </c>
      <c r="BY6" s="39">
        <v>0</v>
      </c>
      <c r="BZ6" s="54">
        <f t="shared" si="32"/>
        <v>0</v>
      </c>
      <c r="CA6" s="54">
        <v>750</v>
      </c>
      <c r="CB6" s="54">
        <v>0</v>
      </c>
      <c r="CC6" s="54">
        <f t="shared" si="33"/>
        <v>750</v>
      </c>
      <c r="CD6" s="54">
        <f t="shared" si="34"/>
        <v>0</v>
      </c>
      <c r="CE6" s="54" t="e">
        <f t="shared" si="35"/>
        <v>#DIV/0!</v>
      </c>
      <c r="CF6" s="55">
        <v>0</v>
      </c>
      <c r="CG6" s="55">
        <v>0</v>
      </c>
      <c r="CH6" s="55">
        <v>0</v>
      </c>
      <c r="CI6" s="55">
        <f t="shared" si="36"/>
        <v>0</v>
      </c>
      <c r="CJ6" s="55">
        <v>730</v>
      </c>
      <c r="CK6" s="55">
        <v>0</v>
      </c>
      <c r="CL6" s="55">
        <f t="shared" si="37"/>
        <v>730</v>
      </c>
      <c r="CM6" s="55">
        <f t="shared" si="38"/>
        <v>0</v>
      </c>
      <c r="CN6" s="55" t="e">
        <f t="shared" si="39"/>
        <v>#DIV/0!</v>
      </c>
      <c r="CO6" s="56">
        <v>0</v>
      </c>
      <c r="CP6" s="56">
        <v>0</v>
      </c>
      <c r="CQ6" s="56">
        <v>0</v>
      </c>
      <c r="CR6" s="56">
        <f t="shared" si="40"/>
        <v>0</v>
      </c>
      <c r="CS6" s="56">
        <v>730</v>
      </c>
      <c r="CT6" s="56">
        <v>0</v>
      </c>
      <c r="CU6" s="56">
        <f t="shared" si="41"/>
        <v>730</v>
      </c>
      <c r="CV6" s="56">
        <f t="shared" si="42"/>
        <v>0</v>
      </c>
      <c r="CW6" s="56" t="e">
        <f t="shared" si="43"/>
        <v>#DIV/0!</v>
      </c>
      <c r="CX6" s="57">
        <v>0</v>
      </c>
      <c r="CY6" s="57">
        <v>0</v>
      </c>
      <c r="CZ6" s="57">
        <v>0</v>
      </c>
      <c r="DA6" s="57">
        <f t="shared" si="44"/>
        <v>0</v>
      </c>
      <c r="DB6" s="57">
        <v>600</v>
      </c>
      <c r="DC6" s="57">
        <v>0</v>
      </c>
      <c r="DD6" s="57">
        <f t="shared" si="45"/>
        <v>600</v>
      </c>
      <c r="DE6" s="57">
        <f t="shared" si="46"/>
        <v>0</v>
      </c>
      <c r="DF6" s="57" t="e">
        <f t="shared" si="47"/>
        <v>#DIV/0!</v>
      </c>
    </row>
    <row r="7" spans="1:110" ht="14.25" customHeight="1">
      <c r="A7" s="43"/>
      <c r="B7" s="44"/>
      <c r="C7" s="45">
        <v>0</v>
      </c>
      <c r="D7" s="30">
        <v>0</v>
      </c>
      <c r="E7" s="30">
        <v>0</v>
      </c>
      <c r="F7" s="45">
        <f t="shared" si="0"/>
        <v>0</v>
      </c>
      <c r="G7" s="45">
        <v>900</v>
      </c>
      <c r="H7" s="30">
        <v>0</v>
      </c>
      <c r="I7" s="45">
        <f t="shared" si="1"/>
        <v>900</v>
      </c>
      <c r="J7" s="45">
        <f t="shared" si="2"/>
        <v>0</v>
      </c>
      <c r="K7" s="46" t="e">
        <f t="shared" si="3"/>
        <v>#DIV/0!</v>
      </c>
      <c r="L7" s="47">
        <v>0</v>
      </c>
      <c r="M7" s="32">
        <v>0</v>
      </c>
      <c r="N7" s="32">
        <v>0</v>
      </c>
      <c r="O7" s="47">
        <f t="shared" si="4"/>
        <v>0</v>
      </c>
      <c r="P7" s="47">
        <v>1800</v>
      </c>
      <c r="Q7" s="47">
        <v>0</v>
      </c>
      <c r="R7" s="47">
        <f t="shared" si="5"/>
        <v>1800</v>
      </c>
      <c r="S7" s="47">
        <f t="shared" si="6"/>
        <v>0</v>
      </c>
      <c r="T7" s="47" t="e">
        <f t="shared" si="7"/>
        <v>#DIV/0!</v>
      </c>
      <c r="U7" s="48">
        <v>0</v>
      </c>
      <c r="V7" s="48">
        <v>0</v>
      </c>
      <c r="W7" s="48">
        <v>0</v>
      </c>
      <c r="X7" s="48">
        <f t="shared" si="8"/>
        <v>0</v>
      </c>
      <c r="Y7" s="48">
        <v>910</v>
      </c>
      <c r="Z7" s="33">
        <v>0</v>
      </c>
      <c r="AA7" s="48">
        <f t="shared" si="9"/>
        <v>910</v>
      </c>
      <c r="AB7" s="48">
        <f t="shared" si="10"/>
        <v>0</v>
      </c>
      <c r="AC7" s="48" t="e">
        <f t="shared" si="11"/>
        <v>#DIV/0!</v>
      </c>
      <c r="AD7" s="49">
        <v>0</v>
      </c>
      <c r="AE7" s="49">
        <v>0</v>
      </c>
      <c r="AF7" s="49">
        <v>0</v>
      </c>
      <c r="AG7" s="49">
        <f t="shared" si="12"/>
        <v>0</v>
      </c>
      <c r="AH7" s="49">
        <v>1200</v>
      </c>
      <c r="AI7" s="49">
        <v>0</v>
      </c>
      <c r="AJ7" s="49">
        <f t="shared" si="13"/>
        <v>1200</v>
      </c>
      <c r="AK7" s="49">
        <f t="shared" si="14"/>
        <v>0</v>
      </c>
      <c r="AL7" s="49" t="e">
        <f t="shared" si="15"/>
        <v>#DIV/0!</v>
      </c>
      <c r="AM7" s="50">
        <v>0</v>
      </c>
      <c r="AN7" s="50">
        <v>0</v>
      </c>
      <c r="AO7" s="50">
        <v>0</v>
      </c>
      <c r="AP7" s="50">
        <f t="shared" si="16"/>
        <v>0</v>
      </c>
      <c r="AQ7" s="50">
        <v>600</v>
      </c>
      <c r="AR7" s="50">
        <v>0</v>
      </c>
      <c r="AS7" s="50">
        <f t="shared" si="17"/>
        <v>600</v>
      </c>
      <c r="AT7" s="50">
        <f t="shared" si="18"/>
        <v>0</v>
      </c>
      <c r="AU7" s="50" t="e">
        <f t="shared" si="19"/>
        <v>#DIV/0!</v>
      </c>
      <c r="AV7" s="51">
        <v>0</v>
      </c>
      <c r="AW7" s="36">
        <v>0</v>
      </c>
      <c r="AX7" s="36">
        <v>0</v>
      </c>
      <c r="AY7" s="51">
        <f t="shared" si="20"/>
        <v>0</v>
      </c>
      <c r="AZ7" s="51">
        <v>1500</v>
      </c>
      <c r="BA7" s="51">
        <v>0</v>
      </c>
      <c r="BB7" s="51">
        <f t="shared" si="21"/>
        <v>1500</v>
      </c>
      <c r="BC7" s="51">
        <f t="shared" si="22"/>
        <v>0</v>
      </c>
      <c r="BD7" s="51" t="e">
        <f t="shared" si="23"/>
        <v>#DIV/0!</v>
      </c>
      <c r="BE7" s="52">
        <v>0</v>
      </c>
      <c r="BF7" s="37">
        <v>0</v>
      </c>
      <c r="BG7" s="37">
        <v>0</v>
      </c>
      <c r="BH7" s="37">
        <f t="shared" si="24"/>
        <v>0</v>
      </c>
      <c r="BI7" s="52">
        <v>750</v>
      </c>
      <c r="BJ7" s="37">
        <v>0</v>
      </c>
      <c r="BK7" s="52">
        <f t="shared" si="25"/>
        <v>750</v>
      </c>
      <c r="BL7" s="52">
        <f t="shared" si="26"/>
        <v>0</v>
      </c>
      <c r="BM7" s="52" t="e">
        <f t="shared" si="27"/>
        <v>#DIV/0!</v>
      </c>
      <c r="BN7" s="53">
        <v>0</v>
      </c>
      <c r="BO7" s="38">
        <v>0</v>
      </c>
      <c r="BP7" s="38">
        <v>0</v>
      </c>
      <c r="BQ7" s="53">
        <f t="shared" si="28"/>
        <v>0</v>
      </c>
      <c r="BR7" s="53">
        <v>2450</v>
      </c>
      <c r="BS7" s="38">
        <v>0</v>
      </c>
      <c r="BT7" s="53">
        <f t="shared" si="29"/>
        <v>2450</v>
      </c>
      <c r="BU7" s="53">
        <f t="shared" si="30"/>
        <v>0</v>
      </c>
      <c r="BV7" s="53" t="e">
        <f t="shared" si="31"/>
        <v>#DIV/0!</v>
      </c>
      <c r="BW7" s="54">
        <v>0</v>
      </c>
      <c r="BX7" s="39">
        <v>0</v>
      </c>
      <c r="BY7" s="39">
        <v>0</v>
      </c>
      <c r="BZ7" s="54">
        <f t="shared" si="32"/>
        <v>0</v>
      </c>
      <c r="CA7" s="54">
        <v>750</v>
      </c>
      <c r="CB7" s="54">
        <v>0</v>
      </c>
      <c r="CC7" s="54">
        <f t="shared" si="33"/>
        <v>750</v>
      </c>
      <c r="CD7" s="54">
        <f t="shared" si="34"/>
        <v>0</v>
      </c>
      <c r="CE7" s="54" t="e">
        <f t="shared" si="35"/>
        <v>#DIV/0!</v>
      </c>
      <c r="CF7" s="55">
        <v>0</v>
      </c>
      <c r="CG7" s="55">
        <v>0</v>
      </c>
      <c r="CH7" s="55">
        <v>0</v>
      </c>
      <c r="CI7" s="55">
        <f t="shared" si="36"/>
        <v>0</v>
      </c>
      <c r="CJ7" s="55">
        <v>730</v>
      </c>
      <c r="CK7" s="55">
        <v>0</v>
      </c>
      <c r="CL7" s="55">
        <f t="shared" si="37"/>
        <v>730</v>
      </c>
      <c r="CM7" s="55">
        <f t="shared" si="38"/>
        <v>0</v>
      </c>
      <c r="CN7" s="55" t="e">
        <f t="shared" si="39"/>
        <v>#DIV/0!</v>
      </c>
      <c r="CO7" s="56">
        <v>0</v>
      </c>
      <c r="CP7" s="56">
        <v>0</v>
      </c>
      <c r="CQ7" s="56">
        <v>0</v>
      </c>
      <c r="CR7" s="56">
        <f t="shared" si="40"/>
        <v>0</v>
      </c>
      <c r="CS7" s="56">
        <v>730</v>
      </c>
      <c r="CT7" s="56">
        <v>0</v>
      </c>
      <c r="CU7" s="56">
        <f t="shared" si="41"/>
        <v>730</v>
      </c>
      <c r="CV7" s="56">
        <f t="shared" si="42"/>
        <v>0</v>
      </c>
      <c r="CW7" s="56" t="e">
        <f t="shared" si="43"/>
        <v>#DIV/0!</v>
      </c>
      <c r="CX7" s="57">
        <v>0</v>
      </c>
      <c r="CY7" s="57">
        <v>0</v>
      </c>
      <c r="CZ7" s="57">
        <v>0</v>
      </c>
      <c r="DA7" s="57">
        <f t="shared" si="44"/>
        <v>0</v>
      </c>
      <c r="DB7" s="57">
        <v>600</v>
      </c>
      <c r="DC7" s="57">
        <v>0</v>
      </c>
      <c r="DD7" s="57">
        <f t="shared" si="45"/>
        <v>600</v>
      </c>
      <c r="DE7" s="57">
        <f t="shared" si="46"/>
        <v>0</v>
      </c>
      <c r="DF7" s="57" t="e">
        <f t="shared" si="47"/>
        <v>#DIV/0!</v>
      </c>
    </row>
    <row r="8" spans="1:110" ht="14.25" customHeight="1">
      <c r="A8" s="43"/>
      <c r="B8" s="44"/>
      <c r="C8" s="45">
        <v>0</v>
      </c>
      <c r="D8" s="30">
        <v>0</v>
      </c>
      <c r="E8" s="30">
        <v>0</v>
      </c>
      <c r="F8" s="45">
        <f t="shared" si="0"/>
        <v>0</v>
      </c>
      <c r="G8" s="45">
        <v>900</v>
      </c>
      <c r="H8" s="30">
        <v>0</v>
      </c>
      <c r="I8" s="45">
        <f t="shared" si="1"/>
        <v>900</v>
      </c>
      <c r="J8" s="45">
        <f t="shared" si="2"/>
        <v>0</v>
      </c>
      <c r="K8" s="46" t="e">
        <f t="shared" si="3"/>
        <v>#DIV/0!</v>
      </c>
      <c r="L8" s="47">
        <v>0</v>
      </c>
      <c r="M8" s="32">
        <v>0</v>
      </c>
      <c r="N8" s="32">
        <v>0</v>
      </c>
      <c r="O8" s="47">
        <f t="shared" si="4"/>
        <v>0</v>
      </c>
      <c r="P8" s="47">
        <v>1800</v>
      </c>
      <c r="Q8" s="47">
        <v>0</v>
      </c>
      <c r="R8" s="47">
        <f t="shared" si="5"/>
        <v>1800</v>
      </c>
      <c r="S8" s="47">
        <f t="shared" si="6"/>
        <v>0</v>
      </c>
      <c r="T8" s="47" t="e">
        <f t="shared" si="7"/>
        <v>#DIV/0!</v>
      </c>
      <c r="U8" s="48">
        <v>0</v>
      </c>
      <c r="V8" s="48">
        <v>0</v>
      </c>
      <c r="W8" s="48">
        <v>0</v>
      </c>
      <c r="X8" s="48">
        <f t="shared" si="8"/>
        <v>0</v>
      </c>
      <c r="Y8" s="48">
        <v>910</v>
      </c>
      <c r="Z8" s="33">
        <v>0</v>
      </c>
      <c r="AA8" s="48">
        <f t="shared" si="9"/>
        <v>910</v>
      </c>
      <c r="AB8" s="48">
        <f t="shared" si="10"/>
        <v>0</v>
      </c>
      <c r="AC8" s="48" t="e">
        <f t="shared" si="11"/>
        <v>#DIV/0!</v>
      </c>
      <c r="AD8" s="49">
        <v>0</v>
      </c>
      <c r="AE8" s="49">
        <v>0</v>
      </c>
      <c r="AF8" s="49">
        <v>0</v>
      </c>
      <c r="AG8" s="49">
        <f t="shared" si="12"/>
        <v>0</v>
      </c>
      <c r="AH8" s="49">
        <v>1200</v>
      </c>
      <c r="AI8" s="49">
        <v>0</v>
      </c>
      <c r="AJ8" s="49">
        <f t="shared" si="13"/>
        <v>1200</v>
      </c>
      <c r="AK8" s="49">
        <f t="shared" si="14"/>
        <v>0</v>
      </c>
      <c r="AL8" s="49" t="e">
        <f t="shared" si="15"/>
        <v>#DIV/0!</v>
      </c>
      <c r="AM8" s="50">
        <v>0</v>
      </c>
      <c r="AN8" s="50">
        <v>0</v>
      </c>
      <c r="AO8" s="50">
        <v>0</v>
      </c>
      <c r="AP8" s="50">
        <f t="shared" si="16"/>
        <v>0</v>
      </c>
      <c r="AQ8" s="50">
        <v>600</v>
      </c>
      <c r="AR8" s="50">
        <v>0</v>
      </c>
      <c r="AS8" s="50">
        <f t="shared" si="17"/>
        <v>600</v>
      </c>
      <c r="AT8" s="50">
        <f t="shared" si="18"/>
        <v>0</v>
      </c>
      <c r="AU8" s="50" t="e">
        <f t="shared" si="19"/>
        <v>#DIV/0!</v>
      </c>
      <c r="AV8" s="51">
        <v>0</v>
      </c>
      <c r="AW8" s="36">
        <v>0</v>
      </c>
      <c r="AX8" s="36">
        <v>0</v>
      </c>
      <c r="AY8" s="51">
        <f t="shared" si="20"/>
        <v>0</v>
      </c>
      <c r="AZ8" s="51">
        <v>1500</v>
      </c>
      <c r="BA8" s="51">
        <v>0</v>
      </c>
      <c r="BB8" s="51">
        <f t="shared" si="21"/>
        <v>1500</v>
      </c>
      <c r="BC8" s="51">
        <f t="shared" si="22"/>
        <v>0</v>
      </c>
      <c r="BD8" s="51" t="e">
        <f t="shared" si="23"/>
        <v>#DIV/0!</v>
      </c>
      <c r="BE8" s="52">
        <v>0</v>
      </c>
      <c r="BF8" s="37">
        <v>0</v>
      </c>
      <c r="BG8" s="37">
        <v>0</v>
      </c>
      <c r="BH8" s="37">
        <f t="shared" si="24"/>
        <v>0</v>
      </c>
      <c r="BI8" s="52">
        <v>750</v>
      </c>
      <c r="BJ8" s="37">
        <v>0</v>
      </c>
      <c r="BK8" s="52">
        <f t="shared" si="25"/>
        <v>750</v>
      </c>
      <c r="BL8" s="52">
        <f t="shared" si="26"/>
        <v>0</v>
      </c>
      <c r="BM8" s="52" t="e">
        <f t="shared" si="27"/>
        <v>#DIV/0!</v>
      </c>
      <c r="BN8" s="53">
        <v>0</v>
      </c>
      <c r="BO8" s="38">
        <v>0</v>
      </c>
      <c r="BP8" s="38">
        <v>0</v>
      </c>
      <c r="BQ8" s="53">
        <f t="shared" si="28"/>
        <v>0</v>
      </c>
      <c r="BR8" s="53">
        <v>2450</v>
      </c>
      <c r="BS8" s="38">
        <v>0</v>
      </c>
      <c r="BT8" s="53">
        <f t="shared" si="29"/>
        <v>2450</v>
      </c>
      <c r="BU8" s="53">
        <f t="shared" si="30"/>
        <v>0</v>
      </c>
      <c r="BV8" s="53" t="e">
        <f t="shared" si="31"/>
        <v>#DIV/0!</v>
      </c>
      <c r="BW8" s="54">
        <v>0</v>
      </c>
      <c r="BX8" s="39">
        <v>0</v>
      </c>
      <c r="BY8" s="39">
        <v>0</v>
      </c>
      <c r="BZ8" s="54">
        <f t="shared" si="32"/>
        <v>0</v>
      </c>
      <c r="CA8" s="54">
        <v>750</v>
      </c>
      <c r="CB8" s="54">
        <v>0</v>
      </c>
      <c r="CC8" s="54">
        <f t="shared" si="33"/>
        <v>750</v>
      </c>
      <c r="CD8" s="54">
        <f t="shared" si="34"/>
        <v>0</v>
      </c>
      <c r="CE8" s="54" t="e">
        <f t="shared" si="35"/>
        <v>#DIV/0!</v>
      </c>
      <c r="CF8" s="55">
        <v>0</v>
      </c>
      <c r="CG8" s="55">
        <v>0</v>
      </c>
      <c r="CH8" s="55">
        <v>0</v>
      </c>
      <c r="CI8" s="55">
        <f t="shared" si="36"/>
        <v>0</v>
      </c>
      <c r="CJ8" s="55">
        <v>730</v>
      </c>
      <c r="CK8" s="55">
        <v>0</v>
      </c>
      <c r="CL8" s="55">
        <f t="shared" si="37"/>
        <v>730</v>
      </c>
      <c r="CM8" s="55">
        <f t="shared" si="38"/>
        <v>0</v>
      </c>
      <c r="CN8" s="55" t="e">
        <f t="shared" si="39"/>
        <v>#DIV/0!</v>
      </c>
      <c r="CO8" s="56">
        <v>0</v>
      </c>
      <c r="CP8" s="56">
        <v>0</v>
      </c>
      <c r="CQ8" s="56">
        <v>0</v>
      </c>
      <c r="CR8" s="56">
        <f t="shared" si="40"/>
        <v>0</v>
      </c>
      <c r="CS8" s="56">
        <v>730</v>
      </c>
      <c r="CT8" s="56">
        <v>0</v>
      </c>
      <c r="CU8" s="56">
        <f t="shared" si="41"/>
        <v>730</v>
      </c>
      <c r="CV8" s="56">
        <f t="shared" si="42"/>
        <v>0</v>
      </c>
      <c r="CW8" s="56" t="e">
        <f t="shared" si="43"/>
        <v>#DIV/0!</v>
      </c>
      <c r="CX8" s="57">
        <v>0</v>
      </c>
      <c r="CY8" s="57">
        <v>0</v>
      </c>
      <c r="CZ8" s="57">
        <v>0</v>
      </c>
      <c r="DA8" s="57">
        <f t="shared" si="44"/>
        <v>0</v>
      </c>
      <c r="DB8" s="57">
        <v>600</v>
      </c>
      <c r="DC8" s="57">
        <v>0</v>
      </c>
      <c r="DD8" s="57">
        <f t="shared" si="45"/>
        <v>600</v>
      </c>
      <c r="DE8" s="57">
        <f t="shared" si="46"/>
        <v>0</v>
      </c>
      <c r="DF8" s="57" t="e">
        <f t="shared" si="47"/>
        <v>#DIV/0!</v>
      </c>
    </row>
    <row r="9" spans="1:110" ht="14.25" customHeight="1">
      <c r="A9" s="43"/>
      <c r="B9" s="44"/>
      <c r="C9" s="45">
        <v>0</v>
      </c>
      <c r="D9" s="30">
        <v>0</v>
      </c>
      <c r="E9" s="30">
        <v>0</v>
      </c>
      <c r="F9" s="45">
        <f t="shared" si="0"/>
        <v>0</v>
      </c>
      <c r="G9" s="45">
        <v>900</v>
      </c>
      <c r="H9" s="30">
        <v>0</v>
      </c>
      <c r="I9" s="45">
        <f t="shared" si="1"/>
        <v>900</v>
      </c>
      <c r="J9" s="45">
        <f t="shared" si="2"/>
        <v>0</v>
      </c>
      <c r="K9" s="46" t="e">
        <f t="shared" si="3"/>
        <v>#DIV/0!</v>
      </c>
      <c r="L9" s="47">
        <v>0</v>
      </c>
      <c r="M9" s="32">
        <v>0</v>
      </c>
      <c r="N9" s="32">
        <v>0</v>
      </c>
      <c r="O9" s="47">
        <f t="shared" si="4"/>
        <v>0</v>
      </c>
      <c r="P9" s="47">
        <v>1800</v>
      </c>
      <c r="Q9" s="47">
        <v>0</v>
      </c>
      <c r="R9" s="47">
        <f t="shared" si="5"/>
        <v>1800</v>
      </c>
      <c r="S9" s="47">
        <f t="shared" si="6"/>
        <v>0</v>
      </c>
      <c r="T9" s="47" t="e">
        <f t="shared" si="7"/>
        <v>#DIV/0!</v>
      </c>
      <c r="U9" s="48">
        <v>0</v>
      </c>
      <c r="V9" s="48">
        <v>0</v>
      </c>
      <c r="W9" s="48">
        <v>0</v>
      </c>
      <c r="X9" s="48">
        <f t="shared" si="8"/>
        <v>0</v>
      </c>
      <c r="Y9" s="48">
        <v>910</v>
      </c>
      <c r="Z9" s="33">
        <v>0</v>
      </c>
      <c r="AA9" s="48">
        <f t="shared" si="9"/>
        <v>910</v>
      </c>
      <c r="AB9" s="48">
        <f t="shared" si="10"/>
        <v>0</v>
      </c>
      <c r="AC9" s="48" t="e">
        <f t="shared" si="11"/>
        <v>#DIV/0!</v>
      </c>
      <c r="AD9" s="49">
        <v>0</v>
      </c>
      <c r="AE9" s="49">
        <v>0</v>
      </c>
      <c r="AF9" s="49">
        <v>0</v>
      </c>
      <c r="AG9" s="49">
        <f t="shared" si="12"/>
        <v>0</v>
      </c>
      <c r="AH9" s="49">
        <v>1200</v>
      </c>
      <c r="AI9" s="49">
        <v>0</v>
      </c>
      <c r="AJ9" s="49">
        <f t="shared" si="13"/>
        <v>1200</v>
      </c>
      <c r="AK9" s="49">
        <f t="shared" si="14"/>
        <v>0</v>
      </c>
      <c r="AL9" s="49" t="e">
        <f t="shared" si="15"/>
        <v>#DIV/0!</v>
      </c>
      <c r="AM9" s="50">
        <v>0</v>
      </c>
      <c r="AN9" s="50">
        <v>0</v>
      </c>
      <c r="AO9" s="50">
        <v>0</v>
      </c>
      <c r="AP9" s="50">
        <f t="shared" si="16"/>
        <v>0</v>
      </c>
      <c r="AQ9" s="50">
        <v>600</v>
      </c>
      <c r="AR9" s="50">
        <v>0</v>
      </c>
      <c r="AS9" s="50">
        <f t="shared" si="17"/>
        <v>600</v>
      </c>
      <c r="AT9" s="50">
        <f t="shared" si="18"/>
        <v>0</v>
      </c>
      <c r="AU9" s="50" t="e">
        <f t="shared" si="19"/>
        <v>#DIV/0!</v>
      </c>
      <c r="AV9" s="51">
        <v>0</v>
      </c>
      <c r="AW9" s="36">
        <v>0</v>
      </c>
      <c r="AX9" s="36">
        <v>0</v>
      </c>
      <c r="AY9" s="51">
        <f t="shared" si="20"/>
        <v>0</v>
      </c>
      <c r="AZ9" s="51">
        <v>1500</v>
      </c>
      <c r="BA9" s="51">
        <v>0</v>
      </c>
      <c r="BB9" s="51">
        <f t="shared" si="21"/>
        <v>1500</v>
      </c>
      <c r="BC9" s="51">
        <f t="shared" si="22"/>
        <v>0</v>
      </c>
      <c r="BD9" s="51" t="e">
        <f t="shared" si="23"/>
        <v>#DIV/0!</v>
      </c>
      <c r="BE9" s="52">
        <v>0</v>
      </c>
      <c r="BF9" s="37">
        <v>0</v>
      </c>
      <c r="BG9" s="37">
        <v>0</v>
      </c>
      <c r="BH9" s="37">
        <f t="shared" si="24"/>
        <v>0</v>
      </c>
      <c r="BI9" s="52">
        <v>750</v>
      </c>
      <c r="BJ9" s="37">
        <v>0</v>
      </c>
      <c r="BK9" s="52">
        <f t="shared" si="25"/>
        <v>750</v>
      </c>
      <c r="BL9" s="52">
        <f t="shared" si="26"/>
        <v>0</v>
      </c>
      <c r="BM9" s="52" t="e">
        <f t="shared" si="27"/>
        <v>#DIV/0!</v>
      </c>
      <c r="BN9" s="53">
        <v>0</v>
      </c>
      <c r="BO9" s="38">
        <v>0</v>
      </c>
      <c r="BP9" s="38">
        <v>0</v>
      </c>
      <c r="BQ9" s="53">
        <f t="shared" si="28"/>
        <v>0</v>
      </c>
      <c r="BR9" s="53">
        <v>2450</v>
      </c>
      <c r="BS9" s="38">
        <v>0</v>
      </c>
      <c r="BT9" s="53">
        <f t="shared" si="29"/>
        <v>2450</v>
      </c>
      <c r="BU9" s="53">
        <f t="shared" si="30"/>
        <v>0</v>
      </c>
      <c r="BV9" s="53" t="e">
        <f t="shared" si="31"/>
        <v>#DIV/0!</v>
      </c>
      <c r="BW9" s="54">
        <v>0</v>
      </c>
      <c r="BX9" s="39">
        <v>0</v>
      </c>
      <c r="BY9" s="39">
        <v>0</v>
      </c>
      <c r="BZ9" s="54">
        <f t="shared" si="32"/>
        <v>0</v>
      </c>
      <c r="CA9" s="54">
        <v>750</v>
      </c>
      <c r="CB9" s="54">
        <v>0</v>
      </c>
      <c r="CC9" s="54">
        <f t="shared" si="33"/>
        <v>750</v>
      </c>
      <c r="CD9" s="54">
        <f t="shared" si="34"/>
        <v>0</v>
      </c>
      <c r="CE9" s="54" t="e">
        <f t="shared" si="35"/>
        <v>#DIV/0!</v>
      </c>
      <c r="CF9" s="55">
        <v>0</v>
      </c>
      <c r="CG9" s="55">
        <v>0</v>
      </c>
      <c r="CH9" s="55">
        <v>0</v>
      </c>
      <c r="CI9" s="55">
        <f t="shared" si="36"/>
        <v>0</v>
      </c>
      <c r="CJ9" s="55">
        <v>730</v>
      </c>
      <c r="CK9" s="55">
        <v>0</v>
      </c>
      <c r="CL9" s="55">
        <f t="shared" si="37"/>
        <v>730</v>
      </c>
      <c r="CM9" s="55">
        <f t="shared" si="38"/>
        <v>0</v>
      </c>
      <c r="CN9" s="55" t="e">
        <f t="shared" si="39"/>
        <v>#DIV/0!</v>
      </c>
      <c r="CO9" s="56">
        <v>0</v>
      </c>
      <c r="CP9" s="56">
        <v>0</v>
      </c>
      <c r="CQ9" s="56">
        <v>0</v>
      </c>
      <c r="CR9" s="56">
        <f t="shared" si="40"/>
        <v>0</v>
      </c>
      <c r="CS9" s="56">
        <v>730</v>
      </c>
      <c r="CT9" s="56">
        <v>0</v>
      </c>
      <c r="CU9" s="56">
        <f t="shared" si="41"/>
        <v>730</v>
      </c>
      <c r="CV9" s="56">
        <f t="shared" si="42"/>
        <v>0</v>
      </c>
      <c r="CW9" s="56" t="e">
        <f t="shared" si="43"/>
        <v>#DIV/0!</v>
      </c>
      <c r="CX9" s="57">
        <v>0</v>
      </c>
      <c r="CY9" s="57">
        <v>0</v>
      </c>
      <c r="CZ9" s="57">
        <v>0</v>
      </c>
      <c r="DA9" s="57">
        <f t="shared" si="44"/>
        <v>0</v>
      </c>
      <c r="DB9" s="57">
        <v>600</v>
      </c>
      <c r="DC9" s="57">
        <v>0</v>
      </c>
      <c r="DD9" s="57">
        <f t="shared" si="45"/>
        <v>600</v>
      </c>
      <c r="DE9" s="57">
        <f t="shared" si="46"/>
        <v>0</v>
      </c>
      <c r="DF9" s="57" t="e">
        <f t="shared" si="47"/>
        <v>#DIV/0!</v>
      </c>
    </row>
    <row r="10" spans="1:110" ht="14.25" customHeight="1">
      <c r="A10" s="43"/>
      <c r="B10" s="44"/>
      <c r="C10" s="45">
        <v>0</v>
      </c>
      <c r="D10" s="30">
        <v>0</v>
      </c>
      <c r="E10" s="30">
        <v>0</v>
      </c>
      <c r="F10" s="45">
        <f t="shared" si="0"/>
        <v>0</v>
      </c>
      <c r="G10" s="45">
        <v>900</v>
      </c>
      <c r="H10" s="30">
        <v>0</v>
      </c>
      <c r="I10" s="45">
        <f t="shared" si="1"/>
        <v>900</v>
      </c>
      <c r="J10" s="45">
        <f t="shared" si="2"/>
        <v>0</v>
      </c>
      <c r="K10" s="46" t="e">
        <f t="shared" si="3"/>
        <v>#DIV/0!</v>
      </c>
      <c r="L10" s="47">
        <v>0</v>
      </c>
      <c r="M10" s="32">
        <v>0</v>
      </c>
      <c r="N10" s="32">
        <v>0</v>
      </c>
      <c r="O10" s="47">
        <f t="shared" si="4"/>
        <v>0</v>
      </c>
      <c r="P10" s="47">
        <v>1800</v>
      </c>
      <c r="Q10" s="47">
        <v>0</v>
      </c>
      <c r="R10" s="47">
        <f t="shared" si="5"/>
        <v>1800</v>
      </c>
      <c r="S10" s="47">
        <f t="shared" si="6"/>
        <v>0</v>
      </c>
      <c r="T10" s="47" t="e">
        <f t="shared" si="7"/>
        <v>#DIV/0!</v>
      </c>
      <c r="U10" s="48">
        <v>0</v>
      </c>
      <c r="V10" s="48">
        <v>0</v>
      </c>
      <c r="W10" s="48">
        <v>0</v>
      </c>
      <c r="X10" s="48">
        <f t="shared" si="8"/>
        <v>0</v>
      </c>
      <c r="Y10" s="48">
        <v>910</v>
      </c>
      <c r="Z10" s="33">
        <v>0</v>
      </c>
      <c r="AA10" s="48">
        <f t="shared" si="9"/>
        <v>910</v>
      </c>
      <c r="AB10" s="48">
        <f t="shared" si="10"/>
        <v>0</v>
      </c>
      <c r="AC10" s="48" t="e">
        <f t="shared" si="11"/>
        <v>#DIV/0!</v>
      </c>
      <c r="AD10" s="49">
        <v>0</v>
      </c>
      <c r="AE10" s="49">
        <v>0</v>
      </c>
      <c r="AF10" s="49">
        <v>0</v>
      </c>
      <c r="AG10" s="49">
        <f t="shared" si="12"/>
        <v>0</v>
      </c>
      <c r="AH10" s="49">
        <v>1200</v>
      </c>
      <c r="AI10" s="49">
        <v>0</v>
      </c>
      <c r="AJ10" s="49">
        <f t="shared" si="13"/>
        <v>1200</v>
      </c>
      <c r="AK10" s="49">
        <f t="shared" si="14"/>
        <v>0</v>
      </c>
      <c r="AL10" s="49" t="e">
        <f t="shared" si="15"/>
        <v>#DIV/0!</v>
      </c>
      <c r="AM10" s="50">
        <v>0</v>
      </c>
      <c r="AN10" s="50">
        <v>0</v>
      </c>
      <c r="AO10" s="50">
        <v>0</v>
      </c>
      <c r="AP10" s="50">
        <f t="shared" si="16"/>
        <v>0</v>
      </c>
      <c r="AQ10" s="50">
        <v>600</v>
      </c>
      <c r="AR10" s="50">
        <v>0</v>
      </c>
      <c r="AS10" s="50">
        <f t="shared" si="17"/>
        <v>600</v>
      </c>
      <c r="AT10" s="50">
        <f t="shared" si="18"/>
        <v>0</v>
      </c>
      <c r="AU10" s="50" t="e">
        <f t="shared" si="19"/>
        <v>#DIV/0!</v>
      </c>
      <c r="AV10" s="51">
        <v>0</v>
      </c>
      <c r="AW10" s="36">
        <v>0</v>
      </c>
      <c r="AX10" s="36">
        <v>0</v>
      </c>
      <c r="AY10" s="51">
        <f t="shared" si="20"/>
        <v>0</v>
      </c>
      <c r="AZ10" s="51">
        <v>1500</v>
      </c>
      <c r="BA10" s="51">
        <v>0</v>
      </c>
      <c r="BB10" s="51">
        <f t="shared" si="21"/>
        <v>1500</v>
      </c>
      <c r="BC10" s="51">
        <f t="shared" si="22"/>
        <v>0</v>
      </c>
      <c r="BD10" s="51" t="e">
        <f t="shared" si="23"/>
        <v>#DIV/0!</v>
      </c>
      <c r="BE10" s="52">
        <v>0</v>
      </c>
      <c r="BF10" s="37">
        <v>0</v>
      </c>
      <c r="BG10" s="37">
        <v>0</v>
      </c>
      <c r="BH10" s="37">
        <f t="shared" si="24"/>
        <v>0</v>
      </c>
      <c r="BI10" s="52">
        <v>750</v>
      </c>
      <c r="BJ10" s="37">
        <v>0</v>
      </c>
      <c r="BK10" s="52">
        <f t="shared" si="25"/>
        <v>750</v>
      </c>
      <c r="BL10" s="52">
        <f t="shared" si="26"/>
        <v>0</v>
      </c>
      <c r="BM10" s="52" t="e">
        <f t="shared" si="27"/>
        <v>#DIV/0!</v>
      </c>
      <c r="BN10" s="53">
        <v>0</v>
      </c>
      <c r="BO10" s="38">
        <v>0</v>
      </c>
      <c r="BP10" s="38">
        <v>0</v>
      </c>
      <c r="BQ10" s="53">
        <f t="shared" si="28"/>
        <v>0</v>
      </c>
      <c r="BR10" s="53">
        <v>2450</v>
      </c>
      <c r="BS10" s="38">
        <v>0</v>
      </c>
      <c r="BT10" s="53">
        <f t="shared" si="29"/>
        <v>2450</v>
      </c>
      <c r="BU10" s="53">
        <f t="shared" si="30"/>
        <v>0</v>
      </c>
      <c r="BV10" s="53" t="e">
        <f t="shared" si="31"/>
        <v>#DIV/0!</v>
      </c>
      <c r="BW10" s="54">
        <v>0</v>
      </c>
      <c r="BX10" s="39">
        <v>0</v>
      </c>
      <c r="BY10" s="39">
        <v>0</v>
      </c>
      <c r="BZ10" s="54">
        <f t="shared" si="32"/>
        <v>0</v>
      </c>
      <c r="CA10" s="54">
        <v>750</v>
      </c>
      <c r="CB10" s="54">
        <v>0</v>
      </c>
      <c r="CC10" s="54">
        <f t="shared" si="33"/>
        <v>750</v>
      </c>
      <c r="CD10" s="54">
        <f t="shared" si="34"/>
        <v>0</v>
      </c>
      <c r="CE10" s="54" t="e">
        <f t="shared" si="35"/>
        <v>#DIV/0!</v>
      </c>
      <c r="CF10" s="55">
        <v>0</v>
      </c>
      <c r="CG10" s="55">
        <v>0</v>
      </c>
      <c r="CH10" s="55">
        <v>0</v>
      </c>
      <c r="CI10" s="55">
        <f t="shared" si="36"/>
        <v>0</v>
      </c>
      <c r="CJ10" s="55">
        <v>730</v>
      </c>
      <c r="CK10" s="55">
        <v>0</v>
      </c>
      <c r="CL10" s="55">
        <f t="shared" si="37"/>
        <v>730</v>
      </c>
      <c r="CM10" s="55">
        <f t="shared" si="38"/>
        <v>0</v>
      </c>
      <c r="CN10" s="55" t="e">
        <f t="shared" si="39"/>
        <v>#DIV/0!</v>
      </c>
      <c r="CO10" s="56">
        <v>0</v>
      </c>
      <c r="CP10" s="56">
        <v>0</v>
      </c>
      <c r="CQ10" s="56">
        <v>0</v>
      </c>
      <c r="CR10" s="56">
        <f t="shared" si="40"/>
        <v>0</v>
      </c>
      <c r="CS10" s="56">
        <v>730</v>
      </c>
      <c r="CT10" s="56">
        <v>0</v>
      </c>
      <c r="CU10" s="56">
        <f t="shared" si="41"/>
        <v>730</v>
      </c>
      <c r="CV10" s="56">
        <f t="shared" si="42"/>
        <v>0</v>
      </c>
      <c r="CW10" s="56" t="e">
        <f t="shared" si="43"/>
        <v>#DIV/0!</v>
      </c>
      <c r="CX10" s="57">
        <v>0</v>
      </c>
      <c r="CY10" s="57">
        <v>0</v>
      </c>
      <c r="CZ10" s="57">
        <v>0</v>
      </c>
      <c r="DA10" s="57">
        <f t="shared" si="44"/>
        <v>0</v>
      </c>
      <c r="DB10" s="57">
        <v>600</v>
      </c>
      <c r="DC10" s="57">
        <v>0</v>
      </c>
      <c r="DD10" s="57">
        <f t="shared" si="45"/>
        <v>600</v>
      </c>
      <c r="DE10" s="57">
        <f t="shared" si="46"/>
        <v>0</v>
      </c>
      <c r="DF10" s="57" t="e">
        <f t="shared" si="47"/>
        <v>#DIV/0!</v>
      </c>
    </row>
    <row r="11" spans="1:110" ht="14.25" customHeight="1">
      <c r="A11" s="43"/>
      <c r="B11" s="44"/>
      <c r="C11" s="45">
        <v>0</v>
      </c>
      <c r="D11" s="30">
        <v>0</v>
      </c>
      <c r="E11" s="30">
        <v>0</v>
      </c>
      <c r="F11" s="45">
        <f t="shared" si="0"/>
        <v>0</v>
      </c>
      <c r="G11" s="45">
        <v>900</v>
      </c>
      <c r="H11" s="30">
        <v>0</v>
      </c>
      <c r="I11" s="45">
        <f t="shared" si="1"/>
        <v>900</v>
      </c>
      <c r="J11" s="45">
        <f t="shared" si="2"/>
        <v>0</v>
      </c>
      <c r="K11" s="46" t="e">
        <f t="shared" si="3"/>
        <v>#DIV/0!</v>
      </c>
      <c r="L11" s="47">
        <v>0</v>
      </c>
      <c r="M11" s="32">
        <v>0</v>
      </c>
      <c r="N11" s="32">
        <v>0</v>
      </c>
      <c r="O11" s="47">
        <f t="shared" si="4"/>
        <v>0</v>
      </c>
      <c r="P11" s="47">
        <v>1800</v>
      </c>
      <c r="Q11" s="47">
        <v>0</v>
      </c>
      <c r="R11" s="47">
        <f t="shared" si="5"/>
        <v>1800</v>
      </c>
      <c r="S11" s="47">
        <f t="shared" si="6"/>
        <v>0</v>
      </c>
      <c r="T11" s="47" t="e">
        <f t="shared" si="7"/>
        <v>#DIV/0!</v>
      </c>
      <c r="U11" s="48">
        <v>0</v>
      </c>
      <c r="V11" s="48">
        <v>0</v>
      </c>
      <c r="W11" s="48">
        <v>0</v>
      </c>
      <c r="X11" s="48">
        <f t="shared" si="8"/>
        <v>0</v>
      </c>
      <c r="Y11" s="48">
        <v>910</v>
      </c>
      <c r="Z11" s="33">
        <v>0</v>
      </c>
      <c r="AA11" s="48">
        <f t="shared" si="9"/>
        <v>910</v>
      </c>
      <c r="AB11" s="48">
        <f t="shared" si="10"/>
        <v>0</v>
      </c>
      <c r="AC11" s="48" t="e">
        <f t="shared" si="11"/>
        <v>#DIV/0!</v>
      </c>
      <c r="AD11" s="49">
        <v>0</v>
      </c>
      <c r="AE11" s="49">
        <v>0</v>
      </c>
      <c r="AF11" s="49">
        <v>0</v>
      </c>
      <c r="AG11" s="49">
        <f t="shared" si="12"/>
        <v>0</v>
      </c>
      <c r="AH11" s="49">
        <v>1200</v>
      </c>
      <c r="AI11" s="49">
        <v>0</v>
      </c>
      <c r="AJ11" s="49">
        <f t="shared" si="13"/>
        <v>1200</v>
      </c>
      <c r="AK11" s="49">
        <f t="shared" si="14"/>
        <v>0</v>
      </c>
      <c r="AL11" s="49" t="e">
        <f t="shared" si="15"/>
        <v>#DIV/0!</v>
      </c>
      <c r="AM11" s="50">
        <v>0</v>
      </c>
      <c r="AN11" s="50">
        <v>0</v>
      </c>
      <c r="AO11" s="50">
        <v>0</v>
      </c>
      <c r="AP11" s="50">
        <f t="shared" si="16"/>
        <v>0</v>
      </c>
      <c r="AQ11" s="50">
        <v>600</v>
      </c>
      <c r="AR11" s="50">
        <v>0</v>
      </c>
      <c r="AS11" s="50">
        <f t="shared" si="17"/>
        <v>600</v>
      </c>
      <c r="AT11" s="50">
        <f t="shared" si="18"/>
        <v>0</v>
      </c>
      <c r="AU11" s="50" t="e">
        <f t="shared" si="19"/>
        <v>#DIV/0!</v>
      </c>
      <c r="AV11" s="51">
        <v>0</v>
      </c>
      <c r="AW11" s="36">
        <v>0</v>
      </c>
      <c r="AX11" s="36">
        <v>0</v>
      </c>
      <c r="AY11" s="51">
        <f t="shared" si="20"/>
        <v>0</v>
      </c>
      <c r="AZ11" s="51">
        <v>1500</v>
      </c>
      <c r="BA11" s="51">
        <v>0</v>
      </c>
      <c r="BB11" s="51">
        <f t="shared" si="21"/>
        <v>1500</v>
      </c>
      <c r="BC11" s="51">
        <f t="shared" si="22"/>
        <v>0</v>
      </c>
      <c r="BD11" s="51" t="e">
        <f t="shared" si="23"/>
        <v>#DIV/0!</v>
      </c>
      <c r="BE11" s="52">
        <v>0</v>
      </c>
      <c r="BF11" s="37">
        <v>0</v>
      </c>
      <c r="BG11" s="37">
        <v>0</v>
      </c>
      <c r="BH11" s="37">
        <f t="shared" si="24"/>
        <v>0</v>
      </c>
      <c r="BI11" s="52">
        <v>750</v>
      </c>
      <c r="BJ11" s="37">
        <v>0</v>
      </c>
      <c r="BK11" s="52">
        <f t="shared" si="25"/>
        <v>750</v>
      </c>
      <c r="BL11" s="52">
        <f t="shared" si="26"/>
        <v>0</v>
      </c>
      <c r="BM11" s="52" t="e">
        <f t="shared" si="27"/>
        <v>#DIV/0!</v>
      </c>
      <c r="BN11" s="53">
        <v>0</v>
      </c>
      <c r="BO11" s="38">
        <v>0</v>
      </c>
      <c r="BP11" s="38">
        <v>0</v>
      </c>
      <c r="BQ11" s="53">
        <f t="shared" si="28"/>
        <v>0</v>
      </c>
      <c r="BR11" s="53">
        <v>2450</v>
      </c>
      <c r="BS11" s="38">
        <v>0</v>
      </c>
      <c r="BT11" s="53">
        <f t="shared" si="29"/>
        <v>2450</v>
      </c>
      <c r="BU11" s="53">
        <f t="shared" si="30"/>
        <v>0</v>
      </c>
      <c r="BV11" s="53" t="e">
        <f t="shared" si="31"/>
        <v>#DIV/0!</v>
      </c>
      <c r="BW11" s="54">
        <v>0</v>
      </c>
      <c r="BX11" s="39">
        <v>0</v>
      </c>
      <c r="BY11" s="39">
        <v>0</v>
      </c>
      <c r="BZ11" s="54">
        <f t="shared" si="32"/>
        <v>0</v>
      </c>
      <c r="CA11" s="54">
        <v>750</v>
      </c>
      <c r="CB11" s="54">
        <v>0</v>
      </c>
      <c r="CC11" s="54">
        <f t="shared" si="33"/>
        <v>750</v>
      </c>
      <c r="CD11" s="54">
        <f t="shared" si="34"/>
        <v>0</v>
      </c>
      <c r="CE11" s="54" t="e">
        <f t="shared" si="35"/>
        <v>#DIV/0!</v>
      </c>
      <c r="CF11" s="55">
        <v>0</v>
      </c>
      <c r="CG11" s="55">
        <v>0</v>
      </c>
      <c r="CH11" s="55">
        <v>0</v>
      </c>
      <c r="CI11" s="55">
        <f t="shared" si="36"/>
        <v>0</v>
      </c>
      <c r="CJ11" s="55">
        <v>730</v>
      </c>
      <c r="CK11" s="55">
        <v>0</v>
      </c>
      <c r="CL11" s="55">
        <f t="shared" si="37"/>
        <v>730</v>
      </c>
      <c r="CM11" s="55">
        <f t="shared" si="38"/>
        <v>0</v>
      </c>
      <c r="CN11" s="55" t="e">
        <f t="shared" si="39"/>
        <v>#DIV/0!</v>
      </c>
      <c r="CO11" s="56">
        <v>0</v>
      </c>
      <c r="CP11" s="56">
        <v>0</v>
      </c>
      <c r="CQ11" s="56">
        <v>0</v>
      </c>
      <c r="CR11" s="56">
        <f t="shared" si="40"/>
        <v>0</v>
      </c>
      <c r="CS11" s="56">
        <v>730</v>
      </c>
      <c r="CT11" s="56">
        <v>0</v>
      </c>
      <c r="CU11" s="56">
        <f t="shared" si="41"/>
        <v>730</v>
      </c>
      <c r="CV11" s="56">
        <f t="shared" si="42"/>
        <v>0</v>
      </c>
      <c r="CW11" s="56" t="e">
        <f t="shared" si="43"/>
        <v>#DIV/0!</v>
      </c>
      <c r="CX11" s="57">
        <v>0</v>
      </c>
      <c r="CY11" s="57">
        <v>0</v>
      </c>
      <c r="CZ11" s="57">
        <v>0</v>
      </c>
      <c r="DA11" s="57">
        <f t="shared" si="44"/>
        <v>0</v>
      </c>
      <c r="DB11" s="57">
        <v>600</v>
      </c>
      <c r="DC11" s="57">
        <v>0</v>
      </c>
      <c r="DD11" s="57">
        <f t="shared" si="45"/>
        <v>600</v>
      </c>
      <c r="DE11" s="57">
        <f t="shared" si="46"/>
        <v>0</v>
      </c>
      <c r="DF11" s="57" t="e">
        <f t="shared" si="47"/>
        <v>#DIV/0!</v>
      </c>
    </row>
    <row r="12" spans="1:110" ht="14.25" customHeight="1">
      <c r="A12" s="43"/>
      <c r="B12" s="44"/>
      <c r="C12" s="45">
        <v>0</v>
      </c>
      <c r="D12" s="30">
        <v>0</v>
      </c>
      <c r="E12" s="30">
        <v>0</v>
      </c>
      <c r="F12" s="45">
        <f t="shared" si="0"/>
        <v>0</v>
      </c>
      <c r="G12" s="45">
        <v>900</v>
      </c>
      <c r="H12" s="30">
        <v>0</v>
      </c>
      <c r="I12" s="45">
        <f t="shared" si="1"/>
        <v>900</v>
      </c>
      <c r="J12" s="45">
        <f t="shared" si="2"/>
        <v>0</v>
      </c>
      <c r="K12" s="46" t="e">
        <f t="shared" si="3"/>
        <v>#DIV/0!</v>
      </c>
      <c r="L12" s="47">
        <v>0</v>
      </c>
      <c r="M12" s="32">
        <v>0</v>
      </c>
      <c r="N12" s="32">
        <v>0</v>
      </c>
      <c r="O12" s="47">
        <f t="shared" si="4"/>
        <v>0</v>
      </c>
      <c r="P12" s="47">
        <v>1800</v>
      </c>
      <c r="Q12" s="47">
        <v>0</v>
      </c>
      <c r="R12" s="47">
        <f t="shared" si="5"/>
        <v>1800</v>
      </c>
      <c r="S12" s="47">
        <f t="shared" si="6"/>
        <v>0</v>
      </c>
      <c r="T12" s="47" t="e">
        <f t="shared" si="7"/>
        <v>#DIV/0!</v>
      </c>
      <c r="U12" s="48">
        <v>0</v>
      </c>
      <c r="V12" s="48">
        <v>0</v>
      </c>
      <c r="W12" s="48">
        <v>0</v>
      </c>
      <c r="X12" s="48">
        <f t="shared" si="8"/>
        <v>0</v>
      </c>
      <c r="Y12" s="48">
        <v>910</v>
      </c>
      <c r="Z12" s="33">
        <v>0</v>
      </c>
      <c r="AA12" s="48">
        <f t="shared" si="9"/>
        <v>910</v>
      </c>
      <c r="AB12" s="48">
        <f t="shared" si="10"/>
        <v>0</v>
      </c>
      <c r="AC12" s="48" t="e">
        <f t="shared" si="11"/>
        <v>#DIV/0!</v>
      </c>
      <c r="AD12" s="49">
        <v>0</v>
      </c>
      <c r="AE12" s="49">
        <v>0</v>
      </c>
      <c r="AF12" s="49">
        <v>0</v>
      </c>
      <c r="AG12" s="49">
        <f t="shared" si="12"/>
        <v>0</v>
      </c>
      <c r="AH12" s="49">
        <v>1200</v>
      </c>
      <c r="AI12" s="49">
        <v>0</v>
      </c>
      <c r="AJ12" s="49">
        <f t="shared" si="13"/>
        <v>1200</v>
      </c>
      <c r="AK12" s="49">
        <f t="shared" si="14"/>
        <v>0</v>
      </c>
      <c r="AL12" s="49" t="e">
        <f t="shared" si="15"/>
        <v>#DIV/0!</v>
      </c>
      <c r="AM12" s="50">
        <v>0</v>
      </c>
      <c r="AN12" s="50">
        <v>0</v>
      </c>
      <c r="AO12" s="50">
        <v>0</v>
      </c>
      <c r="AP12" s="50">
        <f t="shared" si="16"/>
        <v>0</v>
      </c>
      <c r="AQ12" s="50">
        <v>600</v>
      </c>
      <c r="AR12" s="50">
        <v>0</v>
      </c>
      <c r="AS12" s="50">
        <f t="shared" si="17"/>
        <v>600</v>
      </c>
      <c r="AT12" s="50">
        <f t="shared" si="18"/>
        <v>0</v>
      </c>
      <c r="AU12" s="50" t="e">
        <f t="shared" si="19"/>
        <v>#DIV/0!</v>
      </c>
      <c r="AV12" s="51">
        <v>0</v>
      </c>
      <c r="AW12" s="36">
        <v>0</v>
      </c>
      <c r="AX12" s="36">
        <v>0</v>
      </c>
      <c r="AY12" s="51">
        <f t="shared" si="20"/>
        <v>0</v>
      </c>
      <c r="AZ12" s="51">
        <v>1500</v>
      </c>
      <c r="BA12" s="51">
        <v>0</v>
      </c>
      <c r="BB12" s="51">
        <f t="shared" si="21"/>
        <v>1500</v>
      </c>
      <c r="BC12" s="51">
        <f t="shared" si="22"/>
        <v>0</v>
      </c>
      <c r="BD12" s="51" t="e">
        <f t="shared" si="23"/>
        <v>#DIV/0!</v>
      </c>
      <c r="BE12" s="52">
        <v>0</v>
      </c>
      <c r="BF12" s="37">
        <v>0</v>
      </c>
      <c r="BG12" s="37">
        <v>0</v>
      </c>
      <c r="BH12" s="37">
        <f t="shared" si="24"/>
        <v>0</v>
      </c>
      <c r="BI12" s="52">
        <v>750</v>
      </c>
      <c r="BJ12" s="37">
        <v>0</v>
      </c>
      <c r="BK12" s="52">
        <f t="shared" si="25"/>
        <v>750</v>
      </c>
      <c r="BL12" s="52">
        <f t="shared" si="26"/>
        <v>0</v>
      </c>
      <c r="BM12" s="52" t="e">
        <f t="shared" si="27"/>
        <v>#DIV/0!</v>
      </c>
      <c r="BN12" s="53">
        <v>0</v>
      </c>
      <c r="BO12" s="38">
        <v>0</v>
      </c>
      <c r="BP12" s="38">
        <v>0</v>
      </c>
      <c r="BQ12" s="53">
        <f t="shared" si="28"/>
        <v>0</v>
      </c>
      <c r="BR12" s="53">
        <v>2450</v>
      </c>
      <c r="BS12" s="38">
        <v>0</v>
      </c>
      <c r="BT12" s="53">
        <f t="shared" si="29"/>
        <v>2450</v>
      </c>
      <c r="BU12" s="53">
        <f t="shared" si="30"/>
        <v>0</v>
      </c>
      <c r="BV12" s="53" t="e">
        <f t="shared" si="31"/>
        <v>#DIV/0!</v>
      </c>
      <c r="BW12" s="54">
        <v>0</v>
      </c>
      <c r="BX12" s="39">
        <v>0</v>
      </c>
      <c r="BY12" s="39">
        <v>0</v>
      </c>
      <c r="BZ12" s="54">
        <f t="shared" si="32"/>
        <v>0</v>
      </c>
      <c r="CA12" s="54">
        <v>750</v>
      </c>
      <c r="CB12" s="54">
        <v>0</v>
      </c>
      <c r="CC12" s="54">
        <f t="shared" si="33"/>
        <v>750</v>
      </c>
      <c r="CD12" s="54">
        <f t="shared" si="34"/>
        <v>0</v>
      </c>
      <c r="CE12" s="54" t="e">
        <f t="shared" si="35"/>
        <v>#DIV/0!</v>
      </c>
      <c r="CF12" s="55">
        <v>0</v>
      </c>
      <c r="CG12" s="55">
        <v>0</v>
      </c>
      <c r="CH12" s="55">
        <v>0</v>
      </c>
      <c r="CI12" s="55">
        <f t="shared" si="36"/>
        <v>0</v>
      </c>
      <c r="CJ12" s="55">
        <v>730</v>
      </c>
      <c r="CK12" s="55">
        <v>0</v>
      </c>
      <c r="CL12" s="55">
        <f t="shared" si="37"/>
        <v>730</v>
      </c>
      <c r="CM12" s="55">
        <f t="shared" si="38"/>
        <v>0</v>
      </c>
      <c r="CN12" s="55" t="e">
        <f t="shared" si="39"/>
        <v>#DIV/0!</v>
      </c>
      <c r="CO12" s="56">
        <v>0</v>
      </c>
      <c r="CP12" s="56">
        <v>0</v>
      </c>
      <c r="CQ12" s="56">
        <v>0</v>
      </c>
      <c r="CR12" s="56">
        <f t="shared" si="40"/>
        <v>0</v>
      </c>
      <c r="CS12" s="56">
        <v>730</v>
      </c>
      <c r="CT12" s="56">
        <v>0</v>
      </c>
      <c r="CU12" s="56">
        <f t="shared" si="41"/>
        <v>730</v>
      </c>
      <c r="CV12" s="56">
        <f t="shared" si="42"/>
        <v>0</v>
      </c>
      <c r="CW12" s="56" t="e">
        <f t="shared" si="43"/>
        <v>#DIV/0!</v>
      </c>
      <c r="CX12" s="57">
        <v>0</v>
      </c>
      <c r="CY12" s="57">
        <v>0</v>
      </c>
      <c r="CZ12" s="57">
        <v>0</v>
      </c>
      <c r="DA12" s="57">
        <f t="shared" si="44"/>
        <v>0</v>
      </c>
      <c r="DB12" s="57">
        <v>600</v>
      </c>
      <c r="DC12" s="57">
        <v>0</v>
      </c>
      <c r="DD12" s="57">
        <f t="shared" si="45"/>
        <v>600</v>
      </c>
      <c r="DE12" s="57">
        <f t="shared" si="46"/>
        <v>0</v>
      </c>
      <c r="DF12" s="57" t="e">
        <f t="shared" si="47"/>
        <v>#DIV/0!</v>
      </c>
    </row>
    <row r="13" spans="1:110" ht="14.25" customHeight="1">
      <c r="A13" s="43"/>
      <c r="B13" s="44"/>
      <c r="C13" s="45">
        <v>0</v>
      </c>
      <c r="D13" s="30">
        <v>0</v>
      </c>
      <c r="E13" s="30">
        <v>0</v>
      </c>
      <c r="F13" s="45">
        <f t="shared" si="0"/>
        <v>0</v>
      </c>
      <c r="G13" s="45">
        <v>900</v>
      </c>
      <c r="H13" s="30">
        <v>0</v>
      </c>
      <c r="I13" s="45">
        <f t="shared" si="1"/>
        <v>900</v>
      </c>
      <c r="J13" s="45">
        <f t="shared" si="2"/>
        <v>0</v>
      </c>
      <c r="K13" s="46" t="e">
        <f t="shared" si="3"/>
        <v>#DIV/0!</v>
      </c>
      <c r="L13" s="47">
        <v>0</v>
      </c>
      <c r="M13" s="32">
        <v>0</v>
      </c>
      <c r="N13" s="32">
        <v>0</v>
      </c>
      <c r="O13" s="47">
        <f t="shared" si="4"/>
        <v>0</v>
      </c>
      <c r="P13" s="47">
        <v>1800</v>
      </c>
      <c r="Q13" s="47">
        <v>0</v>
      </c>
      <c r="R13" s="47">
        <f t="shared" si="5"/>
        <v>1800</v>
      </c>
      <c r="S13" s="47">
        <f t="shared" si="6"/>
        <v>0</v>
      </c>
      <c r="T13" s="47" t="e">
        <f t="shared" si="7"/>
        <v>#DIV/0!</v>
      </c>
      <c r="U13" s="48">
        <v>0</v>
      </c>
      <c r="V13" s="48">
        <v>0</v>
      </c>
      <c r="W13" s="48">
        <v>0</v>
      </c>
      <c r="X13" s="48">
        <f t="shared" si="8"/>
        <v>0</v>
      </c>
      <c r="Y13" s="48">
        <v>910</v>
      </c>
      <c r="Z13" s="33">
        <v>0</v>
      </c>
      <c r="AA13" s="48">
        <f t="shared" si="9"/>
        <v>910</v>
      </c>
      <c r="AB13" s="48">
        <f t="shared" si="10"/>
        <v>0</v>
      </c>
      <c r="AC13" s="48" t="e">
        <f t="shared" si="11"/>
        <v>#DIV/0!</v>
      </c>
      <c r="AD13" s="49">
        <v>0</v>
      </c>
      <c r="AE13" s="49">
        <v>0</v>
      </c>
      <c r="AF13" s="49">
        <v>0</v>
      </c>
      <c r="AG13" s="49">
        <f t="shared" si="12"/>
        <v>0</v>
      </c>
      <c r="AH13" s="49">
        <v>1200</v>
      </c>
      <c r="AI13" s="49">
        <v>0</v>
      </c>
      <c r="AJ13" s="49">
        <f t="shared" si="13"/>
        <v>1200</v>
      </c>
      <c r="AK13" s="49">
        <f t="shared" si="14"/>
        <v>0</v>
      </c>
      <c r="AL13" s="49" t="e">
        <f t="shared" si="15"/>
        <v>#DIV/0!</v>
      </c>
      <c r="AM13" s="50">
        <v>0</v>
      </c>
      <c r="AN13" s="50">
        <v>0</v>
      </c>
      <c r="AO13" s="50">
        <v>0</v>
      </c>
      <c r="AP13" s="50">
        <f t="shared" si="16"/>
        <v>0</v>
      </c>
      <c r="AQ13" s="50">
        <v>600</v>
      </c>
      <c r="AR13" s="50">
        <v>0</v>
      </c>
      <c r="AS13" s="50">
        <f t="shared" si="17"/>
        <v>600</v>
      </c>
      <c r="AT13" s="50">
        <f t="shared" si="18"/>
        <v>0</v>
      </c>
      <c r="AU13" s="50" t="e">
        <f t="shared" si="19"/>
        <v>#DIV/0!</v>
      </c>
      <c r="AV13" s="51">
        <v>0</v>
      </c>
      <c r="AW13" s="36">
        <v>0</v>
      </c>
      <c r="AX13" s="36">
        <v>0</v>
      </c>
      <c r="AY13" s="51">
        <f t="shared" si="20"/>
        <v>0</v>
      </c>
      <c r="AZ13" s="51">
        <v>1500</v>
      </c>
      <c r="BA13" s="51">
        <v>0</v>
      </c>
      <c r="BB13" s="51">
        <f t="shared" si="21"/>
        <v>1500</v>
      </c>
      <c r="BC13" s="51">
        <f t="shared" si="22"/>
        <v>0</v>
      </c>
      <c r="BD13" s="51" t="e">
        <f t="shared" si="23"/>
        <v>#DIV/0!</v>
      </c>
      <c r="BE13" s="52">
        <v>0</v>
      </c>
      <c r="BF13" s="37">
        <v>0</v>
      </c>
      <c r="BG13" s="37">
        <v>0</v>
      </c>
      <c r="BH13" s="37">
        <f t="shared" si="24"/>
        <v>0</v>
      </c>
      <c r="BI13" s="52">
        <v>750</v>
      </c>
      <c r="BJ13" s="37">
        <v>0</v>
      </c>
      <c r="BK13" s="52">
        <f t="shared" si="25"/>
        <v>750</v>
      </c>
      <c r="BL13" s="52">
        <f t="shared" si="26"/>
        <v>0</v>
      </c>
      <c r="BM13" s="52" t="e">
        <f t="shared" si="27"/>
        <v>#DIV/0!</v>
      </c>
      <c r="BN13" s="53">
        <v>0</v>
      </c>
      <c r="BO13" s="38">
        <v>0</v>
      </c>
      <c r="BP13" s="38">
        <v>0</v>
      </c>
      <c r="BQ13" s="53">
        <f t="shared" si="28"/>
        <v>0</v>
      </c>
      <c r="BR13" s="53">
        <v>2450</v>
      </c>
      <c r="BS13" s="38">
        <v>0</v>
      </c>
      <c r="BT13" s="53">
        <f t="shared" si="29"/>
        <v>2450</v>
      </c>
      <c r="BU13" s="53">
        <f t="shared" si="30"/>
        <v>0</v>
      </c>
      <c r="BV13" s="53" t="e">
        <f t="shared" si="31"/>
        <v>#DIV/0!</v>
      </c>
      <c r="BW13" s="54">
        <v>0</v>
      </c>
      <c r="BX13" s="39">
        <v>0</v>
      </c>
      <c r="BY13" s="39">
        <v>0</v>
      </c>
      <c r="BZ13" s="54">
        <f t="shared" si="32"/>
        <v>0</v>
      </c>
      <c r="CA13" s="54">
        <v>750</v>
      </c>
      <c r="CB13" s="54">
        <v>0</v>
      </c>
      <c r="CC13" s="54">
        <f t="shared" si="33"/>
        <v>750</v>
      </c>
      <c r="CD13" s="54">
        <f t="shared" si="34"/>
        <v>0</v>
      </c>
      <c r="CE13" s="54" t="e">
        <f t="shared" si="35"/>
        <v>#DIV/0!</v>
      </c>
      <c r="CF13" s="55">
        <v>0</v>
      </c>
      <c r="CG13" s="55">
        <v>0</v>
      </c>
      <c r="CH13" s="55">
        <v>0</v>
      </c>
      <c r="CI13" s="55">
        <f t="shared" si="36"/>
        <v>0</v>
      </c>
      <c r="CJ13" s="55">
        <v>730</v>
      </c>
      <c r="CK13" s="55">
        <v>0</v>
      </c>
      <c r="CL13" s="55">
        <f t="shared" si="37"/>
        <v>730</v>
      </c>
      <c r="CM13" s="55">
        <f t="shared" si="38"/>
        <v>0</v>
      </c>
      <c r="CN13" s="55" t="e">
        <f t="shared" si="39"/>
        <v>#DIV/0!</v>
      </c>
      <c r="CO13" s="56">
        <v>0</v>
      </c>
      <c r="CP13" s="56">
        <v>0</v>
      </c>
      <c r="CQ13" s="56">
        <v>0</v>
      </c>
      <c r="CR13" s="56">
        <f t="shared" si="40"/>
        <v>0</v>
      </c>
      <c r="CS13" s="56">
        <v>730</v>
      </c>
      <c r="CT13" s="56">
        <v>0</v>
      </c>
      <c r="CU13" s="56">
        <f t="shared" si="41"/>
        <v>730</v>
      </c>
      <c r="CV13" s="56">
        <f t="shared" si="42"/>
        <v>0</v>
      </c>
      <c r="CW13" s="56" t="e">
        <f t="shared" si="43"/>
        <v>#DIV/0!</v>
      </c>
      <c r="CX13" s="57">
        <v>0</v>
      </c>
      <c r="CY13" s="57">
        <v>0</v>
      </c>
      <c r="CZ13" s="57">
        <v>0</v>
      </c>
      <c r="DA13" s="57">
        <f t="shared" si="44"/>
        <v>0</v>
      </c>
      <c r="DB13" s="57">
        <v>600</v>
      </c>
      <c r="DC13" s="57">
        <v>0</v>
      </c>
      <c r="DD13" s="57">
        <f t="shared" si="45"/>
        <v>600</v>
      </c>
      <c r="DE13" s="57">
        <f t="shared" si="46"/>
        <v>0</v>
      </c>
      <c r="DF13" s="57" t="e">
        <f t="shared" si="47"/>
        <v>#DIV/0!</v>
      </c>
    </row>
    <row r="14" spans="1:110" ht="14.25" customHeight="1">
      <c r="A14" s="43"/>
      <c r="B14" s="44"/>
      <c r="C14" s="45">
        <v>0</v>
      </c>
      <c r="D14" s="30">
        <v>0</v>
      </c>
      <c r="E14" s="30">
        <v>0</v>
      </c>
      <c r="F14" s="45">
        <f t="shared" si="0"/>
        <v>0</v>
      </c>
      <c r="G14" s="45">
        <v>900</v>
      </c>
      <c r="H14" s="30">
        <v>0</v>
      </c>
      <c r="I14" s="45">
        <f t="shared" si="1"/>
        <v>900</v>
      </c>
      <c r="J14" s="45">
        <f t="shared" si="2"/>
        <v>0</v>
      </c>
      <c r="K14" s="46" t="e">
        <f t="shared" si="3"/>
        <v>#DIV/0!</v>
      </c>
      <c r="L14" s="47">
        <v>0</v>
      </c>
      <c r="M14" s="32">
        <v>0</v>
      </c>
      <c r="N14" s="32">
        <v>0</v>
      </c>
      <c r="O14" s="47">
        <f t="shared" si="4"/>
        <v>0</v>
      </c>
      <c r="P14" s="47">
        <v>1800</v>
      </c>
      <c r="Q14" s="47">
        <v>0</v>
      </c>
      <c r="R14" s="47">
        <f t="shared" si="5"/>
        <v>1800</v>
      </c>
      <c r="S14" s="47">
        <f t="shared" si="6"/>
        <v>0</v>
      </c>
      <c r="T14" s="47" t="e">
        <f t="shared" si="7"/>
        <v>#DIV/0!</v>
      </c>
      <c r="U14" s="48">
        <v>0</v>
      </c>
      <c r="V14" s="48">
        <v>0</v>
      </c>
      <c r="W14" s="48">
        <v>0</v>
      </c>
      <c r="X14" s="48">
        <f t="shared" si="8"/>
        <v>0</v>
      </c>
      <c r="Y14" s="48">
        <v>910</v>
      </c>
      <c r="Z14" s="33">
        <v>0</v>
      </c>
      <c r="AA14" s="48">
        <f t="shared" si="9"/>
        <v>910</v>
      </c>
      <c r="AB14" s="48">
        <f t="shared" si="10"/>
        <v>0</v>
      </c>
      <c r="AC14" s="48" t="e">
        <f t="shared" si="11"/>
        <v>#DIV/0!</v>
      </c>
      <c r="AD14" s="49">
        <v>0</v>
      </c>
      <c r="AE14" s="49">
        <v>0</v>
      </c>
      <c r="AF14" s="49">
        <v>0</v>
      </c>
      <c r="AG14" s="49">
        <f t="shared" si="12"/>
        <v>0</v>
      </c>
      <c r="AH14" s="49">
        <v>1200</v>
      </c>
      <c r="AI14" s="49">
        <v>0</v>
      </c>
      <c r="AJ14" s="49">
        <f t="shared" si="13"/>
        <v>1200</v>
      </c>
      <c r="AK14" s="49">
        <f t="shared" si="14"/>
        <v>0</v>
      </c>
      <c r="AL14" s="49" t="e">
        <f t="shared" si="15"/>
        <v>#DIV/0!</v>
      </c>
      <c r="AM14" s="50">
        <v>0</v>
      </c>
      <c r="AN14" s="50">
        <v>0</v>
      </c>
      <c r="AO14" s="50">
        <v>0</v>
      </c>
      <c r="AP14" s="50">
        <f t="shared" si="16"/>
        <v>0</v>
      </c>
      <c r="AQ14" s="50">
        <v>600</v>
      </c>
      <c r="AR14" s="50">
        <v>0</v>
      </c>
      <c r="AS14" s="50">
        <f t="shared" si="17"/>
        <v>600</v>
      </c>
      <c r="AT14" s="50">
        <f t="shared" si="18"/>
        <v>0</v>
      </c>
      <c r="AU14" s="50" t="e">
        <f t="shared" si="19"/>
        <v>#DIV/0!</v>
      </c>
      <c r="AV14" s="51">
        <v>0</v>
      </c>
      <c r="AW14" s="36">
        <v>0</v>
      </c>
      <c r="AX14" s="36">
        <v>0</v>
      </c>
      <c r="AY14" s="51">
        <f t="shared" si="20"/>
        <v>0</v>
      </c>
      <c r="AZ14" s="51">
        <v>1500</v>
      </c>
      <c r="BA14" s="51">
        <v>0</v>
      </c>
      <c r="BB14" s="51">
        <f t="shared" si="21"/>
        <v>1500</v>
      </c>
      <c r="BC14" s="51">
        <f t="shared" si="22"/>
        <v>0</v>
      </c>
      <c r="BD14" s="51" t="e">
        <f t="shared" si="23"/>
        <v>#DIV/0!</v>
      </c>
      <c r="BE14" s="52">
        <v>0</v>
      </c>
      <c r="BF14" s="37">
        <v>0</v>
      </c>
      <c r="BG14" s="37">
        <v>0</v>
      </c>
      <c r="BH14" s="37">
        <f t="shared" si="24"/>
        <v>0</v>
      </c>
      <c r="BI14" s="52">
        <v>750</v>
      </c>
      <c r="BJ14" s="37">
        <v>0</v>
      </c>
      <c r="BK14" s="52">
        <f t="shared" si="25"/>
        <v>750</v>
      </c>
      <c r="BL14" s="52">
        <f t="shared" si="26"/>
        <v>0</v>
      </c>
      <c r="BM14" s="52" t="e">
        <f t="shared" si="27"/>
        <v>#DIV/0!</v>
      </c>
      <c r="BN14" s="53">
        <v>0</v>
      </c>
      <c r="BO14" s="38">
        <v>0</v>
      </c>
      <c r="BP14" s="38">
        <v>0</v>
      </c>
      <c r="BQ14" s="53">
        <f t="shared" si="28"/>
        <v>0</v>
      </c>
      <c r="BR14" s="53">
        <v>2450</v>
      </c>
      <c r="BS14" s="38">
        <v>0</v>
      </c>
      <c r="BT14" s="53">
        <f t="shared" si="29"/>
        <v>2450</v>
      </c>
      <c r="BU14" s="53">
        <f t="shared" si="30"/>
        <v>0</v>
      </c>
      <c r="BV14" s="53" t="e">
        <f t="shared" si="31"/>
        <v>#DIV/0!</v>
      </c>
      <c r="BW14" s="54">
        <v>0</v>
      </c>
      <c r="BX14" s="39">
        <v>0</v>
      </c>
      <c r="BY14" s="39">
        <v>0</v>
      </c>
      <c r="BZ14" s="54">
        <f t="shared" si="32"/>
        <v>0</v>
      </c>
      <c r="CA14" s="54">
        <v>750</v>
      </c>
      <c r="CB14" s="54">
        <v>0</v>
      </c>
      <c r="CC14" s="54">
        <f t="shared" si="33"/>
        <v>750</v>
      </c>
      <c r="CD14" s="54">
        <f t="shared" si="34"/>
        <v>0</v>
      </c>
      <c r="CE14" s="54" t="e">
        <f t="shared" si="35"/>
        <v>#DIV/0!</v>
      </c>
      <c r="CF14" s="55">
        <v>0</v>
      </c>
      <c r="CG14" s="55">
        <v>0</v>
      </c>
      <c r="CH14" s="55">
        <v>0</v>
      </c>
      <c r="CI14" s="55">
        <f t="shared" si="36"/>
        <v>0</v>
      </c>
      <c r="CJ14" s="55">
        <v>730</v>
      </c>
      <c r="CK14" s="55">
        <v>0</v>
      </c>
      <c r="CL14" s="55">
        <f t="shared" si="37"/>
        <v>730</v>
      </c>
      <c r="CM14" s="55">
        <f t="shared" si="38"/>
        <v>0</v>
      </c>
      <c r="CN14" s="55" t="e">
        <f t="shared" si="39"/>
        <v>#DIV/0!</v>
      </c>
      <c r="CO14" s="56">
        <v>0</v>
      </c>
      <c r="CP14" s="56">
        <v>0</v>
      </c>
      <c r="CQ14" s="56">
        <v>0</v>
      </c>
      <c r="CR14" s="56">
        <f t="shared" si="40"/>
        <v>0</v>
      </c>
      <c r="CS14" s="56">
        <v>730</v>
      </c>
      <c r="CT14" s="56">
        <v>0</v>
      </c>
      <c r="CU14" s="56">
        <f t="shared" si="41"/>
        <v>730</v>
      </c>
      <c r="CV14" s="56">
        <f t="shared" si="42"/>
        <v>0</v>
      </c>
      <c r="CW14" s="56" t="e">
        <f t="shared" si="43"/>
        <v>#DIV/0!</v>
      </c>
      <c r="CX14" s="57">
        <v>0</v>
      </c>
      <c r="CY14" s="57">
        <v>0</v>
      </c>
      <c r="CZ14" s="57">
        <v>0</v>
      </c>
      <c r="DA14" s="57">
        <f t="shared" si="44"/>
        <v>0</v>
      </c>
      <c r="DB14" s="57">
        <v>600</v>
      </c>
      <c r="DC14" s="57">
        <v>0</v>
      </c>
      <c r="DD14" s="57">
        <f t="shared" si="45"/>
        <v>600</v>
      </c>
      <c r="DE14" s="57">
        <f t="shared" si="46"/>
        <v>0</v>
      </c>
      <c r="DF14" s="57" t="e">
        <f t="shared" si="47"/>
        <v>#DIV/0!</v>
      </c>
    </row>
    <row r="15" spans="1:110" ht="14.25" customHeight="1">
      <c r="A15" s="43"/>
      <c r="B15" s="44"/>
      <c r="C15" s="45">
        <v>0</v>
      </c>
      <c r="D15" s="30">
        <v>0</v>
      </c>
      <c r="E15" s="30">
        <v>0</v>
      </c>
      <c r="F15" s="45">
        <f t="shared" si="0"/>
        <v>0</v>
      </c>
      <c r="G15" s="45">
        <v>900</v>
      </c>
      <c r="H15" s="30">
        <v>0</v>
      </c>
      <c r="I15" s="45">
        <f t="shared" si="1"/>
        <v>900</v>
      </c>
      <c r="J15" s="45">
        <f t="shared" si="2"/>
        <v>0</v>
      </c>
      <c r="K15" s="46" t="e">
        <f t="shared" si="3"/>
        <v>#DIV/0!</v>
      </c>
      <c r="L15" s="47">
        <v>0</v>
      </c>
      <c r="M15" s="32">
        <v>0</v>
      </c>
      <c r="N15" s="32">
        <v>0</v>
      </c>
      <c r="O15" s="47">
        <f t="shared" si="4"/>
        <v>0</v>
      </c>
      <c r="P15" s="47">
        <v>1800</v>
      </c>
      <c r="Q15" s="47">
        <v>0</v>
      </c>
      <c r="R15" s="47">
        <f t="shared" si="5"/>
        <v>1800</v>
      </c>
      <c r="S15" s="47">
        <f t="shared" si="6"/>
        <v>0</v>
      </c>
      <c r="T15" s="47" t="e">
        <f t="shared" si="7"/>
        <v>#DIV/0!</v>
      </c>
      <c r="U15" s="48">
        <v>0</v>
      </c>
      <c r="V15" s="48">
        <v>0</v>
      </c>
      <c r="W15" s="48">
        <v>0</v>
      </c>
      <c r="X15" s="48">
        <f t="shared" si="8"/>
        <v>0</v>
      </c>
      <c r="Y15" s="48">
        <v>910</v>
      </c>
      <c r="Z15" s="33">
        <v>0</v>
      </c>
      <c r="AA15" s="48">
        <f t="shared" si="9"/>
        <v>910</v>
      </c>
      <c r="AB15" s="48">
        <f t="shared" si="10"/>
        <v>0</v>
      </c>
      <c r="AC15" s="48" t="e">
        <f t="shared" si="11"/>
        <v>#DIV/0!</v>
      </c>
      <c r="AD15" s="49">
        <v>0</v>
      </c>
      <c r="AE15" s="49">
        <v>0</v>
      </c>
      <c r="AF15" s="49">
        <v>0</v>
      </c>
      <c r="AG15" s="49">
        <f t="shared" si="12"/>
        <v>0</v>
      </c>
      <c r="AH15" s="49">
        <v>1200</v>
      </c>
      <c r="AI15" s="49">
        <v>0</v>
      </c>
      <c r="AJ15" s="49">
        <f t="shared" si="13"/>
        <v>1200</v>
      </c>
      <c r="AK15" s="49">
        <f t="shared" si="14"/>
        <v>0</v>
      </c>
      <c r="AL15" s="49" t="e">
        <f t="shared" si="15"/>
        <v>#DIV/0!</v>
      </c>
      <c r="AM15" s="50">
        <v>0</v>
      </c>
      <c r="AN15" s="50">
        <v>0</v>
      </c>
      <c r="AO15" s="50">
        <v>0</v>
      </c>
      <c r="AP15" s="50">
        <f t="shared" si="16"/>
        <v>0</v>
      </c>
      <c r="AQ15" s="50">
        <v>600</v>
      </c>
      <c r="AR15" s="50">
        <v>0</v>
      </c>
      <c r="AS15" s="50">
        <f t="shared" si="17"/>
        <v>600</v>
      </c>
      <c r="AT15" s="50">
        <f t="shared" si="18"/>
        <v>0</v>
      </c>
      <c r="AU15" s="50" t="e">
        <f t="shared" si="19"/>
        <v>#DIV/0!</v>
      </c>
      <c r="AV15" s="51">
        <v>0</v>
      </c>
      <c r="AW15" s="36">
        <v>0</v>
      </c>
      <c r="AX15" s="36">
        <v>0</v>
      </c>
      <c r="AY15" s="51">
        <f t="shared" si="20"/>
        <v>0</v>
      </c>
      <c r="AZ15" s="51">
        <v>1500</v>
      </c>
      <c r="BA15" s="51">
        <v>0</v>
      </c>
      <c r="BB15" s="51">
        <f t="shared" si="21"/>
        <v>1500</v>
      </c>
      <c r="BC15" s="51">
        <f t="shared" si="22"/>
        <v>0</v>
      </c>
      <c r="BD15" s="51" t="e">
        <f t="shared" si="23"/>
        <v>#DIV/0!</v>
      </c>
      <c r="BE15" s="52">
        <v>0</v>
      </c>
      <c r="BF15" s="37">
        <v>0</v>
      </c>
      <c r="BG15" s="37">
        <v>0</v>
      </c>
      <c r="BH15" s="37">
        <f t="shared" si="24"/>
        <v>0</v>
      </c>
      <c r="BI15" s="52">
        <v>750</v>
      </c>
      <c r="BJ15" s="37">
        <v>0</v>
      </c>
      <c r="BK15" s="52">
        <f t="shared" si="25"/>
        <v>750</v>
      </c>
      <c r="BL15" s="52">
        <f t="shared" si="26"/>
        <v>0</v>
      </c>
      <c r="BM15" s="52" t="e">
        <f t="shared" si="27"/>
        <v>#DIV/0!</v>
      </c>
      <c r="BN15" s="53">
        <v>0</v>
      </c>
      <c r="BO15" s="38">
        <v>0</v>
      </c>
      <c r="BP15" s="38">
        <v>0</v>
      </c>
      <c r="BQ15" s="53">
        <f t="shared" si="28"/>
        <v>0</v>
      </c>
      <c r="BR15" s="53">
        <v>2450</v>
      </c>
      <c r="BS15" s="38">
        <v>0</v>
      </c>
      <c r="BT15" s="53">
        <f t="shared" si="29"/>
        <v>2450</v>
      </c>
      <c r="BU15" s="53">
        <f t="shared" si="30"/>
        <v>0</v>
      </c>
      <c r="BV15" s="53" t="e">
        <f t="shared" si="31"/>
        <v>#DIV/0!</v>
      </c>
      <c r="BW15" s="54">
        <v>0</v>
      </c>
      <c r="BX15" s="39">
        <v>0</v>
      </c>
      <c r="BY15" s="39">
        <v>0</v>
      </c>
      <c r="BZ15" s="54">
        <f t="shared" si="32"/>
        <v>0</v>
      </c>
      <c r="CA15" s="54">
        <v>750</v>
      </c>
      <c r="CB15" s="54">
        <v>0</v>
      </c>
      <c r="CC15" s="54">
        <f t="shared" si="33"/>
        <v>750</v>
      </c>
      <c r="CD15" s="54">
        <f t="shared" si="34"/>
        <v>0</v>
      </c>
      <c r="CE15" s="54" t="e">
        <f t="shared" si="35"/>
        <v>#DIV/0!</v>
      </c>
      <c r="CF15" s="55">
        <v>0</v>
      </c>
      <c r="CG15" s="55">
        <v>0</v>
      </c>
      <c r="CH15" s="55">
        <v>0</v>
      </c>
      <c r="CI15" s="55">
        <f t="shared" si="36"/>
        <v>0</v>
      </c>
      <c r="CJ15" s="55">
        <v>730</v>
      </c>
      <c r="CK15" s="55">
        <v>0</v>
      </c>
      <c r="CL15" s="55">
        <f t="shared" si="37"/>
        <v>730</v>
      </c>
      <c r="CM15" s="55">
        <f t="shared" si="38"/>
        <v>0</v>
      </c>
      <c r="CN15" s="55" t="e">
        <f t="shared" si="39"/>
        <v>#DIV/0!</v>
      </c>
      <c r="CO15" s="56">
        <v>0</v>
      </c>
      <c r="CP15" s="56">
        <v>0</v>
      </c>
      <c r="CQ15" s="56">
        <v>0</v>
      </c>
      <c r="CR15" s="56">
        <f t="shared" si="40"/>
        <v>0</v>
      </c>
      <c r="CS15" s="56">
        <v>730</v>
      </c>
      <c r="CT15" s="56">
        <v>0</v>
      </c>
      <c r="CU15" s="56">
        <f t="shared" si="41"/>
        <v>730</v>
      </c>
      <c r="CV15" s="56">
        <f t="shared" si="42"/>
        <v>0</v>
      </c>
      <c r="CW15" s="56" t="e">
        <f t="shared" si="43"/>
        <v>#DIV/0!</v>
      </c>
      <c r="CX15" s="57">
        <v>0</v>
      </c>
      <c r="CY15" s="57">
        <v>0</v>
      </c>
      <c r="CZ15" s="57">
        <v>0</v>
      </c>
      <c r="DA15" s="57">
        <f t="shared" si="44"/>
        <v>0</v>
      </c>
      <c r="DB15" s="57">
        <v>600</v>
      </c>
      <c r="DC15" s="57">
        <v>0</v>
      </c>
      <c r="DD15" s="57">
        <f t="shared" si="45"/>
        <v>600</v>
      </c>
      <c r="DE15" s="57">
        <f t="shared" si="46"/>
        <v>0</v>
      </c>
      <c r="DF15" s="57" t="e">
        <f t="shared" si="47"/>
        <v>#DIV/0!</v>
      </c>
    </row>
    <row r="16" spans="1:110" ht="14.25" customHeight="1">
      <c r="A16" s="43"/>
      <c r="B16" s="44"/>
      <c r="C16" s="45">
        <v>0</v>
      </c>
      <c r="D16" s="30">
        <v>0</v>
      </c>
      <c r="E16" s="30">
        <v>0</v>
      </c>
      <c r="F16" s="45">
        <f t="shared" si="0"/>
        <v>0</v>
      </c>
      <c r="G16" s="45">
        <v>900</v>
      </c>
      <c r="H16" s="30">
        <v>0</v>
      </c>
      <c r="I16" s="45">
        <f t="shared" si="1"/>
        <v>900</v>
      </c>
      <c r="J16" s="45">
        <f t="shared" si="2"/>
        <v>0</v>
      </c>
      <c r="K16" s="46" t="e">
        <f t="shared" si="3"/>
        <v>#DIV/0!</v>
      </c>
      <c r="L16" s="47">
        <v>0</v>
      </c>
      <c r="M16" s="32">
        <v>0</v>
      </c>
      <c r="N16" s="32">
        <v>0</v>
      </c>
      <c r="O16" s="47">
        <f t="shared" si="4"/>
        <v>0</v>
      </c>
      <c r="P16" s="47">
        <v>1800</v>
      </c>
      <c r="Q16" s="47">
        <v>0</v>
      </c>
      <c r="R16" s="47">
        <f t="shared" si="5"/>
        <v>1800</v>
      </c>
      <c r="S16" s="47">
        <f t="shared" si="6"/>
        <v>0</v>
      </c>
      <c r="T16" s="47" t="e">
        <f t="shared" si="7"/>
        <v>#DIV/0!</v>
      </c>
      <c r="U16" s="48">
        <v>0</v>
      </c>
      <c r="V16" s="48">
        <v>0</v>
      </c>
      <c r="W16" s="48">
        <v>0</v>
      </c>
      <c r="X16" s="48">
        <f t="shared" si="8"/>
        <v>0</v>
      </c>
      <c r="Y16" s="48">
        <v>910</v>
      </c>
      <c r="Z16" s="33">
        <v>0</v>
      </c>
      <c r="AA16" s="48">
        <f t="shared" si="9"/>
        <v>910</v>
      </c>
      <c r="AB16" s="48">
        <f t="shared" si="10"/>
        <v>0</v>
      </c>
      <c r="AC16" s="48" t="e">
        <f t="shared" si="11"/>
        <v>#DIV/0!</v>
      </c>
      <c r="AD16" s="49">
        <v>0</v>
      </c>
      <c r="AE16" s="49">
        <v>0</v>
      </c>
      <c r="AF16" s="49">
        <v>0</v>
      </c>
      <c r="AG16" s="49">
        <f t="shared" si="12"/>
        <v>0</v>
      </c>
      <c r="AH16" s="49">
        <v>1200</v>
      </c>
      <c r="AI16" s="49">
        <v>0</v>
      </c>
      <c r="AJ16" s="49">
        <f t="shared" si="13"/>
        <v>1200</v>
      </c>
      <c r="AK16" s="49">
        <f t="shared" si="14"/>
        <v>0</v>
      </c>
      <c r="AL16" s="49" t="e">
        <f t="shared" si="15"/>
        <v>#DIV/0!</v>
      </c>
      <c r="AM16" s="50">
        <v>0</v>
      </c>
      <c r="AN16" s="50">
        <v>0</v>
      </c>
      <c r="AO16" s="50">
        <v>0</v>
      </c>
      <c r="AP16" s="50">
        <f t="shared" si="16"/>
        <v>0</v>
      </c>
      <c r="AQ16" s="50">
        <v>600</v>
      </c>
      <c r="AR16" s="50">
        <v>0</v>
      </c>
      <c r="AS16" s="50">
        <f t="shared" si="17"/>
        <v>600</v>
      </c>
      <c r="AT16" s="50">
        <f t="shared" si="18"/>
        <v>0</v>
      </c>
      <c r="AU16" s="50" t="e">
        <f t="shared" si="19"/>
        <v>#DIV/0!</v>
      </c>
      <c r="AV16" s="51">
        <v>0</v>
      </c>
      <c r="AW16" s="36">
        <v>0</v>
      </c>
      <c r="AX16" s="36">
        <v>0</v>
      </c>
      <c r="AY16" s="51">
        <f t="shared" si="20"/>
        <v>0</v>
      </c>
      <c r="AZ16" s="51">
        <v>1500</v>
      </c>
      <c r="BA16" s="51">
        <v>0</v>
      </c>
      <c r="BB16" s="51">
        <f t="shared" si="21"/>
        <v>1500</v>
      </c>
      <c r="BC16" s="51">
        <f t="shared" si="22"/>
        <v>0</v>
      </c>
      <c r="BD16" s="51" t="e">
        <f t="shared" si="23"/>
        <v>#DIV/0!</v>
      </c>
      <c r="BE16" s="52">
        <v>0</v>
      </c>
      <c r="BF16" s="37">
        <v>0</v>
      </c>
      <c r="BG16" s="37">
        <v>0</v>
      </c>
      <c r="BH16" s="37">
        <f t="shared" si="24"/>
        <v>0</v>
      </c>
      <c r="BI16" s="52">
        <v>750</v>
      </c>
      <c r="BJ16" s="37">
        <v>0</v>
      </c>
      <c r="BK16" s="52">
        <f t="shared" si="25"/>
        <v>750</v>
      </c>
      <c r="BL16" s="52">
        <f t="shared" si="26"/>
        <v>0</v>
      </c>
      <c r="BM16" s="52" t="e">
        <f t="shared" si="27"/>
        <v>#DIV/0!</v>
      </c>
      <c r="BN16" s="53">
        <v>0</v>
      </c>
      <c r="BO16" s="38">
        <v>0</v>
      </c>
      <c r="BP16" s="38">
        <v>0</v>
      </c>
      <c r="BQ16" s="53">
        <f t="shared" si="28"/>
        <v>0</v>
      </c>
      <c r="BR16" s="53">
        <v>2450</v>
      </c>
      <c r="BS16" s="38">
        <v>0</v>
      </c>
      <c r="BT16" s="53">
        <f t="shared" si="29"/>
        <v>2450</v>
      </c>
      <c r="BU16" s="53">
        <f t="shared" si="30"/>
        <v>0</v>
      </c>
      <c r="BV16" s="53" t="e">
        <f t="shared" si="31"/>
        <v>#DIV/0!</v>
      </c>
      <c r="BW16" s="54">
        <v>0</v>
      </c>
      <c r="BX16" s="39">
        <v>0</v>
      </c>
      <c r="BY16" s="39">
        <v>0</v>
      </c>
      <c r="BZ16" s="54">
        <f t="shared" si="32"/>
        <v>0</v>
      </c>
      <c r="CA16" s="54">
        <v>750</v>
      </c>
      <c r="CB16" s="54">
        <v>0</v>
      </c>
      <c r="CC16" s="54">
        <f t="shared" si="33"/>
        <v>750</v>
      </c>
      <c r="CD16" s="54">
        <f t="shared" si="34"/>
        <v>0</v>
      </c>
      <c r="CE16" s="54" t="e">
        <f t="shared" si="35"/>
        <v>#DIV/0!</v>
      </c>
      <c r="CF16" s="55">
        <v>0</v>
      </c>
      <c r="CG16" s="55">
        <v>0</v>
      </c>
      <c r="CH16" s="55">
        <v>0</v>
      </c>
      <c r="CI16" s="55">
        <f t="shared" si="36"/>
        <v>0</v>
      </c>
      <c r="CJ16" s="55">
        <v>730</v>
      </c>
      <c r="CK16" s="55">
        <v>0</v>
      </c>
      <c r="CL16" s="55">
        <f t="shared" si="37"/>
        <v>730</v>
      </c>
      <c r="CM16" s="55">
        <f t="shared" si="38"/>
        <v>0</v>
      </c>
      <c r="CN16" s="55" t="e">
        <f t="shared" si="39"/>
        <v>#DIV/0!</v>
      </c>
      <c r="CO16" s="56">
        <v>0</v>
      </c>
      <c r="CP16" s="56">
        <v>0</v>
      </c>
      <c r="CQ16" s="56">
        <v>0</v>
      </c>
      <c r="CR16" s="56">
        <f t="shared" si="40"/>
        <v>0</v>
      </c>
      <c r="CS16" s="56">
        <v>730</v>
      </c>
      <c r="CT16" s="56">
        <v>0</v>
      </c>
      <c r="CU16" s="56">
        <f t="shared" si="41"/>
        <v>730</v>
      </c>
      <c r="CV16" s="56">
        <f t="shared" si="42"/>
        <v>0</v>
      </c>
      <c r="CW16" s="56" t="e">
        <f t="shared" si="43"/>
        <v>#DIV/0!</v>
      </c>
      <c r="CX16" s="57">
        <v>0</v>
      </c>
      <c r="CY16" s="57">
        <v>0</v>
      </c>
      <c r="CZ16" s="57">
        <v>0</v>
      </c>
      <c r="DA16" s="57">
        <f t="shared" si="44"/>
        <v>0</v>
      </c>
      <c r="DB16" s="57">
        <v>600</v>
      </c>
      <c r="DC16" s="57">
        <v>0</v>
      </c>
      <c r="DD16" s="57">
        <f t="shared" si="45"/>
        <v>600</v>
      </c>
      <c r="DE16" s="57">
        <f t="shared" si="46"/>
        <v>0</v>
      </c>
      <c r="DF16" s="57" t="e">
        <f t="shared" si="47"/>
        <v>#DIV/0!</v>
      </c>
    </row>
    <row r="17" spans="1:110" ht="14.25" customHeight="1">
      <c r="A17" s="43"/>
      <c r="B17" s="44"/>
      <c r="C17" s="45">
        <v>0</v>
      </c>
      <c r="D17" s="30">
        <v>0</v>
      </c>
      <c r="E17" s="30">
        <v>0</v>
      </c>
      <c r="F17" s="45">
        <f t="shared" si="0"/>
        <v>0</v>
      </c>
      <c r="G17" s="45">
        <v>900</v>
      </c>
      <c r="H17" s="30">
        <v>0</v>
      </c>
      <c r="I17" s="45">
        <f t="shared" si="1"/>
        <v>900</v>
      </c>
      <c r="J17" s="45">
        <f t="shared" si="2"/>
        <v>0</v>
      </c>
      <c r="K17" s="46" t="e">
        <f t="shared" si="3"/>
        <v>#DIV/0!</v>
      </c>
      <c r="L17" s="47">
        <v>0</v>
      </c>
      <c r="M17" s="32">
        <v>0</v>
      </c>
      <c r="N17" s="32">
        <v>0</v>
      </c>
      <c r="O17" s="47">
        <f t="shared" si="4"/>
        <v>0</v>
      </c>
      <c r="P17" s="47">
        <v>1800</v>
      </c>
      <c r="Q17" s="47">
        <v>0</v>
      </c>
      <c r="R17" s="47">
        <f t="shared" si="5"/>
        <v>1800</v>
      </c>
      <c r="S17" s="47">
        <f t="shared" si="6"/>
        <v>0</v>
      </c>
      <c r="T17" s="47" t="e">
        <f t="shared" si="7"/>
        <v>#DIV/0!</v>
      </c>
      <c r="U17" s="48">
        <v>0</v>
      </c>
      <c r="V17" s="48">
        <v>0</v>
      </c>
      <c r="W17" s="48">
        <v>0</v>
      </c>
      <c r="X17" s="48">
        <f t="shared" si="8"/>
        <v>0</v>
      </c>
      <c r="Y17" s="48">
        <v>910</v>
      </c>
      <c r="Z17" s="33">
        <v>0</v>
      </c>
      <c r="AA17" s="48">
        <f t="shared" si="9"/>
        <v>910</v>
      </c>
      <c r="AB17" s="48">
        <f t="shared" si="10"/>
        <v>0</v>
      </c>
      <c r="AC17" s="48" t="e">
        <f t="shared" si="11"/>
        <v>#DIV/0!</v>
      </c>
      <c r="AD17" s="49">
        <v>0</v>
      </c>
      <c r="AE17" s="49">
        <v>0</v>
      </c>
      <c r="AF17" s="49">
        <v>0</v>
      </c>
      <c r="AG17" s="49">
        <f t="shared" si="12"/>
        <v>0</v>
      </c>
      <c r="AH17" s="49">
        <v>1200</v>
      </c>
      <c r="AI17" s="49">
        <v>0</v>
      </c>
      <c r="AJ17" s="49">
        <f t="shared" si="13"/>
        <v>1200</v>
      </c>
      <c r="AK17" s="49">
        <f t="shared" si="14"/>
        <v>0</v>
      </c>
      <c r="AL17" s="49" t="e">
        <f t="shared" si="15"/>
        <v>#DIV/0!</v>
      </c>
      <c r="AM17" s="50">
        <v>0</v>
      </c>
      <c r="AN17" s="50">
        <v>0</v>
      </c>
      <c r="AO17" s="50">
        <v>0</v>
      </c>
      <c r="AP17" s="50">
        <f t="shared" si="16"/>
        <v>0</v>
      </c>
      <c r="AQ17" s="50">
        <v>600</v>
      </c>
      <c r="AR17" s="50">
        <v>0</v>
      </c>
      <c r="AS17" s="50">
        <f t="shared" si="17"/>
        <v>600</v>
      </c>
      <c r="AT17" s="50">
        <f t="shared" si="18"/>
        <v>0</v>
      </c>
      <c r="AU17" s="50" t="e">
        <f t="shared" si="19"/>
        <v>#DIV/0!</v>
      </c>
      <c r="AV17" s="51">
        <v>0</v>
      </c>
      <c r="AW17" s="36">
        <v>0</v>
      </c>
      <c r="AX17" s="36">
        <v>0</v>
      </c>
      <c r="AY17" s="51">
        <f t="shared" si="20"/>
        <v>0</v>
      </c>
      <c r="AZ17" s="51">
        <v>1500</v>
      </c>
      <c r="BA17" s="51">
        <v>0</v>
      </c>
      <c r="BB17" s="51">
        <f t="shared" si="21"/>
        <v>1500</v>
      </c>
      <c r="BC17" s="51">
        <f t="shared" si="22"/>
        <v>0</v>
      </c>
      <c r="BD17" s="51" t="e">
        <f t="shared" si="23"/>
        <v>#DIV/0!</v>
      </c>
      <c r="BE17" s="52">
        <v>0</v>
      </c>
      <c r="BF17" s="37">
        <v>0</v>
      </c>
      <c r="BG17" s="37">
        <v>0</v>
      </c>
      <c r="BH17" s="37">
        <f t="shared" si="24"/>
        <v>0</v>
      </c>
      <c r="BI17" s="52">
        <v>750</v>
      </c>
      <c r="BJ17" s="37">
        <v>0</v>
      </c>
      <c r="BK17" s="52">
        <f t="shared" si="25"/>
        <v>750</v>
      </c>
      <c r="BL17" s="52">
        <f t="shared" si="26"/>
        <v>0</v>
      </c>
      <c r="BM17" s="52" t="e">
        <f t="shared" si="27"/>
        <v>#DIV/0!</v>
      </c>
      <c r="BN17" s="53">
        <v>0</v>
      </c>
      <c r="BO17" s="38">
        <v>0</v>
      </c>
      <c r="BP17" s="38">
        <v>0</v>
      </c>
      <c r="BQ17" s="53">
        <f t="shared" si="28"/>
        <v>0</v>
      </c>
      <c r="BR17" s="53">
        <v>2450</v>
      </c>
      <c r="BS17" s="38">
        <v>0</v>
      </c>
      <c r="BT17" s="53">
        <f t="shared" si="29"/>
        <v>2450</v>
      </c>
      <c r="BU17" s="53">
        <f t="shared" si="30"/>
        <v>0</v>
      </c>
      <c r="BV17" s="53" t="e">
        <f t="shared" si="31"/>
        <v>#DIV/0!</v>
      </c>
      <c r="BW17" s="54">
        <v>0</v>
      </c>
      <c r="BX17" s="39">
        <v>0</v>
      </c>
      <c r="BY17" s="39">
        <v>0</v>
      </c>
      <c r="BZ17" s="54">
        <f t="shared" si="32"/>
        <v>0</v>
      </c>
      <c r="CA17" s="54">
        <v>750</v>
      </c>
      <c r="CB17" s="54">
        <v>0</v>
      </c>
      <c r="CC17" s="54">
        <f t="shared" si="33"/>
        <v>750</v>
      </c>
      <c r="CD17" s="54">
        <f t="shared" si="34"/>
        <v>0</v>
      </c>
      <c r="CE17" s="54" t="e">
        <f t="shared" si="35"/>
        <v>#DIV/0!</v>
      </c>
      <c r="CF17" s="55">
        <v>0</v>
      </c>
      <c r="CG17" s="55">
        <v>0</v>
      </c>
      <c r="CH17" s="55">
        <v>0</v>
      </c>
      <c r="CI17" s="55">
        <f t="shared" si="36"/>
        <v>0</v>
      </c>
      <c r="CJ17" s="55">
        <v>730</v>
      </c>
      <c r="CK17" s="55">
        <v>0</v>
      </c>
      <c r="CL17" s="55">
        <f t="shared" si="37"/>
        <v>730</v>
      </c>
      <c r="CM17" s="55">
        <f t="shared" si="38"/>
        <v>0</v>
      </c>
      <c r="CN17" s="55" t="e">
        <f t="shared" si="39"/>
        <v>#DIV/0!</v>
      </c>
      <c r="CO17" s="56">
        <v>0</v>
      </c>
      <c r="CP17" s="56">
        <v>0</v>
      </c>
      <c r="CQ17" s="56">
        <v>0</v>
      </c>
      <c r="CR17" s="56">
        <f t="shared" si="40"/>
        <v>0</v>
      </c>
      <c r="CS17" s="56">
        <v>730</v>
      </c>
      <c r="CT17" s="56">
        <v>0</v>
      </c>
      <c r="CU17" s="56">
        <f t="shared" si="41"/>
        <v>730</v>
      </c>
      <c r="CV17" s="56">
        <f t="shared" si="42"/>
        <v>0</v>
      </c>
      <c r="CW17" s="56" t="e">
        <f t="shared" si="43"/>
        <v>#DIV/0!</v>
      </c>
      <c r="CX17" s="57">
        <v>0</v>
      </c>
      <c r="CY17" s="57">
        <v>0</v>
      </c>
      <c r="CZ17" s="57">
        <v>0</v>
      </c>
      <c r="DA17" s="57">
        <f t="shared" si="44"/>
        <v>0</v>
      </c>
      <c r="DB17" s="57">
        <v>600</v>
      </c>
      <c r="DC17" s="57">
        <v>0</v>
      </c>
      <c r="DD17" s="57">
        <f t="shared" si="45"/>
        <v>600</v>
      </c>
      <c r="DE17" s="57">
        <f t="shared" si="46"/>
        <v>0</v>
      </c>
      <c r="DF17" s="57" t="e">
        <f t="shared" si="47"/>
        <v>#DIV/0!</v>
      </c>
    </row>
    <row r="18" spans="1:110" ht="14.25" customHeight="1">
      <c r="A18" s="43"/>
      <c r="B18" s="44"/>
      <c r="C18" s="45">
        <v>0</v>
      </c>
      <c r="D18" s="30">
        <v>0</v>
      </c>
      <c r="E18" s="30">
        <v>0</v>
      </c>
      <c r="F18" s="45">
        <f t="shared" si="0"/>
        <v>0</v>
      </c>
      <c r="G18" s="45">
        <v>900</v>
      </c>
      <c r="H18" s="30">
        <v>0</v>
      </c>
      <c r="I18" s="45">
        <f t="shared" si="1"/>
        <v>900</v>
      </c>
      <c r="J18" s="45">
        <f t="shared" si="2"/>
        <v>0</v>
      </c>
      <c r="K18" s="46" t="e">
        <f t="shared" si="3"/>
        <v>#DIV/0!</v>
      </c>
      <c r="L18" s="47">
        <v>0</v>
      </c>
      <c r="M18" s="32">
        <v>0</v>
      </c>
      <c r="N18" s="32">
        <v>0</v>
      </c>
      <c r="O18" s="47">
        <f t="shared" si="4"/>
        <v>0</v>
      </c>
      <c r="P18" s="47">
        <v>1800</v>
      </c>
      <c r="Q18" s="47">
        <v>0</v>
      </c>
      <c r="R18" s="47">
        <f t="shared" si="5"/>
        <v>1800</v>
      </c>
      <c r="S18" s="47">
        <f t="shared" si="6"/>
        <v>0</v>
      </c>
      <c r="T18" s="47" t="e">
        <f t="shared" si="7"/>
        <v>#DIV/0!</v>
      </c>
      <c r="U18" s="48">
        <v>0</v>
      </c>
      <c r="V18" s="48">
        <v>0</v>
      </c>
      <c r="W18" s="48">
        <v>0</v>
      </c>
      <c r="X18" s="48">
        <f t="shared" si="8"/>
        <v>0</v>
      </c>
      <c r="Y18" s="48">
        <v>910</v>
      </c>
      <c r="Z18" s="33">
        <v>0</v>
      </c>
      <c r="AA18" s="48">
        <f t="shared" si="9"/>
        <v>910</v>
      </c>
      <c r="AB18" s="48">
        <f t="shared" si="10"/>
        <v>0</v>
      </c>
      <c r="AC18" s="48" t="e">
        <f t="shared" si="11"/>
        <v>#DIV/0!</v>
      </c>
      <c r="AD18" s="49">
        <v>0</v>
      </c>
      <c r="AE18" s="49">
        <v>0</v>
      </c>
      <c r="AF18" s="49">
        <v>0</v>
      </c>
      <c r="AG18" s="49">
        <f t="shared" si="12"/>
        <v>0</v>
      </c>
      <c r="AH18" s="49">
        <v>1200</v>
      </c>
      <c r="AI18" s="49">
        <v>0</v>
      </c>
      <c r="AJ18" s="49">
        <f t="shared" si="13"/>
        <v>1200</v>
      </c>
      <c r="AK18" s="49">
        <f t="shared" si="14"/>
        <v>0</v>
      </c>
      <c r="AL18" s="49" t="e">
        <f t="shared" si="15"/>
        <v>#DIV/0!</v>
      </c>
      <c r="AM18" s="50">
        <v>0</v>
      </c>
      <c r="AN18" s="50">
        <v>0</v>
      </c>
      <c r="AO18" s="50">
        <v>0</v>
      </c>
      <c r="AP18" s="50">
        <f t="shared" si="16"/>
        <v>0</v>
      </c>
      <c r="AQ18" s="50">
        <v>600</v>
      </c>
      <c r="AR18" s="50">
        <v>0</v>
      </c>
      <c r="AS18" s="50">
        <f t="shared" si="17"/>
        <v>600</v>
      </c>
      <c r="AT18" s="50">
        <f t="shared" si="18"/>
        <v>0</v>
      </c>
      <c r="AU18" s="50" t="e">
        <f t="shared" si="19"/>
        <v>#DIV/0!</v>
      </c>
      <c r="AV18" s="51">
        <v>0</v>
      </c>
      <c r="AW18" s="36">
        <v>0</v>
      </c>
      <c r="AX18" s="36">
        <v>0</v>
      </c>
      <c r="AY18" s="51">
        <f t="shared" si="20"/>
        <v>0</v>
      </c>
      <c r="AZ18" s="51">
        <v>1500</v>
      </c>
      <c r="BA18" s="51">
        <v>0</v>
      </c>
      <c r="BB18" s="51">
        <f t="shared" si="21"/>
        <v>1500</v>
      </c>
      <c r="BC18" s="51">
        <f t="shared" si="22"/>
        <v>0</v>
      </c>
      <c r="BD18" s="51" t="e">
        <f t="shared" si="23"/>
        <v>#DIV/0!</v>
      </c>
      <c r="BE18" s="52">
        <v>0</v>
      </c>
      <c r="BF18" s="37">
        <v>0</v>
      </c>
      <c r="BG18" s="37">
        <v>0</v>
      </c>
      <c r="BH18" s="37">
        <f t="shared" si="24"/>
        <v>0</v>
      </c>
      <c r="BI18" s="52">
        <v>750</v>
      </c>
      <c r="BJ18" s="37">
        <v>0</v>
      </c>
      <c r="BK18" s="52">
        <f t="shared" si="25"/>
        <v>750</v>
      </c>
      <c r="BL18" s="52">
        <f t="shared" si="26"/>
        <v>0</v>
      </c>
      <c r="BM18" s="52" t="e">
        <f t="shared" si="27"/>
        <v>#DIV/0!</v>
      </c>
      <c r="BN18" s="53">
        <v>0</v>
      </c>
      <c r="BO18" s="38">
        <v>0</v>
      </c>
      <c r="BP18" s="38">
        <v>0</v>
      </c>
      <c r="BQ18" s="53">
        <f t="shared" si="28"/>
        <v>0</v>
      </c>
      <c r="BR18" s="53">
        <v>2450</v>
      </c>
      <c r="BS18" s="38">
        <v>0</v>
      </c>
      <c r="BT18" s="53">
        <f t="shared" si="29"/>
        <v>2450</v>
      </c>
      <c r="BU18" s="53">
        <f t="shared" si="30"/>
        <v>0</v>
      </c>
      <c r="BV18" s="53" t="e">
        <f t="shared" si="31"/>
        <v>#DIV/0!</v>
      </c>
      <c r="BW18" s="54">
        <v>0</v>
      </c>
      <c r="BX18" s="39">
        <v>0</v>
      </c>
      <c r="BY18" s="39">
        <v>0</v>
      </c>
      <c r="BZ18" s="54">
        <f t="shared" si="32"/>
        <v>0</v>
      </c>
      <c r="CA18" s="54">
        <v>750</v>
      </c>
      <c r="CB18" s="54">
        <v>0</v>
      </c>
      <c r="CC18" s="54">
        <f t="shared" si="33"/>
        <v>750</v>
      </c>
      <c r="CD18" s="54">
        <f t="shared" si="34"/>
        <v>0</v>
      </c>
      <c r="CE18" s="54" t="e">
        <f t="shared" si="35"/>
        <v>#DIV/0!</v>
      </c>
      <c r="CF18" s="55">
        <v>0</v>
      </c>
      <c r="CG18" s="55">
        <v>0</v>
      </c>
      <c r="CH18" s="55">
        <v>0</v>
      </c>
      <c r="CI18" s="55">
        <f t="shared" si="36"/>
        <v>0</v>
      </c>
      <c r="CJ18" s="55">
        <v>730</v>
      </c>
      <c r="CK18" s="55">
        <v>0</v>
      </c>
      <c r="CL18" s="55">
        <f t="shared" si="37"/>
        <v>730</v>
      </c>
      <c r="CM18" s="55">
        <f t="shared" si="38"/>
        <v>0</v>
      </c>
      <c r="CN18" s="55" t="e">
        <f t="shared" si="39"/>
        <v>#DIV/0!</v>
      </c>
      <c r="CO18" s="56">
        <v>0</v>
      </c>
      <c r="CP18" s="56">
        <v>0</v>
      </c>
      <c r="CQ18" s="56">
        <v>0</v>
      </c>
      <c r="CR18" s="56">
        <f t="shared" si="40"/>
        <v>0</v>
      </c>
      <c r="CS18" s="56">
        <v>730</v>
      </c>
      <c r="CT18" s="56">
        <v>0</v>
      </c>
      <c r="CU18" s="56">
        <f t="shared" si="41"/>
        <v>730</v>
      </c>
      <c r="CV18" s="56">
        <f t="shared" si="42"/>
        <v>0</v>
      </c>
      <c r="CW18" s="56" t="e">
        <f t="shared" si="43"/>
        <v>#DIV/0!</v>
      </c>
      <c r="CX18" s="57">
        <v>0</v>
      </c>
      <c r="CY18" s="57">
        <v>0</v>
      </c>
      <c r="CZ18" s="57">
        <v>0</v>
      </c>
      <c r="DA18" s="57">
        <f t="shared" si="44"/>
        <v>0</v>
      </c>
      <c r="DB18" s="57">
        <v>600</v>
      </c>
      <c r="DC18" s="57">
        <v>0</v>
      </c>
      <c r="DD18" s="57">
        <f t="shared" si="45"/>
        <v>600</v>
      </c>
      <c r="DE18" s="57">
        <f t="shared" si="46"/>
        <v>0</v>
      </c>
      <c r="DF18" s="57" t="e">
        <f t="shared" si="47"/>
        <v>#DIV/0!</v>
      </c>
    </row>
    <row r="19" spans="1:110" ht="14.25" customHeight="1">
      <c r="A19" s="43"/>
      <c r="B19" s="44"/>
      <c r="C19" s="45">
        <v>0</v>
      </c>
      <c r="D19" s="30">
        <v>0</v>
      </c>
      <c r="E19" s="30">
        <v>0</v>
      </c>
      <c r="F19" s="45">
        <f t="shared" si="0"/>
        <v>0</v>
      </c>
      <c r="G19" s="45">
        <v>900</v>
      </c>
      <c r="H19" s="30">
        <v>0</v>
      </c>
      <c r="I19" s="45">
        <f t="shared" si="1"/>
        <v>900</v>
      </c>
      <c r="J19" s="45">
        <f t="shared" si="2"/>
        <v>0</v>
      </c>
      <c r="K19" s="46" t="e">
        <f t="shared" si="3"/>
        <v>#DIV/0!</v>
      </c>
      <c r="L19" s="47">
        <v>0</v>
      </c>
      <c r="M19" s="32">
        <v>0</v>
      </c>
      <c r="N19" s="32">
        <v>0</v>
      </c>
      <c r="O19" s="47">
        <f t="shared" si="4"/>
        <v>0</v>
      </c>
      <c r="P19" s="47">
        <v>1800</v>
      </c>
      <c r="Q19" s="47">
        <v>0</v>
      </c>
      <c r="R19" s="47">
        <f t="shared" si="5"/>
        <v>1800</v>
      </c>
      <c r="S19" s="47">
        <f t="shared" si="6"/>
        <v>0</v>
      </c>
      <c r="T19" s="47" t="e">
        <f t="shared" si="7"/>
        <v>#DIV/0!</v>
      </c>
      <c r="U19" s="48">
        <v>0</v>
      </c>
      <c r="V19" s="48">
        <v>0</v>
      </c>
      <c r="W19" s="48">
        <v>0</v>
      </c>
      <c r="X19" s="48">
        <f t="shared" si="8"/>
        <v>0</v>
      </c>
      <c r="Y19" s="48">
        <v>910</v>
      </c>
      <c r="Z19" s="33">
        <v>0</v>
      </c>
      <c r="AA19" s="48">
        <f t="shared" si="9"/>
        <v>910</v>
      </c>
      <c r="AB19" s="48">
        <f t="shared" si="10"/>
        <v>0</v>
      </c>
      <c r="AC19" s="48" t="e">
        <f t="shared" si="11"/>
        <v>#DIV/0!</v>
      </c>
      <c r="AD19" s="49">
        <v>0</v>
      </c>
      <c r="AE19" s="49">
        <v>0</v>
      </c>
      <c r="AF19" s="49">
        <v>0</v>
      </c>
      <c r="AG19" s="49">
        <f t="shared" si="12"/>
        <v>0</v>
      </c>
      <c r="AH19" s="49">
        <v>1200</v>
      </c>
      <c r="AI19" s="49">
        <v>0</v>
      </c>
      <c r="AJ19" s="49">
        <f t="shared" si="13"/>
        <v>1200</v>
      </c>
      <c r="AK19" s="49">
        <f t="shared" si="14"/>
        <v>0</v>
      </c>
      <c r="AL19" s="49" t="e">
        <f t="shared" si="15"/>
        <v>#DIV/0!</v>
      </c>
      <c r="AM19" s="50">
        <v>0</v>
      </c>
      <c r="AN19" s="50">
        <v>0</v>
      </c>
      <c r="AO19" s="50">
        <v>0</v>
      </c>
      <c r="AP19" s="50">
        <f t="shared" si="16"/>
        <v>0</v>
      </c>
      <c r="AQ19" s="50">
        <v>600</v>
      </c>
      <c r="AR19" s="50">
        <v>0</v>
      </c>
      <c r="AS19" s="50">
        <f t="shared" si="17"/>
        <v>600</v>
      </c>
      <c r="AT19" s="50">
        <f t="shared" si="18"/>
        <v>0</v>
      </c>
      <c r="AU19" s="50" t="e">
        <f t="shared" si="19"/>
        <v>#DIV/0!</v>
      </c>
      <c r="AV19" s="51">
        <v>0</v>
      </c>
      <c r="AW19" s="36">
        <v>0</v>
      </c>
      <c r="AX19" s="36">
        <v>0</v>
      </c>
      <c r="AY19" s="51">
        <f t="shared" si="20"/>
        <v>0</v>
      </c>
      <c r="AZ19" s="51">
        <v>1500</v>
      </c>
      <c r="BA19" s="51">
        <v>0</v>
      </c>
      <c r="BB19" s="51">
        <f t="shared" si="21"/>
        <v>1500</v>
      </c>
      <c r="BC19" s="51">
        <f t="shared" si="22"/>
        <v>0</v>
      </c>
      <c r="BD19" s="51" t="e">
        <f t="shared" si="23"/>
        <v>#DIV/0!</v>
      </c>
      <c r="BE19" s="52">
        <v>0</v>
      </c>
      <c r="BF19" s="37">
        <v>0</v>
      </c>
      <c r="BG19" s="37">
        <v>0</v>
      </c>
      <c r="BH19" s="37">
        <f t="shared" si="24"/>
        <v>0</v>
      </c>
      <c r="BI19" s="52">
        <v>750</v>
      </c>
      <c r="BJ19" s="37">
        <v>0</v>
      </c>
      <c r="BK19" s="52">
        <f t="shared" si="25"/>
        <v>750</v>
      </c>
      <c r="BL19" s="52">
        <f t="shared" si="26"/>
        <v>0</v>
      </c>
      <c r="BM19" s="52" t="e">
        <f t="shared" si="27"/>
        <v>#DIV/0!</v>
      </c>
      <c r="BN19" s="53">
        <v>0</v>
      </c>
      <c r="BO19" s="38">
        <v>0</v>
      </c>
      <c r="BP19" s="38">
        <v>0</v>
      </c>
      <c r="BQ19" s="53">
        <f t="shared" si="28"/>
        <v>0</v>
      </c>
      <c r="BR19" s="53">
        <v>2450</v>
      </c>
      <c r="BS19" s="38">
        <v>0</v>
      </c>
      <c r="BT19" s="53">
        <f t="shared" si="29"/>
        <v>2450</v>
      </c>
      <c r="BU19" s="53">
        <f t="shared" si="30"/>
        <v>0</v>
      </c>
      <c r="BV19" s="53" t="e">
        <f t="shared" si="31"/>
        <v>#DIV/0!</v>
      </c>
      <c r="BW19" s="54">
        <v>0</v>
      </c>
      <c r="BX19" s="39">
        <v>0</v>
      </c>
      <c r="BY19" s="39">
        <v>0</v>
      </c>
      <c r="BZ19" s="54">
        <f t="shared" si="32"/>
        <v>0</v>
      </c>
      <c r="CA19" s="54">
        <v>750</v>
      </c>
      <c r="CB19" s="54">
        <v>0</v>
      </c>
      <c r="CC19" s="54">
        <f t="shared" si="33"/>
        <v>750</v>
      </c>
      <c r="CD19" s="54">
        <f t="shared" si="34"/>
        <v>0</v>
      </c>
      <c r="CE19" s="54" t="e">
        <f t="shared" si="35"/>
        <v>#DIV/0!</v>
      </c>
      <c r="CF19" s="55">
        <v>0</v>
      </c>
      <c r="CG19" s="55">
        <v>0</v>
      </c>
      <c r="CH19" s="55">
        <v>0</v>
      </c>
      <c r="CI19" s="55">
        <f t="shared" si="36"/>
        <v>0</v>
      </c>
      <c r="CJ19" s="55">
        <v>730</v>
      </c>
      <c r="CK19" s="55">
        <v>0</v>
      </c>
      <c r="CL19" s="55">
        <f t="shared" si="37"/>
        <v>730</v>
      </c>
      <c r="CM19" s="55">
        <f t="shared" si="38"/>
        <v>0</v>
      </c>
      <c r="CN19" s="55" t="e">
        <f t="shared" si="39"/>
        <v>#DIV/0!</v>
      </c>
      <c r="CO19" s="56">
        <v>0</v>
      </c>
      <c r="CP19" s="56">
        <v>0</v>
      </c>
      <c r="CQ19" s="56">
        <v>0</v>
      </c>
      <c r="CR19" s="56">
        <f t="shared" si="40"/>
        <v>0</v>
      </c>
      <c r="CS19" s="56">
        <v>730</v>
      </c>
      <c r="CT19" s="56">
        <v>0</v>
      </c>
      <c r="CU19" s="56">
        <f t="shared" si="41"/>
        <v>730</v>
      </c>
      <c r="CV19" s="56">
        <f t="shared" si="42"/>
        <v>0</v>
      </c>
      <c r="CW19" s="56" t="e">
        <f t="shared" si="43"/>
        <v>#DIV/0!</v>
      </c>
      <c r="CX19" s="57">
        <v>0</v>
      </c>
      <c r="CY19" s="57">
        <v>0</v>
      </c>
      <c r="CZ19" s="57">
        <v>0</v>
      </c>
      <c r="DA19" s="57">
        <f t="shared" si="44"/>
        <v>0</v>
      </c>
      <c r="DB19" s="57">
        <v>600</v>
      </c>
      <c r="DC19" s="57">
        <v>0</v>
      </c>
      <c r="DD19" s="57">
        <f t="shared" si="45"/>
        <v>600</v>
      </c>
      <c r="DE19" s="57">
        <f t="shared" si="46"/>
        <v>0</v>
      </c>
      <c r="DF19" s="57" t="e">
        <f t="shared" si="47"/>
        <v>#DIV/0!</v>
      </c>
    </row>
    <row r="20" spans="1:110" ht="14.25" customHeight="1">
      <c r="A20" s="43"/>
      <c r="B20" s="44"/>
      <c r="C20" s="45">
        <v>0</v>
      </c>
      <c r="D20" s="30">
        <v>0</v>
      </c>
      <c r="E20" s="30">
        <v>0</v>
      </c>
      <c r="F20" s="45">
        <f t="shared" si="0"/>
        <v>0</v>
      </c>
      <c r="G20" s="45">
        <v>900</v>
      </c>
      <c r="H20" s="30">
        <v>0</v>
      </c>
      <c r="I20" s="45">
        <f t="shared" si="1"/>
        <v>900</v>
      </c>
      <c r="J20" s="45">
        <f t="shared" si="2"/>
        <v>0</v>
      </c>
      <c r="K20" s="46" t="e">
        <f t="shared" si="3"/>
        <v>#DIV/0!</v>
      </c>
      <c r="L20" s="47">
        <v>0</v>
      </c>
      <c r="M20" s="32">
        <v>0</v>
      </c>
      <c r="N20" s="32">
        <v>0</v>
      </c>
      <c r="O20" s="47">
        <f t="shared" si="4"/>
        <v>0</v>
      </c>
      <c r="P20" s="47">
        <v>1800</v>
      </c>
      <c r="Q20" s="47">
        <v>0</v>
      </c>
      <c r="R20" s="47">
        <f t="shared" si="5"/>
        <v>1800</v>
      </c>
      <c r="S20" s="47">
        <f t="shared" si="6"/>
        <v>0</v>
      </c>
      <c r="T20" s="47" t="e">
        <f t="shared" si="7"/>
        <v>#DIV/0!</v>
      </c>
      <c r="U20" s="48">
        <v>0</v>
      </c>
      <c r="V20" s="48">
        <v>0</v>
      </c>
      <c r="W20" s="48">
        <v>0</v>
      </c>
      <c r="X20" s="48">
        <f t="shared" si="8"/>
        <v>0</v>
      </c>
      <c r="Y20" s="48">
        <v>910</v>
      </c>
      <c r="Z20" s="33">
        <v>0</v>
      </c>
      <c r="AA20" s="48">
        <f t="shared" si="9"/>
        <v>910</v>
      </c>
      <c r="AB20" s="48">
        <f t="shared" si="10"/>
        <v>0</v>
      </c>
      <c r="AC20" s="48" t="e">
        <f t="shared" si="11"/>
        <v>#DIV/0!</v>
      </c>
      <c r="AD20" s="49">
        <v>0</v>
      </c>
      <c r="AE20" s="49">
        <v>0</v>
      </c>
      <c r="AF20" s="49">
        <v>0</v>
      </c>
      <c r="AG20" s="49">
        <f t="shared" si="12"/>
        <v>0</v>
      </c>
      <c r="AH20" s="49">
        <v>1200</v>
      </c>
      <c r="AI20" s="49">
        <v>0</v>
      </c>
      <c r="AJ20" s="49">
        <f t="shared" si="13"/>
        <v>1200</v>
      </c>
      <c r="AK20" s="49">
        <f t="shared" si="14"/>
        <v>0</v>
      </c>
      <c r="AL20" s="49" t="e">
        <f t="shared" si="15"/>
        <v>#DIV/0!</v>
      </c>
      <c r="AM20" s="50">
        <v>0</v>
      </c>
      <c r="AN20" s="50">
        <v>0</v>
      </c>
      <c r="AO20" s="50">
        <v>0</v>
      </c>
      <c r="AP20" s="50">
        <f t="shared" si="16"/>
        <v>0</v>
      </c>
      <c r="AQ20" s="50">
        <v>600</v>
      </c>
      <c r="AR20" s="50">
        <v>0</v>
      </c>
      <c r="AS20" s="50">
        <f t="shared" si="17"/>
        <v>600</v>
      </c>
      <c r="AT20" s="50">
        <f t="shared" si="18"/>
        <v>0</v>
      </c>
      <c r="AU20" s="50" t="e">
        <f t="shared" si="19"/>
        <v>#DIV/0!</v>
      </c>
      <c r="AV20" s="51">
        <v>0</v>
      </c>
      <c r="AW20" s="36">
        <v>0</v>
      </c>
      <c r="AX20" s="36">
        <v>0</v>
      </c>
      <c r="AY20" s="51">
        <f t="shared" si="20"/>
        <v>0</v>
      </c>
      <c r="AZ20" s="51">
        <v>1500</v>
      </c>
      <c r="BA20" s="51">
        <v>0</v>
      </c>
      <c r="BB20" s="51">
        <f t="shared" si="21"/>
        <v>1500</v>
      </c>
      <c r="BC20" s="51">
        <f t="shared" si="22"/>
        <v>0</v>
      </c>
      <c r="BD20" s="51" t="e">
        <f t="shared" si="23"/>
        <v>#DIV/0!</v>
      </c>
      <c r="BE20" s="52">
        <v>0</v>
      </c>
      <c r="BF20" s="37">
        <v>0</v>
      </c>
      <c r="BG20" s="37">
        <v>0</v>
      </c>
      <c r="BH20" s="37">
        <f t="shared" si="24"/>
        <v>0</v>
      </c>
      <c r="BI20" s="52">
        <v>750</v>
      </c>
      <c r="BJ20" s="37">
        <v>0</v>
      </c>
      <c r="BK20" s="52">
        <f t="shared" si="25"/>
        <v>750</v>
      </c>
      <c r="BL20" s="52">
        <f t="shared" si="26"/>
        <v>0</v>
      </c>
      <c r="BM20" s="52" t="e">
        <f t="shared" si="27"/>
        <v>#DIV/0!</v>
      </c>
      <c r="BN20" s="53">
        <v>0</v>
      </c>
      <c r="BO20" s="38">
        <v>0</v>
      </c>
      <c r="BP20" s="38">
        <v>0</v>
      </c>
      <c r="BQ20" s="53">
        <f t="shared" si="28"/>
        <v>0</v>
      </c>
      <c r="BR20" s="53">
        <v>2450</v>
      </c>
      <c r="BS20" s="38">
        <v>0</v>
      </c>
      <c r="BT20" s="53">
        <f t="shared" si="29"/>
        <v>2450</v>
      </c>
      <c r="BU20" s="53">
        <f t="shared" si="30"/>
        <v>0</v>
      </c>
      <c r="BV20" s="53" t="e">
        <f t="shared" si="31"/>
        <v>#DIV/0!</v>
      </c>
      <c r="BW20" s="54">
        <v>0</v>
      </c>
      <c r="BX20" s="39">
        <v>0</v>
      </c>
      <c r="BY20" s="39">
        <v>0</v>
      </c>
      <c r="BZ20" s="54">
        <f t="shared" si="32"/>
        <v>0</v>
      </c>
      <c r="CA20" s="54">
        <v>750</v>
      </c>
      <c r="CB20" s="54">
        <v>0</v>
      </c>
      <c r="CC20" s="54">
        <f t="shared" si="33"/>
        <v>750</v>
      </c>
      <c r="CD20" s="54">
        <f t="shared" si="34"/>
        <v>0</v>
      </c>
      <c r="CE20" s="54" t="e">
        <f t="shared" si="35"/>
        <v>#DIV/0!</v>
      </c>
      <c r="CF20" s="55">
        <v>0</v>
      </c>
      <c r="CG20" s="55">
        <v>0</v>
      </c>
      <c r="CH20" s="55">
        <v>0</v>
      </c>
      <c r="CI20" s="55">
        <f t="shared" si="36"/>
        <v>0</v>
      </c>
      <c r="CJ20" s="55">
        <v>730</v>
      </c>
      <c r="CK20" s="55">
        <v>0</v>
      </c>
      <c r="CL20" s="55">
        <f t="shared" si="37"/>
        <v>730</v>
      </c>
      <c r="CM20" s="55">
        <f t="shared" si="38"/>
        <v>0</v>
      </c>
      <c r="CN20" s="55" t="e">
        <f t="shared" si="39"/>
        <v>#DIV/0!</v>
      </c>
      <c r="CO20" s="56">
        <v>0</v>
      </c>
      <c r="CP20" s="56">
        <v>0</v>
      </c>
      <c r="CQ20" s="56">
        <v>0</v>
      </c>
      <c r="CR20" s="56">
        <f t="shared" si="40"/>
        <v>0</v>
      </c>
      <c r="CS20" s="56">
        <v>730</v>
      </c>
      <c r="CT20" s="56">
        <v>0</v>
      </c>
      <c r="CU20" s="56">
        <f t="shared" si="41"/>
        <v>730</v>
      </c>
      <c r="CV20" s="56">
        <f t="shared" si="42"/>
        <v>0</v>
      </c>
      <c r="CW20" s="56" t="e">
        <f t="shared" si="43"/>
        <v>#DIV/0!</v>
      </c>
      <c r="CX20" s="57">
        <v>0</v>
      </c>
      <c r="CY20" s="57">
        <v>0</v>
      </c>
      <c r="CZ20" s="57">
        <v>0</v>
      </c>
      <c r="DA20" s="57">
        <f t="shared" si="44"/>
        <v>0</v>
      </c>
      <c r="DB20" s="57">
        <v>600</v>
      </c>
      <c r="DC20" s="57">
        <v>0</v>
      </c>
      <c r="DD20" s="57">
        <f t="shared" si="45"/>
        <v>600</v>
      </c>
      <c r="DE20" s="57">
        <f t="shared" si="46"/>
        <v>0</v>
      </c>
      <c r="DF20" s="57" t="e">
        <f t="shared" si="47"/>
        <v>#DIV/0!</v>
      </c>
    </row>
    <row r="21" spans="1:110" ht="14.25" customHeight="1">
      <c r="A21" s="43"/>
      <c r="B21" s="44"/>
      <c r="C21" s="45">
        <v>0</v>
      </c>
      <c r="D21" s="30">
        <v>0</v>
      </c>
      <c r="E21" s="30">
        <v>0</v>
      </c>
      <c r="F21" s="45">
        <f t="shared" si="0"/>
        <v>0</v>
      </c>
      <c r="G21" s="45">
        <v>900</v>
      </c>
      <c r="H21" s="30">
        <v>0</v>
      </c>
      <c r="I21" s="45">
        <f t="shared" si="1"/>
        <v>900</v>
      </c>
      <c r="J21" s="45">
        <f t="shared" si="2"/>
        <v>0</v>
      </c>
      <c r="K21" s="46" t="e">
        <f t="shared" si="3"/>
        <v>#DIV/0!</v>
      </c>
      <c r="L21" s="47">
        <v>0</v>
      </c>
      <c r="M21" s="32">
        <v>0</v>
      </c>
      <c r="N21" s="32">
        <v>0</v>
      </c>
      <c r="O21" s="47">
        <f t="shared" si="4"/>
        <v>0</v>
      </c>
      <c r="P21" s="47">
        <v>1800</v>
      </c>
      <c r="Q21" s="47">
        <v>0</v>
      </c>
      <c r="R21" s="47">
        <f t="shared" si="5"/>
        <v>1800</v>
      </c>
      <c r="S21" s="47">
        <f t="shared" si="6"/>
        <v>0</v>
      </c>
      <c r="T21" s="47" t="e">
        <f t="shared" si="7"/>
        <v>#DIV/0!</v>
      </c>
      <c r="U21" s="48">
        <v>0</v>
      </c>
      <c r="V21" s="48">
        <v>0</v>
      </c>
      <c r="W21" s="48">
        <v>0</v>
      </c>
      <c r="X21" s="48">
        <f t="shared" si="8"/>
        <v>0</v>
      </c>
      <c r="Y21" s="48">
        <v>910</v>
      </c>
      <c r="Z21" s="33">
        <v>0</v>
      </c>
      <c r="AA21" s="48">
        <f t="shared" si="9"/>
        <v>910</v>
      </c>
      <c r="AB21" s="48">
        <f t="shared" si="10"/>
        <v>0</v>
      </c>
      <c r="AC21" s="48" t="e">
        <f t="shared" si="11"/>
        <v>#DIV/0!</v>
      </c>
      <c r="AD21" s="49">
        <v>0</v>
      </c>
      <c r="AE21" s="49">
        <v>0</v>
      </c>
      <c r="AF21" s="49">
        <v>0</v>
      </c>
      <c r="AG21" s="49">
        <f t="shared" si="12"/>
        <v>0</v>
      </c>
      <c r="AH21" s="49">
        <v>1200</v>
      </c>
      <c r="AI21" s="49">
        <v>0</v>
      </c>
      <c r="AJ21" s="49">
        <f t="shared" si="13"/>
        <v>1200</v>
      </c>
      <c r="AK21" s="49">
        <f t="shared" si="14"/>
        <v>0</v>
      </c>
      <c r="AL21" s="49" t="e">
        <f t="shared" si="15"/>
        <v>#DIV/0!</v>
      </c>
      <c r="AM21" s="50">
        <v>0</v>
      </c>
      <c r="AN21" s="50">
        <v>0</v>
      </c>
      <c r="AO21" s="50">
        <v>0</v>
      </c>
      <c r="AP21" s="50">
        <f t="shared" si="16"/>
        <v>0</v>
      </c>
      <c r="AQ21" s="50">
        <v>600</v>
      </c>
      <c r="AR21" s="50">
        <v>0</v>
      </c>
      <c r="AS21" s="50">
        <f t="shared" si="17"/>
        <v>600</v>
      </c>
      <c r="AT21" s="50">
        <f t="shared" si="18"/>
        <v>0</v>
      </c>
      <c r="AU21" s="50" t="e">
        <f t="shared" si="19"/>
        <v>#DIV/0!</v>
      </c>
      <c r="AV21" s="51">
        <v>0</v>
      </c>
      <c r="AW21" s="36">
        <v>0</v>
      </c>
      <c r="AX21" s="36">
        <v>0</v>
      </c>
      <c r="AY21" s="51">
        <f t="shared" si="20"/>
        <v>0</v>
      </c>
      <c r="AZ21" s="51">
        <v>1500</v>
      </c>
      <c r="BA21" s="51">
        <v>0</v>
      </c>
      <c r="BB21" s="51">
        <f t="shared" si="21"/>
        <v>1500</v>
      </c>
      <c r="BC21" s="51">
        <f t="shared" si="22"/>
        <v>0</v>
      </c>
      <c r="BD21" s="51" t="e">
        <f t="shared" si="23"/>
        <v>#DIV/0!</v>
      </c>
      <c r="BE21" s="52">
        <v>0</v>
      </c>
      <c r="BF21" s="37">
        <v>0</v>
      </c>
      <c r="BG21" s="37">
        <v>0</v>
      </c>
      <c r="BH21" s="37">
        <f t="shared" si="24"/>
        <v>0</v>
      </c>
      <c r="BI21" s="52">
        <v>750</v>
      </c>
      <c r="BJ21" s="37">
        <v>0</v>
      </c>
      <c r="BK21" s="52">
        <f t="shared" si="25"/>
        <v>750</v>
      </c>
      <c r="BL21" s="52">
        <f t="shared" si="26"/>
        <v>0</v>
      </c>
      <c r="BM21" s="52" t="e">
        <f t="shared" si="27"/>
        <v>#DIV/0!</v>
      </c>
      <c r="BN21" s="53">
        <v>0</v>
      </c>
      <c r="BO21" s="38">
        <v>0</v>
      </c>
      <c r="BP21" s="38">
        <v>0</v>
      </c>
      <c r="BQ21" s="53">
        <f t="shared" si="28"/>
        <v>0</v>
      </c>
      <c r="BR21" s="53">
        <v>2450</v>
      </c>
      <c r="BS21" s="38">
        <v>0</v>
      </c>
      <c r="BT21" s="53">
        <f t="shared" si="29"/>
        <v>2450</v>
      </c>
      <c r="BU21" s="53">
        <f t="shared" si="30"/>
        <v>0</v>
      </c>
      <c r="BV21" s="53" t="e">
        <f t="shared" si="31"/>
        <v>#DIV/0!</v>
      </c>
      <c r="BW21" s="54">
        <v>0</v>
      </c>
      <c r="BX21" s="39">
        <v>0</v>
      </c>
      <c r="BY21" s="39">
        <v>0</v>
      </c>
      <c r="BZ21" s="54">
        <f t="shared" si="32"/>
        <v>0</v>
      </c>
      <c r="CA21" s="54">
        <v>750</v>
      </c>
      <c r="CB21" s="54">
        <v>0</v>
      </c>
      <c r="CC21" s="54">
        <f t="shared" si="33"/>
        <v>750</v>
      </c>
      <c r="CD21" s="54">
        <f t="shared" si="34"/>
        <v>0</v>
      </c>
      <c r="CE21" s="54" t="e">
        <f t="shared" si="35"/>
        <v>#DIV/0!</v>
      </c>
      <c r="CF21" s="55">
        <v>0</v>
      </c>
      <c r="CG21" s="55">
        <v>0</v>
      </c>
      <c r="CH21" s="55">
        <v>0</v>
      </c>
      <c r="CI21" s="55">
        <f t="shared" si="36"/>
        <v>0</v>
      </c>
      <c r="CJ21" s="55">
        <v>730</v>
      </c>
      <c r="CK21" s="55">
        <v>0</v>
      </c>
      <c r="CL21" s="55">
        <f t="shared" si="37"/>
        <v>730</v>
      </c>
      <c r="CM21" s="55">
        <f t="shared" si="38"/>
        <v>0</v>
      </c>
      <c r="CN21" s="55" t="e">
        <f t="shared" si="39"/>
        <v>#DIV/0!</v>
      </c>
      <c r="CO21" s="56">
        <v>0</v>
      </c>
      <c r="CP21" s="56">
        <v>0</v>
      </c>
      <c r="CQ21" s="56">
        <v>0</v>
      </c>
      <c r="CR21" s="56">
        <f t="shared" si="40"/>
        <v>0</v>
      </c>
      <c r="CS21" s="56">
        <v>730</v>
      </c>
      <c r="CT21" s="56">
        <v>0</v>
      </c>
      <c r="CU21" s="56">
        <f t="shared" si="41"/>
        <v>730</v>
      </c>
      <c r="CV21" s="56">
        <f t="shared" si="42"/>
        <v>0</v>
      </c>
      <c r="CW21" s="56" t="e">
        <f t="shared" si="43"/>
        <v>#DIV/0!</v>
      </c>
      <c r="CX21" s="57">
        <v>0</v>
      </c>
      <c r="CY21" s="57">
        <v>0</v>
      </c>
      <c r="CZ21" s="57">
        <v>0</v>
      </c>
      <c r="DA21" s="57">
        <f t="shared" si="44"/>
        <v>0</v>
      </c>
      <c r="DB21" s="57">
        <v>600</v>
      </c>
      <c r="DC21" s="57">
        <v>0</v>
      </c>
      <c r="DD21" s="57">
        <f t="shared" si="45"/>
        <v>600</v>
      </c>
      <c r="DE21" s="57">
        <f t="shared" si="46"/>
        <v>0</v>
      </c>
      <c r="DF21" s="57" t="e">
        <f t="shared" si="47"/>
        <v>#DIV/0!</v>
      </c>
    </row>
    <row r="22" spans="1:110" ht="14.25" customHeight="1">
      <c r="A22" s="43"/>
      <c r="B22" s="44"/>
      <c r="C22" s="45">
        <v>0</v>
      </c>
      <c r="D22" s="30">
        <v>0</v>
      </c>
      <c r="E22" s="30">
        <v>0</v>
      </c>
      <c r="F22" s="45">
        <f t="shared" si="0"/>
        <v>0</v>
      </c>
      <c r="G22" s="45">
        <v>900</v>
      </c>
      <c r="H22" s="30">
        <v>0</v>
      </c>
      <c r="I22" s="45">
        <f t="shared" si="1"/>
        <v>900</v>
      </c>
      <c r="J22" s="45">
        <f t="shared" si="2"/>
        <v>0</v>
      </c>
      <c r="K22" s="46" t="e">
        <f t="shared" si="3"/>
        <v>#DIV/0!</v>
      </c>
      <c r="L22" s="47">
        <v>0</v>
      </c>
      <c r="M22" s="32">
        <v>0</v>
      </c>
      <c r="N22" s="32">
        <v>0</v>
      </c>
      <c r="O22" s="47">
        <f t="shared" si="4"/>
        <v>0</v>
      </c>
      <c r="P22" s="47">
        <v>1800</v>
      </c>
      <c r="Q22" s="47">
        <v>0</v>
      </c>
      <c r="R22" s="47">
        <f t="shared" si="5"/>
        <v>1800</v>
      </c>
      <c r="S22" s="47">
        <f t="shared" si="6"/>
        <v>0</v>
      </c>
      <c r="T22" s="47" t="e">
        <f t="shared" si="7"/>
        <v>#DIV/0!</v>
      </c>
      <c r="U22" s="48">
        <v>0</v>
      </c>
      <c r="V22" s="48">
        <v>0</v>
      </c>
      <c r="W22" s="48">
        <v>0</v>
      </c>
      <c r="X22" s="48">
        <f t="shared" si="8"/>
        <v>0</v>
      </c>
      <c r="Y22" s="48">
        <v>910</v>
      </c>
      <c r="Z22" s="33">
        <v>0</v>
      </c>
      <c r="AA22" s="48">
        <f t="shared" si="9"/>
        <v>910</v>
      </c>
      <c r="AB22" s="48">
        <f t="shared" si="10"/>
        <v>0</v>
      </c>
      <c r="AC22" s="48" t="e">
        <f t="shared" si="11"/>
        <v>#DIV/0!</v>
      </c>
      <c r="AD22" s="49">
        <v>0</v>
      </c>
      <c r="AE22" s="49">
        <v>0</v>
      </c>
      <c r="AF22" s="49">
        <v>0</v>
      </c>
      <c r="AG22" s="49">
        <f t="shared" si="12"/>
        <v>0</v>
      </c>
      <c r="AH22" s="49">
        <v>1200</v>
      </c>
      <c r="AI22" s="49">
        <v>0</v>
      </c>
      <c r="AJ22" s="49">
        <f t="shared" si="13"/>
        <v>1200</v>
      </c>
      <c r="AK22" s="49">
        <f t="shared" si="14"/>
        <v>0</v>
      </c>
      <c r="AL22" s="49" t="e">
        <f t="shared" si="15"/>
        <v>#DIV/0!</v>
      </c>
      <c r="AM22" s="50">
        <v>0</v>
      </c>
      <c r="AN22" s="50">
        <v>0</v>
      </c>
      <c r="AO22" s="50">
        <v>0</v>
      </c>
      <c r="AP22" s="50">
        <f t="shared" si="16"/>
        <v>0</v>
      </c>
      <c r="AQ22" s="50">
        <v>600</v>
      </c>
      <c r="AR22" s="50">
        <v>0</v>
      </c>
      <c r="AS22" s="50">
        <f t="shared" si="17"/>
        <v>600</v>
      </c>
      <c r="AT22" s="50">
        <f t="shared" si="18"/>
        <v>0</v>
      </c>
      <c r="AU22" s="50" t="e">
        <f t="shared" si="19"/>
        <v>#DIV/0!</v>
      </c>
      <c r="AV22" s="51">
        <v>0</v>
      </c>
      <c r="AW22" s="36">
        <v>0</v>
      </c>
      <c r="AX22" s="36">
        <v>0</v>
      </c>
      <c r="AY22" s="51">
        <f t="shared" si="20"/>
        <v>0</v>
      </c>
      <c r="AZ22" s="51">
        <v>1500</v>
      </c>
      <c r="BA22" s="51">
        <v>0</v>
      </c>
      <c r="BB22" s="51">
        <f t="shared" si="21"/>
        <v>1500</v>
      </c>
      <c r="BC22" s="51">
        <f t="shared" si="22"/>
        <v>0</v>
      </c>
      <c r="BD22" s="51" t="e">
        <f t="shared" si="23"/>
        <v>#DIV/0!</v>
      </c>
      <c r="BE22" s="52">
        <v>0</v>
      </c>
      <c r="BF22" s="37">
        <v>0</v>
      </c>
      <c r="BG22" s="37">
        <v>0</v>
      </c>
      <c r="BH22" s="37">
        <f t="shared" si="24"/>
        <v>0</v>
      </c>
      <c r="BI22" s="52">
        <v>750</v>
      </c>
      <c r="BJ22" s="37">
        <v>0</v>
      </c>
      <c r="BK22" s="52">
        <f t="shared" si="25"/>
        <v>750</v>
      </c>
      <c r="BL22" s="52">
        <f t="shared" si="26"/>
        <v>0</v>
      </c>
      <c r="BM22" s="52" t="e">
        <f t="shared" si="27"/>
        <v>#DIV/0!</v>
      </c>
      <c r="BN22" s="53">
        <v>0</v>
      </c>
      <c r="BO22" s="38">
        <v>0</v>
      </c>
      <c r="BP22" s="38">
        <v>0</v>
      </c>
      <c r="BQ22" s="53">
        <f t="shared" si="28"/>
        <v>0</v>
      </c>
      <c r="BR22" s="53">
        <v>2450</v>
      </c>
      <c r="BS22" s="38">
        <v>0</v>
      </c>
      <c r="BT22" s="53">
        <f t="shared" si="29"/>
        <v>2450</v>
      </c>
      <c r="BU22" s="53">
        <f t="shared" si="30"/>
        <v>0</v>
      </c>
      <c r="BV22" s="53" t="e">
        <f t="shared" si="31"/>
        <v>#DIV/0!</v>
      </c>
      <c r="BW22" s="54">
        <v>0</v>
      </c>
      <c r="BX22" s="39">
        <v>0</v>
      </c>
      <c r="BY22" s="39">
        <v>0</v>
      </c>
      <c r="BZ22" s="54">
        <f t="shared" si="32"/>
        <v>0</v>
      </c>
      <c r="CA22" s="54">
        <v>750</v>
      </c>
      <c r="CB22" s="54">
        <v>0</v>
      </c>
      <c r="CC22" s="54">
        <f t="shared" si="33"/>
        <v>750</v>
      </c>
      <c r="CD22" s="54">
        <f t="shared" si="34"/>
        <v>0</v>
      </c>
      <c r="CE22" s="54" t="e">
        <f t="shared" si="35"/>
        <v>#DIV/0!</v>
      </c>
      <c r="CF22" s="55">
        <v>0</v>
      </c>
      <c r="CG22" s="55">
        <v>0</v>
      </c>
      <c r="CH22" s="55">
        <v>0</v>
      </c>
      <c r="CI22" s="55">
        <f t="shared" si="36"/>
        <v>0</v>
      </c>
      <c r="CJ22" s="55">
        <v>730</v>
      </c>
      <c r="CK22" s="55">
        <v>0</v>
      </c>
      <c r="CL22" s="55">
        <f t="shared" si="37"/>
        <v>730</v>
      </c>
      <c r="CM22" s="55">
        <f t="shared" si="38"/>
        <v>0</v>
      </c>
      <c r="CN22" s="55" t="e">
        <f t="shared" si="39"/>
        <v>#DIV/0!</v>
      </c>
      <c r="CO22" s="56">
        <v>0</v>
      </c>
      <c r="CP22" s="56">
        <v>0</v>
      </c>
      <c r="CQ22" s="56">
        <v>0</v>
      </c>
      <c r="CR22" s="56">
        <f t="shared" si="40"/>
        <v>0</v>
      </c>
      <c r="CS22" s="56">
        <v>730</v>
      </c>
      <c r="CT22" s="56">
        <v>0</v>
      </c>
      <c r="CU22" s="56">
        <f t="shared" si="41"/>
        <v>730</v>
      </c>
      <c r="CV22" s="56">
        <f t="shared" si="42"/>
        <v>0</v>
      </c>
      <c r="CW22" s="56" t="e">
        <f t="shared" si="43"/>
        <v>#DIV/0!</v>
      </c>
      <c r="CX22" s="57">
        <v>0</v>
      </c>
      <c r="CY22" s="57">
        <v>0</v>
      </c>
      <c r="CZ22" s="57">
        <v>0</v>
      </c>
      <c r="DA22" s="57">
        <f t="shared" si="44"/>
        <v>0</v>
      </c>
      <c r="DB22" s="57">
        <v>600</v>
      </c>
      <c r="DC22" s="57">
        <v>0</v>
      </c>
      <c r="DD22" s="57">
        <f t="shared" si="45"/>
        <v>600</v>
      </c>
      <c r="DE22" s="57">
        <f t="shared" si="46"/>
        <v>0</v>
      </c>
      <c r="DF22" s="57" t="e">
        <f t="shared" si="47"/>
        <v>#DIV/0!</v>
      </c>
    </row>
    <row r="23" spans="1:110" ht="14.25" customHeight="1">
      <c r="A23" s="43"/>
      <c r="B23" s="44"/>
      <c r="C23" s="45">
        <v>0</v>
      </c>
      <c r="D23" s="30">
        <v>0</v>
      </c>
      <c r="E23" s="30">
        <v>0</v>
      </c>
      <c r="F23" s="45">
        <f t="shared" si="0"/>
        <v>0</v>
      </c>
      <c r="G23" s="45">
        <v>900</v>
      </c>
      <c r="H23" s="30">
        <v>0</v>
      </c>
      <c r="I23" s="45">
        <f t="shared" si="1"/>
        <v>900</v>
      </c>
      <c r="J23" s="45">
        <f t="shared" si="2"/>
        <v>0</v>
      </c>
      <c r="K23" s="46" t="e">
        <f t="shared" si="3"/>
        <v>#DIV/0!</v>
      </c>
      <c r="L23" s="47">
        <v>0</v>
      </c>
      <c r="M23" s="32">
        <v>0</v>
      </c>
      <c r="N23" s="32">
        <v>0</v>
      </c>
      <c r="O23" s="47">
        <f t="shared" si="4"/>
        <v>0</v>
      </c>
      <c r="P23" s="47">
        <v>1800</v>
      </c>
      <c r="Q23" s="47">
        <v>0</v>
      </c>
      <c r="R23" s="47">
        <f t="shared" si="5"/>
        <v>1800</v>
      </c>
      <c r="S23" s="47">
        <f t="shared" si="6"/>
        <v>0</v>
      </c>
      <c r="T23" s="47" t="e">
        <f t="shared" si="7"/>
        <v>#DIV/0!</v>
      </c>
      <c r="U23" s="48">
        <v>0</v>
      </c>
      <c r="V23" s="48">
        <v>0</v>
      </c>
      <c r="W23" s="48">
        <v>0</v>
      </c>
      <c r="X23" s="48">
        <f t="shared" si="8"/>
        <v>0</v>
      </c>
      <c r="Y23" s="48">
        <v>910</v>
      </c>
      <c r="Z23" s="33">
        <v>0</v>
      </c>
      <c r="AA23" s="48">
        <f t="shared" si="9"/>
        <v>910</v>
      </c>
      <c r="AB23" s="48">
        <f t="shared" si="10"/>
        <v>0</v>
      </c>
      <c r="AC23" s="48" t="e">
        <f t="shared" si="11"/>
        <v>#DIV/0!</v>
      </c>
      <c r="AD23" s="49">
        <v>0</v>
      </c>
      <c r="AE23" s="49">
        <v>0</v>
      </c>
      <c r="AF23" s="49">
        <v>0</v>
      </c>
      <c r="AG23" s="49">
        <f t="shared" si="12"/>
        <v>0</v>
      </c>
      <c r="AH23" s="49">
        <v>1200</v>
      </c>
      <c r="AI23" s="49">
        <v>0</v>
      </c>
      <c r="AJ23" s="49">
        <f t="shared" si="13"/>
        <v>1200</v>
      </c>
      <c r="AK23" s="49">
        <f t="shared" si="14"/>
        <v>0</v>
      </c>
      <c r="AL23" s="49" t="e">
        <f t="shared" si="15"/>
        <v>#DIV/0!</v>
      </c>
      <c r="AM23" s="50">
        <v>0</v>
      </c>
      <c r="AN23" s="50">
        <v>0</v>
      </c>
      <c r="AO23" s="50">
        <v>0</v>
      </c>
      <c r="AP23" s="50">
        <f t="shared" si="16"/>
        <v>0</v>
      </c>
      <c r="AQ23" s="50">
        <v>600</v>
      </c>
      <c r="AR23" s="50">
        <v>0</v>
      </c>
      <c r="AS23" s="50">
        <f t="shared" si="17"/>
        <v>600</v>
      </c>
      <c r="AT23" s="50">
        <f t="shared" si="18"/>
        <v>0</v>
      </c>
      <c r="AU23" s="50" t="e">
        <f t="shared" si="19"/>
        <v>#DIV/0!</v>
      </c>
      <c r="AV23" s="51">
        <v>0</v>
      </c>
      <c r="AW23" s="36">
        <v>0</v>
      </c>
      <c r="AX23" s="36">
        <v>0</v>
      </c>
      <c r="AY23" s="51">
        <f t="shared" si="20"/>
        <v>0</v>
      </c>
      <c r="AZ23" s="51">
        <v>1500</v>
      </c>
      <c r="BA23" s="51">
        <v>0</v>
      </c>
      <c r="BB23" s="51">
        <f t="shared" si="21"/>
        <v>1500</v>
      </c>
      <c r="BC23" s="51">
        <f t="shared" si="22"/>
        <v>0</v>
      </c>
      <c r="BD23" s="51" t="e">
        <f t="shared" si="23"/>
        <v>#DIV/0!</v>
      </c>
      <c r="BE23" s="52">
        <v>0</v>
      </c>
      <c r="BF23" s="37">
        <v>0</v>
      </c>
      <c r="BG23" s="37">
        <v>0</v>
      </c>
      <c r="BH23" s="37">
        <f t="shared" si="24"/>
        <v>0</v>
      </c>
      <c r="BI23" s="52">
        <v>750</v>
      </c>
      <c r="BJ23" s="37">
        <v>0</v>
      </c>
      <c r="BK23" s="52">
        <f t="shared" si="25"/>
        <v>750</v>
      </c>
      <c r="BL23" s="52">
        <f t="shared" si="26"/>
        <v>0</v>
      </c>
      <c r="BM23" s="52" t="e">
        <f t="shared" si="27"/>
        <v>#DIV/0!</v>
      </c>
      <c r="BN23" s="53">
        <v>0</v>
      </c>
      <c r="BO23" s="38">
        <v>0</v>
      </c>
      <c r="BP23" s="38">
        <v>0</v>
      </c>
      <c r="BQ23" s="53">
        <f t="shared" si="28"/>
        <v>0</v>
      </c>
      <c r="BR23" s="53">
        <v>2450</v>
      </c>
      <c r="BS23" s="38">
        <v>0</v>
      </c>
      <c r="BT23" s="53">
        <f t="shared" si="29"/>
        <v>2450</v>
      </c>
      <c r="BU23" s="53">
        <f t="shared" si="30"/>
        <v>0</v>
      </c>
      <c r="BV23" s="53" t="e">
        <f t="shared" si="31"/>
        <v>#DIV/0!</v>
      </c>
      <c r="BW23" s="54">
        <v>0</v>
      </c>
      <c r="BX23" s="39">
        <v>0</v>
      </c>
      <c r="BY23" s="39">
        <v>0</v>
      </c>
      <c r="BZ23" s="54">
        <f t="shared" si="32"/>
        <v>0</v>
      </c>
      <c r="CA23" s="54">
        <v>750</v>
      </c>
      <c r="CB23" s="54">
        <v>0</v>
      </c>
      <c r="CC23" s="54">
        <f t="shared" si="33"/>
        <v>750</v>
      </c>
      <c r="CD23" s="54">
        <f t="shared" si="34"/>
        <v>0</v>
      </c>
      <c r="CE23" s="54" t="e">
        <f t="shared" si="35"/>
        <v>#DIV/0!</v>
      </c>
      <c r="CF23" s="55">
        <v>0</v>
      </c>
      <c r="CG23" s="55">
        <v>0</v>
      </c>
      <c r="CH23" s="55">
        <v>0</v>
      </c>
      <c r="CI23" s="55">
        <f t="shared" si="36"/>
        <v>0</v>
      </c>
      <c r="CJ23" s="55">
        <v>730</v>
      </c>
      <c r="CK23" s="55">
        <v>0</v>
      </c>
      <c r="CL23" s="55">
        <f t="shared" si="37"/>
        <v>730</v>
      </c>
      <c r="CM23" s="55">
        <f t="shared" si="38"/>
        <v>0</v>
      </c>
      <c r="CN23" s="55" t="e">
        <f t="shared" si="39"/>
        <v>#DIV/0!</v>
      </c>
      <c r="CO23" s="56">
        <v>0</v>
      </c>
      <c r="CP23" s="56">
        <v>0</v>
      </c>
      <c r="CQ23" s="56">
        <v>0</v>
      </c>
      <c r="CR23" s="56">
        <f t="shared" si="40"/>
        <v>0</v>
      </c>
      <c r="CS23" s="56">
        <v>730</v>
      </c>
      <c r="CT23" s="56">
        <v>0</v>
      </c>
      <c r="CU23" s="56">
        <f t="shared" si="41"/>
        <v>730</v>
      </c>
      <c r="CV23" s="56">
        <f t="shared" si="42"/>
        <v>0</v>
      </c>
      <c r="CW23" s="56" t="e">
        <f t="shared" si="43"/>
        <v>#DIV/0!</v>
      </c>
      <c r="CX23" s="57">
        <v>0</v>
      </c>
      <c r="CY23" s="57">
        <v>0</v>
      </c>
      <c r="CZ23" s="57">
        <v>0</v>
      </c>
      <c r="DA23" s="57">
        <f t="shared" si="44"/>
        <v>0</v>
      </c>
      <c r="DB23" s="57">
        <v>600</v>
      </c>
      <c r="DC23" s="57">
        <v>0</v>
      </c>
      <c r="DD23" s="57">
        <f t="shared" si="45"/>
        <v>600</v>
      </c>
      <c r="DE23" s="57">
        <f t="shared" si="46"/>
        <v>0</v>
      </c>
      <c r="DF23" s="57" t="e">
        <f t="shared" si="47"/>
        <v>#DIV/0!</v>
      </c>
    </row>
    <row r="24" spans="1:110" ht="14.25" customHeight="1">
      <c r="A24" s="43"/>
      <c r="B24" s="44"/>
      <c r="C24" s="45">
        <v>0</v>
      </c>
      <c r="D24" s="30">
        <v>0</v>
      </c>
      <c r="E24" s="30">
        <v>0</v>
      </c>
      <c r="F24" s="45">
        <f t="shared" si="0"/>
        <v>0</v>
      </c>
      <c r="G24" s="45">
        <v>900</v>
      </c>
      <c r="H24" s="30">
        <v>0</v>
      </c>
      <c r="I24" s="45">
        <f t="shared" si="1"/>
        <v>900</v>
      </c>
      <c r="J24" s="45">
        <f t="shared" si="2"/>
        <v>0</v>
      </c>
      <c r="K24" s="46" t="e">
        <f t="shared" si="3"/>
        <v>#DIV/0!</v>
      </c>
      <c r="L24" s="47">
        <v>0</v>
      </c>
      <c r="M24" s="32">
        <v>0</v>
      </c>
      <c r="N24" s="32">
        <v>0</v>
      </c>
      <c r="O24" s="47">
        <f t="shared" si="4"/>
        <v>0</v>
      </c>
      <c r="P24" s="47">
        <v>1800</v>
      </c>
      <c r="Q24" s="47">
        <v>0</v>
      </c>
      <c r="R24" s="47">
        <f t="shared" si="5"/>
        <v>1800</v>
      </c>
      <c r="S24" s="47">
        <f t="shared" si="6"/>
        <v>0</v>
      </c>
      <c r="T24" s="47" t="e">
        <f t="shared" si="7"/>
        <v>#DIV/0!</v>
      </c>
      <c r="U24" s="48">
        <v>0</v>
      </c>
      <c r="V24" s="48">
        <v>0</v>
      </c>
      <c r="W24" s="48">
        <v>0</v>
      </c>
      <c r="X24" s="48">
        <f t="shared" si="8"/>
        <v>0</v>
      </c>
      <c r="Y24" s="48">
        <v>910</v>
      </c>
      <c r="Z24" s="33">
        <v>0</v>
      </c>
      <c r="AA24" s="48">
        <f t="shared" si="9"/>
        <v>910</v>
      </c>
      <c r="AB24" s="48">
        <f t="shared" si="10"/>
        <v>0</v>
      </c>
      <c r="AC24" s="48" t="e">
        <f t="shared" si="11"/>
        <v>#DIV/0!</v>
      </c>
      <c r="AD24" s="49">
        <v>0</v>
      </c>
      <c r="AE24" s="49">
        <v>0</v>
      </c>
      <c r="AF24" s="49">
        <v>0</v>
      </c>
      <c r="AG24" s="49">
        <f t="shared" si="12"/>
        <v>0</v>
      </c>
      <c r="AH24" s="49">
        <v>1200</v>
      </c>
      <c r="AI24" s="49">
        <v>0</v>
      </c>
      <c r="AJ24" s="49">
        <f t="shared" si="13"/>
        <v>1200</v>
      </c>
      <c r="AK24" s="49">
        <f t="shared" si="14"/>
        <v>0</v>
      </c>
      <c r="AL24" s="49" t="e">
        <f t="shared" si="15"/>
        <v>#DIV/0!</v>
      </c>
      <c r="AM24" s="50">
        <v>0</v>
      </c>
      <c r="AN24" s="50">
        <v>0</v>
      </c>
      <c r="AO24" s="50">
        <v>0</v>
      </c>
      <c r="AP24" s="50">
        <f t="shared" si="16"/>
        <v>0</v>
      </c>
      <c r="AQ24" s="50">
        <v>600</v>
      </c>
      <c r="AR24" s="50">
        <v>0</v>
      </c>
      <c r="AS24" s="50">
        <f t="shared" si="17"/>
        <v>600</v>
      </c>
      <c r="AT24" s="50">
        <f t="shared" si="18"/>
        <v>0</v>
      </c>
      <c r="AU24" s="50" t="e">
        <f t="shared" si="19"/>
        <v>#DIV/0!</v>
      </c>
      <c r="AV24" s="51">
        <v>0</v>
      </c>
      <c r="AW24" s="36">
        <v>0</v>
      </c>
      <c r="AX24" s="36">
        <v>0</v>
      </c>
      <c r="AY24" s="51">
        <f t="shared" si="20"/>
        <v>0</v>
      </c>
      <c r="AZ24" s="51">
        <v>1500</v>
      </c>
      <c r="BA24" s="51">
        <v>0</v>
      </c>
      <c r="BB24" s="51">
        <f t="shared" si="21"/>
        <v>1500</v>
      </c>
      <c r="BC24" s="51">
        <f t="shared" si="22"/>
        <v>0</v>
      </c>
      <c r="BD24" s="51" t="e">
        <f t="shared" si="23"/>
        <v>#DIV/0!</v>
      </c>
      <c r="BE24" s="52">
        <v>0</v>
      </c>
      <c r="BF24" s="37">
        <v>0</v>
      </c>
      <c r="BG24" s="37">
        <v>0</v>
      </c>
      <c r="BH24" s="37">
        <f t="shared" si="24"/>
        <v>0</v>
      </c>
      <c r="BI24" s="52">
        <v>750</v>
      </c>
      <c r="BJ24" s="37">
        <v>0</v>
      </c>
      <c r="BK24" s="52">
        <f t="shared" si="25"/>
        <v>750</v>
      </c>
      <c r="BL24" s="52">
        <f t="shared" si="26"/>
        <v>0</v>
      </c>
      <c r="BM24" s="52" t="e">
        <f t="shared" si="27"/>
        <v>#DIV/0!</v>
      </c>
      <c r="BN24" s="53">
        <v>0</v>
      </c>
      <c r="BO24" s="38">
        <v>0</v>
      </c>
      <c r="BP24" s="38">
        <v>0</v>
      </c>
      <c r="BQ24" s="53">
        <f t="shared" si="28"/>
        <v>0</v>
      </c>
      <c r="BR24" s="53">
        <v>2450</v>
      </c>
      <c r="BS24" s="38">
        <v>0</v>
      </c>
      <c r="BT24" s="53">
        <f t="shared" si="29"/>
        <v>2450</v>
      </c>
      <c r="BU24" s="53">
        <f t="shared" si="30"/>
        <v>0</v>
      </c>
      <c r="BV24" s="53" t="e">
        <f t="shared" si="31"/>
        <v>#DIV/0!</v>
      </c>
      <c r="BW24" s="54">
        <v>0</v>
      </c>
      <c r="BX24" s="39">
        <v>0</v>
      </c>
      <c r="BY24" s="39">
        <v>0</v>
      </c>
      <c r="BZ24" s="54">
        <f t="shared" si="32"/>
        <v>0</v>
      </c>
      <c r="CA24" s="54">
        <v>750</v>
      </c>
      <c r="CB24" s="54">
        <v>0</v>
      </c>
      <c r="CC24" s="54">
        <f t="shared" si="33"/>
        <v>750</v>
      </c>
      <c r="CD24" s="54">
        <f t="shared" si="34"/>
        <v>0</v>
      </c>
      <c r="CE24" s="54" t="e">
        <f t="shared" si="35"/>
        <v>#DIV/0!</v>
      </c>
      <c r="CF24" s="55">
        <v>0</v>
      </c>
      <c r="CG24" s="55">
        <v>0</v>
      </c>
      <c r="CH24" s="55">
        <v>0</v>
      </c>
      <c r="CI24" s="55">
        <f t="shared" si="36"/>
        <v>0</v>
      </c>
      <c r="CJ24" s="55">
        <v>730</v>
      </c>
      <c r="CK24" s="55">
        <v>0</v>
      </c>
      <c r="CL24" s="55">
        <f t="shared" si="37"/>
        <v>730</v>
      </c>
      <c r="CM24" s="55">
        <f t="shared" si="38"/>
        <v>0</v>
      </c>
      <c r="CN24" s="55" t="e">
        <f t="shared" si="39"/>
        <v>#DIV/0!</v>
      </c>
      <c r="CO24" s="56">
        <v>0</v>
      </c>
      <c r="CP24" s="56">
        <v>0</v>
      </c>
      <c r="CQ24" s="56">
        <v>0</v>
      </c>
      <c r="CR24" s="56">
        <f t="shared" si="40"/>
        <v>0</v>
      </c>
      <c r="CS24" s="56">
        <v>730</v>
      </c>
      <c r="CT24" s="56">
        <v>0</v>
      </c>
      <c r="CU24" s="56">
        <f t="shared" si="41"/>
        <v>730</v>
      </c>
      <c r="CV24" s="56">
        <f t="shared" si="42"/>
        <v>0</v>
      </c>
      <c r="CW24" s="56" t="e">
        <f t="shared" si="43"/>
        <v>#DIV/0!</v>
      </c>
      <c r="CX24" s="57">
        <v>0</v>
      </c>
      <c r="CY24" s="57">
        <v>0</v>
      </c>
      <c r="CZ24" s="57">
        <v>0</v>
      </c>
      <c r="DA24" s="57">
        <f t="shared" si="44"/>
        <v>0</v>
      </c>
      <c r="DB24" s="57">
        <v>600</v>
      </c>
      <c r="DC24" s="57">
        <v>0</v>
      </c>
      <c r="DD24" s="57">
        <f t="shared" si="45"/>
        <v>600</v>
      </c>
      <c r="DE24" s="57">
        <f t="shared" si="46"/>
        <v>0</v>
      </c>
      <c r="DF24" s="57" t="e">
        <f t="shared" si="47"/>
        <v>#DIV/0!</v>
      </c>
    </row>
    <row r="25" spans="1:110" ht="14.25" customHeight="1">
      <c r="A25" s="43"/>
      <c r="B25" s="44"/>
      <c r="C25" s="45">
        <v>0</v>
      </c>
      <c r="D25" s="30">
        <v>0</v>
      </c>
      <c r="E25" s="30">
        <v>0</v>
      </c>
      <c r="F25" s="45">
        <f t="shared" si="0"/>
        <v>0</v>
      </c>
      <c r="G25" s="45">
        <v>900</v>
      </c>
      <c r="H25" s="30">
        <v>0</v>
      </c>
      <c r="I25" s="45">
        <f t="shared" si="1"/>
        <v>900</v>
      </c>
      <c r="J25" s="45">
        <f t="shared" si="2"/>
        <v>0</v>
      </c>
      <c r="K25" s="46" t="e">
        <f t="shared" si="3"/>
        <v>#DIV/0!</v>
      </c>
      <c r="L25" s="47">
        <v>0</v>
      </c>
      <c r="M25" s="32">
        <v>0</v>
      </c>
      <c r="N25" s="32">
        <v>0</v>
      </c>
      <c r="O25" s="47">
        <f t="shared" si="4"/>
        <v>0</v>
      </c>
      <c r="P25" s="47">
        <v>1800</v>
      </c>
      <c r="Q25" s="47">
        <v>0</v>
      </c>
      <c r="R25" s="47">
        <f t="shared" si="5"/>
        <v>1800</v>
      </c>
      <c r="S25" s="47">
        <f t="shared" si="6"/>
        <v>0</v>
      </c>
      <c r="T25" s="47" t="e">
        <f t="shared" si="7"/>
        <v>#DIV/0!</v>
      </c>
      <c r="U25" s="48">
        <v>0</v>
      </c>
      <c r="V25" s="48">
        <v>0</v>
      </c>
      <c r="W25" s="48">
        <v>0</v>
      </c>
      <c r="X25" s="48">
        <f t="shared" si="8"/>
        <v>0</v>
      </c>
      <c r="Y25" s="48">
        <v>910</v>
      </c>
      <c r="Z25" s="33">
        <v>0</v>
      </c>
      <c r="AA25" s="48">
        <f t="shared" si="9"/>
        <v>910</v>
      </c>
      <c r="AB25" s="48">
        <f t="shared" si="10"/>
        <v>0</v>
      </c>
      <c r="AC25" s="48" t="e">
        <f t="shared" si="11"/>
        <v>#DIV/0!</v>
      </c>
      <c r="AD25" s="49">
        <v>0</v>
      </c>
      <c r="AE25" s="49">
        <v>0</v>
      </c>
      <c r="AF25" s="49">
        <v>0</v>
      </c>
      <c r="AG25" s="49">
        <f t="shared" si="12"/>
        <v>0</v>
      </c>
      <c r="AH25" s="49">
        <v>1200</v>
      </c>
      <c r="AI25" s="49">
        <v>0</v>
      </c>
      <c r="AJ25" s="49">
        <f t="shared" si="13"/>
        <v>1200</v>
      </c>
      <c r="AK25" s="49">
        <f t="shared" si="14"/>
        <v>0</v>
      </c>
      <c r="AL25" s="49" t="e">
        <f t="shared" si="15"/>
        <v>#DIV/0!</v>
      </c>
      <c r="AM25" s="50">
        <v>0</v>
      </c>
      <c r="AN25" s="50">
        <v>0</v>
      </c>
      <c r="AO25" s="50">
        <v>0</v>
      </c>
      <c r="AP25" s="50">
        <f t="shared" si="16"/>
        <v>0</v>
      </c>
      <c r="AQ25" s="50">
        <v>600</v>
      </c>
      <c r="AR25" s="50">
        <v>0</v>
      </c>
      <c r="AS25" s="50">
        <f t="shared" si="17"/>
        <v>600</v>
      </c>
      <c r="AT25" s="50">
        <f t="shared" si="18"/>
        <v>0</v>
      </c>
      <c r="AU25" s="50" t="e">
        <f t="shared" si="19"/>
        <v>#DIV/0!</v>
      </c>
      <c r="AV25" s="51">
        <v>0</v>
      </c>
      <c r="AW25" s="36">
        <v>0</v>
      </c>
      <c r="AX25" s="36">
        <v>0</v>
      </c>
      <c r="AY25" s="51">
        <f t="shared" si="20"/>
        <v>0</v>
      </c>
      <c r="AZ25" s="51">
        <v>1500</v>
      </c>
      <c r="BA25" s="51">
        <v>0</v>
      </c>
      <c r="BB25" s="51">
        <f t="shared" si="21"/>
        <v>1500</v>
      </c>
      <c r="BC25" s="51">
        <f t="shared" si="22"/>
        <v>0</v>
      </c>
      <c r="BD25" s="51" t="e">
        <f t="shared" si="23"/>
        <v>#DIV/0!</v>
      </c>
      <c r="BE25" s="52">
        <v>0</v>
      </c>
      <c r="BF25" s="37">
        <v>0</v>
      </c>
      <c r="BG25" s="37">
        <v>0</v>
      </c>
      <c r="BH25" s="37">
        <f t="shared" si="24"/>
        <v>0</v>
      </c>
      <c r="BI25" s="52">
        <v>750</v>
      </c>
      <c r="BJ25" s="37">
        <v>0</v>
      </c>
      <c r="BK25" s="52">
        <f t="shared" si="25"/>
        <v>750</v>
      </c>
      <c r="BL25" s="52">
        <f t="shared" si="26"/>
        <v>0</v>
      </c>
      <c r="BM25" s="52" t="e">
        <f t="shared" si="27"/>
        <v>#DIV/0!</v>
      </c>
      <c r="BN25" s="53">
        <v>0</v>
      </c>
      <c r="BO25" s="38">
        <v>0</v>
      </c>
      <c r="BP25" s="38">
        <v>0</v>
      </c>
      <c r="BQ25" s="53">
        <f t="shared" si="28"/>
        <v>0</v>
      </c>
      <c r="BR25" s="53">
        <v>2450</v>
      </c>
      <c r="BS25" s="38">
        <v>0</v>
      </c>
      <c r="BT25" s="53">
        <f t="shared" si="29"/>
        <v>2450</v>
      </c>
      <c r="BU25" s="53">
        <f t="shared" si="30"/>
        <v>0</v>
      </c>
      <c r="BV25" s="53" t="e">
        <f t="shared" si="31"/>
        <v>#DIV/0!</v>
      </c>
      <c r="BW25" s="54">
        <v>0</v>
      </c>
      <c r="BX25" s="39">
        <v>0</v>
      </c>
      <c r="BY25" s="39">
        <v>0</v>
      </c>
      <c r="BZ25" s="54">
        <f t="shared" si="32"/>
        <v>0</v>
      </c>
      <c r="CA25" s="54">
        <v>750</v>
      </c>
      <c r="CB25" s="54">
        <v>0</v>
      </c>
      <c r="CC25" s="54">
        <f t="shared" si="33"/>
        <v>750</v>
      </c>
      <c r="CD25" s="54">
        <f t="shared" si="34"/>
        <v>0</v>
      </c>
      <c r="CE25" s="54" t="e">
        <f t="shared" si="35"/>
        <v>#DIV/0!</v>
      </c>
      <c r="CF25" s="55">
        <v>0</v>
      </c>
      <c r="CG25" s="55">
        <v>0</v>
      </c>
      <c r="CH25" s="55">
        <v>0</v>
      </c>
      <c r="CI25" s="55">
        <f t="shared" si="36"/>
        <v>0</v>
      </c>
      <c r="CJ25" s="55">
        <v>730</v>
      </c>
      <c r="CK25" s="55">
        <v>0</v>
      </c>
      <c r="CL25" s="55">
        <f t="shared" si="37"/>
        <v>730</v>
      </c>
      <c r="CM25" s="55">
        <f t="shared" si="38"/>
        <v>0</v>
      </c>
      <c r="CN25" s="55" t="e">
        <f t="shared" si="39"/>
        <v>#DIV/0!</v>
      </c>
      <c r="CO25" s="56">
        <v>0</v>
      </c>
      <c r="CP25" s="56">
        <v>0</v>
      </c>
      <c r="CQ25" s="56">
        <v>0</v>
      </c>
      <c r="CR25" s="56">
        <f t="shared" si="40"/>
        <v>0</v>
      </c>
      <c r="CS25" s="56">
        <v>730</v>
      </c>
      <c r="CT25" s="56">
        <v>0</v>
      </c>
      <c r="CU25" s="56">
        <f t="shared" si="41"/>
        <v>730</v>
      </c>
      <c r="CV25" s="56">
        <f t="shared" si="42"/>
        <v>0</v>
      </c>
      <c r="CW25" s="56" t="e">
        <f t="shared" si="43"/>
        <v>#DIV/0!</v>
      </c>
      <c r="CX25" s="57">
        <v>0</v>
      </c>
      <c r="CY25" s="57">
        <v>0</v>
      </c>
      <c r="CZ25" s="57">
        <v>0</v>
      </c>
      <c r="DA25" s="57">
        <f t="shared" si="44"/>
        <v>0</v>
      </c>
      <c r="DB25" s="57">
        <v>600</v>
      </c>
      <c r="DC25" s="57">
        <v>0</v>
      </c>
      <c r="DD25" s="57">
        <f t="shared" si="45"/>
        <v>600</v>
      </c>
      <c r="DE25" s="57">
        <f t="shared" si="46"/>
        <v>0</v>
      </c>
      <c r="DF25" s="57" t="e">
        <f t="shared" si="47"/>
        <v>#DIV/0!</v>
      </c>
    </row>
    <row r="26" spans="1:110" ht="14.25" customHeight="1">
      <c r="A26" s="43"/>
      <c r="B26" s="44"/>
      <c r="C26" s="45">
        <v>0</v>
      </c>
      <c r="D26" s="30">
        <v>0</v>
      </c>
      <c r="E26" s="30">
        <v>0</v>
      </c>
      <c r="F26" s="45">
        <f t="shared" si="0"/>
        <v>0</v>
      </c>
      <c r="G26" s="45">
        <v>900</v>
      </c>
      <c r="H26" s="30">
        <v>0</v>
      </c>
      <c r="I26" s="45">
        <f t="shared" si="1"/>
        <v>900</v>
      </c>
      <c r="J26" s="45">
        <f t="shared" si="2"/>
        <v>0</v>
      </c>
      <c r="K26" s="46" t="e">
        <f t="shared" si="3"/>
        <v>#DIV/0!</v>
      </c>
      <c r="L26" s="47">
        <v>0</v>
      </c>
      <c r="M26" s="32">
        <v>0</v>
      </c>
      <c r="N26" s="32">
        <v>0</v>
      </c>
      <c r="O26" s="47">
        <f t="shared" si="4"/>
        <v>0</v>
      </c>
      <c r="P26" s="47">
        <v>1800</v>
      </c>
      <c r="Q26" s="47">
        <v>0</v>
      </c>
      <c r="R26" s="47">
        <f t="shared" si="5"/>
        <v>1800</v>
      </c>
      <c r="S26" s="47">
        <f t="shared" si="6"/>
        <v>0</v>
      </c>
      <c r="T26" s="47" t="e">
        <f t="shared" si="7"/>
        <v>#DIV/0!</v>
      </c>
      <c r="U26" s="48">
        <v>0</v>
      </c>
      <c r="V26" s="48">
        <v>0</v>
      </c>
      <c r="W26" s="48">
        <v>0</v>
      </c>
      <c r="X26" s="48">
        <f t="shared" si="8"/>
        <v>0</v>
      </c>
      <c r="Y26" s="48">
        <v>910</v>
      </c>
      <c r="Z26" s="33">
        <v>0</v>
      </c>
      <c r="AA26" s="48">
        <f t="shared" si="9"/>
        <v>910</v>
      </c>
      <c r="AB26" s="48">
        <f t="shared" si="10"/>
        <v>0</v>
      </c>
      <c r="AC26" s="48" t="e">
        <f t="shared" si="11"/>
        <v>#DIV/0!</v>
      </c>
      <c r="AD26" s="49">
        <v>0</v>
      </c>
      <c r="AE26" s="49">
        <v>0</v>
      </c>
      <c r="AF26" s="49">
        <v>0</v>
      </c>
      <c r="AG26" s="49">
        <f t="shared" si="12"/>
        <v>0</v>
      </c>
      <c r="AH26" s="49">
        <v>1200</v>
      </c>
      <c r="AI26" s="49">
        <v>0</v>
      </c>
      <c r="AJ26" s="49">
        <f t="shared" si="13"/>
        <v>1200</v>
      </c>
      <c r="AK26" s="49">
        <f t="shared" si="14"/>
        <v>0</v>
      </c>
      <c r="AL26" s="49" t="e">
        <f t="shared" si="15"/>
        <v>#DIV/0!</v>
      </c>
      <c r="AM26" s="50">
        <v>0</v>
      </c>
      <c r="AN26" s="50">
        <v>0</v>
      </c>
      <c r="AO26" s="50">
        <v>0</v>
      </c>
      <c r="AP26" s="50">
        <f t="shared" si="16"/>
        <v>0</v>
      </c>
      <c r="AQ26" s="50">
        <v>600</v>
      </c>
      <c r="AR26" s="50">
        <v>0</v>
      </c>
      <c r="AS26" s="50">
        <f t="shared" si="17"/>
        <v>600</v>
      </c>
      <c r="AT26" s="50">
        <f t="shared" si="18"/>
        <v>0</v>
      </c>
      <c r="AU26" s="50" t="e">
        <f t="shared" si="19"/>
        <v>#DIV/0!</v>
      </c>
      <c r="AV26" s="51">
        <v>0</v>
      </c>
      <c r="AW26" s="36">
        <v>0</v>
      </c>
      <c r="AX26" s="36">
        <v>0</v>
      </c>
      <c r="AY26" s="51">
        <f t="shared" si="20"/>
        <v>0</v>
      </c>
      <c r="AZ26" s="51">
        <v>1500</v>
      </c>
      <c r="BA26" s="51">
        <v>0</v>
      </c>
      <c r="BB26" s="51">
        <f t="shared" si="21"/>
        <v>1500</v>
      </c>
      <c r="BC26" s="51">
        <f t="shared" si="22"/>
        <v>0</v>
      </c>
      <c r="BD26" s="51" t="e">
        <f t="shared" si="23"/>
        <v>#DIV/0!</v>
      </c>
      <c r="BE26" s="52">
        <v>0</v>
      </c>
      <c r="BF26" s="37">
        <v>0</v>
      </c>
      <c r="BG26" s="37">
        <v>0</v>
      </c>
      <c r="BH26" s="37">
        <f t="shared" si="24"/>
        <v>0</v>
      </c>
      <c r="BI26" s="52">
        <v>750</v>
      </c>
      <c r="BJ26" s="37">
        <v>0</v>
      </c>
      <c r="BK26" s="52">
        <f t="shared" si="25"/>
        <v>750</v>
      </c>
      <c r="BL26" s="52">
        <f t="shared" si="26"/>
        <v>0</v>
      </c>
      <c r="BM26" s="52" t="e">
        <f t="shared" si="27"/>
        <v>#DIV/0!</v>
      </c>
      <c r="BN26" s="53">
        <v>0</v>
      </c>
      <c r="BO26" s="38">
        <v>0</v>
      </c>
      <c r="BP26" s="38">
        <v>0</v>
      </c>
      <c r="BQ26" s="53">
        <f t="shared" si="28"/>
        <v>0</v>
      </c>
      <c r="BR26" s="53">
        <v>2450</v>
      </c>
      <c r="BS26" s="38">
        <v>0</v>
      </c>
      <c r="BT26" s="53">
        <f t="shared" si="29"/>
        <v>2450</v>
      </c>
      <c r="BU26" s="53">
        <f t="shared" si="30"/>
        <v>0</v>
      </c>
      <c r="BV26" s="53" t="e">
        <f t="shared" si="31"/>
        <v>#DIV/0!</v>
      </c>
      <c r="BW26" s="54">
        <v>0</v>
      </c>
      <c r="BX26" s="39">
        <v>0</v>
      </c>
      <c r="BY26" s="39">
        <v>0</v>
      </c>
      <c r="BZ26" s="54">
        <f t="shared" si="32"/>
        <v>0</v>
      </c>
      <c r="CA26" s="54">
        <v>750</v>
      </c>
      <c r="CB26" s="54">
        <v>0</v>
      </c>
      <c r="CC26" s="54">
        <f t="shared" si="33"/>
        <v>750</v>
      </c>
      <c r="CD26" s="54">
        <f t="shared" si="34"/>
        <v>0</v>
      </c>
      <c r="CE26" s="54" t="e">
        <f t="shared" si="35"/>
        <v>#DIV/0!</v>
      </c>
      <c r="CF26" s="55">
        <v>0</v>
      </c>
      <c r="CG26" s="55">
        <v>0</v>
      </c>
      <c r="CH26" s="55">
        <v>0</v>
      </c>
      <c r="CI26" s="55">
        <f t="shared" si="36"/>
        <v>0</v>
      </c>
      <c r="CJ26" s="55">
        <v>730</v>
      </c>
      <c r="CK26" s="55">
        <v>0</v>
      </c>
      <c r="CL26" s="55">
        <f t="shared" si="37"/>
        <v>730</v>
      </c>
      <c r="CM26" s="55">
        <f t="shared" si="38"/>
        <v>0</v>
      </c>
      <c r="CN26" s="55" t="e">
        <f t="shared" si="39"/>
        <v>#DIV/0!</v>
      </c>
      <c r="CO26" s="56">
        <v>0</v>
      </c>
      <c r="CP26" s="56">
        <v>0</v>
      </c>
      <c r="CQ26" s="56">
        <v>0</v>
      </c>
      <c r="CR26" s="56">
        <f t="shared" si="40"/>
        <v>0</v>
      </c>
      <c r="CS26" s="56">
        <v>730</v>
      </c>
      <c r="CT26" s="56">
        <v>0</v>
      </c>
      <c r="CU26" s="56">
        <f t="shared" si="41"/>
        <v>730</v>
      </c>
      <c r="CV26" s="56">
        <f t="shared" si="42"/>
        <v>0</v>
      </c>
      <c r="CW26" s="56" t="e">
        <f t="shared" si="43"/>
        <v>#DIV/0!</v>
      </c>
      <c r="CX26" s="57">
        <v>0</v>
      </c>
      <c r="CY26" s="57">
        <v>0</v>
      </c>
      <c r="CZ26" s="57">
        <v>0</v>
      </c>
      <c r="DA26" s="57">
        <f t="shared" si="44"/>
        <v>0</v>
      </c>
      <c r="DB26" s="57">
        <v>600</v>
      </c>
      <c r="DC26" s="57">
        <v>0</v>
      </c>
      <c r="DD26" s="57">
        <f t="shared" si="45"/>
        <v>600</v>
      </c>
      <c r="DE26" s="57">
        <f t="shared" si="46"/>
        <v>0</v>
      </c>
      <c r="DF26" s="57" t="e">
        <f t="shared" si="47"/>
        <v>#DIV/0!</v>
      </c>
    </row>
    <row r="27" spans="1:110" ht="14.25" customHeight="1">
      <c r="A27" s="43"/>
      <c r="B27" s="44"/>
      <c r="C27" s="45">
        <v>0</v>
      </c>
      <c r="D27" s="30">
        <v>0</v>
      </c>
      <c r="E27" s="30">
        <v>0</v>
      </c>
      <c r="F27" s="45">
        <f t="shared" si="0"/>
        <v>0</v>
      </c>
      <c r="G27" s="45">
        <v>900</v>
      </c>
      <c r="H27" s="30">
        <v>0</v>
      </c>
      <c r="I27" s="45">
        <f t="shared" si="1"/>
        <v>900</v>
      </c>
      <c r="J27" s="45">
        <f t="shared" si="2"/>
        <v>0</v>
      </c>
      <c r="K27" s="46" t="e">
        <f t="shared" si="3"/>
        <v>#DIV/0!</v>
      </c>
      <c r="L27" s="47">
        <v>0</v>
      </c>
      <c r="M27" s="32">
        <v>0</v>
      </c>
      <c r="N27" s="32">
        <v>0</v>
      </c>
      <c r="O27" s="47">
        <f t="shared" si="4"/>
        <v>0</v>
      </c>
      <c r="P27" s="47">
        <v>1800</v>
      </c>
      <c r="Q27" s="47">
        <v>0</v>
      </c>
      <c r="R27" s="47">
        <f t="shared" si="5"/>
        <v>1800</v>
      </c>
      <c r="S27" s="47">
        <f t="shared" si="6"/>
        <v>0</v>
      </c>
      <c r="T27" s="47" t="e">
        <f t="shared" si="7"/>
        <v>#DIV/0!</v>
      </c>
      <c r="U27" s="48">
        <v>0</v>
      </c>
      <c r="V27" s="48">
        <v>0</v>
      </c>
      <c r="W27" s="48">
        <v>0</v>
      </c>
      <c r="X27" s="48">
        <f t="shared" si="8"/>
        <v>0</v>
      </c>
      <c r="Y27" s="48">
        <v>910</v>
      </c>
      <c r="Z27" s="33">
        <v>0</v>
      </c>
      <c r="AA27" s="48">
        <f t="shared" si="9"/>
        <v>910</v>
      </c>
      <c r="AB27" s="48">
        <f t="shared" si="10"/>
        <v>0</v>
      </c>
      <c r="AC27" s="48" t="e">
        <f t="shared" si="11"/>
        <v>#DIV/0!</v>
      </c>
      <c r="AD27" s="49">
        <v>0</v>
      </c>
      <c r="AE27" s="49">
        <v>0</v>
      </c>
      <c r="AF27" s="49">
        <v>0</v>
      </c>
      <c r="AG27" s="49">
        <f t="shared" si="12"/>
        <v>0</v>
      </c>
      <c r="AH27" s="49">
        <v>1200</v>
      </c>
      <c r="AI27" s="49">
        <v>0</v>
      </c>
      <c r="AJ27" s="49">
        <f t="shared" si="13"/>
        <v>1200</v>
      </c>
      <c r="AK27" s="49">
        <f t="shared" si="14"/>
        <v>0</v>
      </c>
      <c r="AL27" s="49" t="e">
        <f t="shared" si="15"/>
        <v>#DIV/0!</v>
      </c>
      <c r="AM27" s="50">
        <v>0</v>
      </c>
      <c r="AN27" s="50">
        <v>0</v>
      </c>
      <c r="AO27" s="50">
        <v>0</v>
      </c>
      <c r="AP27" s="50">
        <f t="shared" si="16"/>
        <v>0</v>
      </c>
      <c r="AQ27" s="50">
        <v>600</v>
      </c>
      <c r="AR27" s="50">
        <v>0</v>
      </c>
      <c r="AS27" s="50">
        <f t="shared" si="17"/>
        <v>600</v>
      </c>
      <c r="AT27" s="50">
        <f t="shared" si="18"/>
        <v>0</v>
      </c>
      <c r="AU27" s="50" t="e">
        <f t="shared" si="19"/>
        <v>#DIV/0!</v>
      </c>
      <c r="AV27" s="51">
        <v>0</v>
      </c>
      <c r="AW27" s="36">
        <v>0</v>
      </c>
      <c r="AX27" s="36">
        <v>0</v>
      </c>
      <c r="AY27" s="51">
        <f t="shared" si="20"/>
        <v>0</v>
      </c>
      <c r="AZ27" s="51">
        <v>1500</v>
      </c>
      <c r="BA27" s="51">
        <v>0</v>
      </c>
      <c r="BB27" s="51">
        <f t="shared" si="21"/>
        <v>1500</v>
      </c>
      <c r="BC27" s="51">
        <f t="shared" si="22"/>
        <v>0</v>
      </c>
      <c r="BD27" s="51" t="e">
        <f t="shared" si="23"/>
        <v>#DIV/0!</v>
      </c>
      <c r="BE27" s="52">
        <v>0</v>
      </c>
      <c r="BF27" s="37">
        <v>0</v>
      </c>
      <c r="BG27" s="37">
        <v>0</v>
      </c>
      <c r="BH27" s="37">
        <f t="shared" si="24"/>
        <v>0</v>
      </c>
      <c r="BI27" s="52">
        <v>750</v>
      </c>
      <c r="BJ27" s="37">
        <v>0</v>
      </c>
      <c r="BK27" s="52">
        <f t="shared" si="25"/>
        <v>750</v>
      </c>
      <c r="BL27" s="52">
        <f t="shared" si="26"/>
        <v>0</v>
      </c>
      <c r="BM27" s="52" t="e">
        <f t="shared" si="27"/>
        <v>#DIV/0!</v>
      </c>
      <c r="BN27" s="53">
        <v>0</v>
      </c>
      <c r="BO27" s="38">
        <v>0</v>
      </c>
      <c r="BP27" s="38">
        <v>0</v>
      </c>
      <c r="BQ27" s="53">
        <f t="shared" si="28"/>
        <v>0</v>
      </c>
      <c r="BR27" s="53">
        <v>2450</v>
      </c>
      <c r="BS27" s="38">
        <v>0</v>
      </c>
      <c r="BT27" s="53">
        <f t="shared" si="29"/>
        <v>2450</v>
      </c>
      <c r="BU27" s="53">
        <f t="shared" si="30"/>
        <v>0</v>
      </c>
      <c r="BV27" s="53" t="e">
        <f t="shared" si="31"/>
        <v>#DIV/0!</v>
      </c>
      <c r="BW27" s="54">
        <v>0</v>
      </c>
      <c r="BX27" s="39">
        <v>0</v>
      </c>
      <c r="BY27" s="39">
        <v>0</v>
      </c>
      <c r="BZ27" s="54">
        <f t="shared" si="32"/>
        <v>0</v>
      </c>
      <c r="CA27" s="54">
        <v>750</v>
      </c>
      <c r="CB27" s="54">
        <v>0</v>
      </c>
      <c r="CC27" s="54">
        <f t="shared" si="33"/>
        <v>750</v>
      </c>
      <c r="CD27" s="54">
        <f t="shared" si="34"/>
        <v>0</v>
      </c>
      <c r="CE27" s="54" t="e">
        <f t="shared" si="35"/>
        <v>#DIV/0!</v>
      </c>
      <c r="CF27" s="55">
        <v>0</v>
      </c>
      <c r="CG27" s="55">
        <v>0</v>
      </c>
      <c r="CH27" s="55">
        <v>0</v>
      </c>
      <c r="CI27" s="55">
        <f t="shared" si="36"/>
        <v>0</v>
      </c>
      <c r="CJ27" s="55">
        <v>730</v>
      </c>
      <c r="CK27" s="55">
        <v>0</v>
      </c>
      <c r="CL27" s="55">
        <f t="shared" si="37"/>
        <v>730</v>
      </c>
      <c r="CM27" s="55">
        <f t="shared" si="38"/>
        <v>0</v>
      </c>
      <c r="CN27" s="55" t="e">
        <f t="shared" si="39"/>
        <v>#DIV/0!</v>
      </c>
      <c r="CO27" s="56">
        <v>0</v>
      </c>
      <c r="CP27" s="56">
        <v>0</v>
      </c>
      <c r="CQ27" s="56">
        <v>0</v>
      </c>
      <c r="CR27" s="56">
        <f t="shared" si="40"/>
        <v>0</v>
      </c>
      <c r="CS27" s="56">
        <v>730</v>
      </c>
      <c r="CT27" s="56">
        <v>0</v>
      </c>
      <c r="CU27" s="56">
        <f t="shared" si="41"/>
        <v>730</v>
      </c>
      <c r="CV27" s="56">
        <f t="shared" si="42"/>
        <v>0</v>
      </c>
      <c r="CW27" s="56" t="e">
        <f t="shared" si="43"/>
        <v>#DIV/0!</v>
      </c>
      <c r="CX27" s="57">
        <v>0</v>
      </c>
      <c r="CY27" s="57">
        <v>0</v>
      </c>
      <c r="CZ27" s="57">
        <v>0</v>
      </c>
      <c r="DA27" s="57">
        <f t="shared" si="44"/>
        <v>0</v>
      </c>
      <c r="DB27" s="57">
        <v>600</v>
      </c>
      <c r="DC27" s="57">
        <v>0</v>
      </c>
      <c r="DD27" s="57">
        <f t="shared" si="45"/>
        <v>600</v>
      </c>
      <c r="DE27" s="57">
        <f t="shared" si="46"/>
        <v>0</v>
      </c>
      <c r="DF27" s="57" t="e">
        <f t="shared" si="47"/>
        <v>#DIV/0!</v>
      </c>
    </row>
    <row r="28" spans="1:110" ht="14.25" customHeight="1">
      <c r="A28" s="43"/>
      <c r="B28" s="44"/>
      <c r="C28" s="45">
        <v>0</v>
      </c>
      <c r="D28" s="30">
        <v>0</v>
      </c>
      <c r="E28" s="30">
        <v>0</v>
      </c>
      <c r="F28" s="45">
        <f t="shared" si="0"/>
        <v>0</v>
      </c>
      <c r="G28" s="45">
        <v>900</v>
      </c>
      <c r="H28" s="30">
        <v>0</v>
      </c>
      <c r="I28" s="45">
        <f t="shared" si="1"/>
        <v>900</v>
      </c>
      <c r="J28" s="45">
        <f t="shared" si="2"/>
        <v>0</v>
      </c>
      <c r="K28" s="46" t="e">
        <f t="shared" si="3"/>
        <v>#DIV/0!</v>
      </c>
      <c r="L28" s="47">
        <v>0</v>
      </c>
      <c r="M28" s="32">
        <v>0</v>
      </c>
      <c r="N28" s="32">
        <v>0</v>
      </c>
      <c r="O28" s="47">
        <f t="shared" si="4"/>
        <v>0</v>
      </c>
      <c r="P28" s="47">
        <v>1800</v>
      </c>
      <c r="Q28" s="47">
        <v>0</v>
      </c>
      <c r="R28" s="47">
        <f t="shared" si="5"/>
        <v>1800</v>
      </c>
      <c r="S28" s="47">
        <f t="shared" si="6"/>
        <v>0</v>
      </c>
      <c r="T28" s="47" t="e">
        <f t="shared" si="7"/>
        <v>#DIV/0!</v>
      </c>
      <c r="U28" s="48">
        <v>0</v>
      </c>
      <c r="V28" s="48">
        <v>0</v>
      </c>
      <c r="W28" s="48">
        <v>0</v>
      </c>
      <c r="X28" s="48">
        <f t="shared" si="8"/>
        <v>0</v>
      </c>
      <c r="Y28" s="48">
        <v>910</v>
      </c>
      <c r="Z28" s="33">
        <v>0</v>
      </c>
      <c r="AA28" s="48">
        <f t="shared" si="9"/>
        <v>910</v>
      </c>
      <c r="AB28" s="48">
        <f t="shared" si="10"/>
        <v>0</v>
      </c>
      <c r="AC28" s="48" t="e">
        <f t="shared" si="11"/>
        <v>#DIV/0!</v>
      </c>
      <c r="AD28" s="49">
        <v>0</v>
      </c>
      <c r="AE28" s="49">
        <v>0</v>
      </c>
      <c r="AF28" s="49">
        <v>0</v>
      </c>
      <c r="AG28" s="49">
        <f t="shared" si="12"/>
        <v>0</v>
      </c>
      <c r="AH28" s="49">
        <v>1200</v>
      </c>
      <c r="AI28" s="49">
        <v>0</v>
      </c>
      <c r="AJ28" s="49">
        <f t="shared" si="13"/>
        <v>1200</v>
      </c>
      <c r="AK28" s="49">
        <f t="shared" si="14"/>
        <v>0</v>
      </c>
      <c r="AL28" s="49" t="e">
        <f t="shared" si="15"/>
        <v>#DIV/0!</v>
      </c>
      <c r="AM28" s="50">
        <v>0</v>
      </c>
      <c r="AN28" s="50">
        <v>0</v>
      </c>
      <c r="AO28" s="50">
        <v>0</v>
      </c>
      <c r="AP28" s="50">
        <f t="shared" si="16"/>
        <v>0</v>
      </c>
      <c r="AQ28" s="50">
        <v>600</v>
      </c>
      <c r="AR28" s="50">
        <v>0</v>
      </c>
      <c r="AS28" s="50">
        <f t="shared" si="17"/>
        <v>600</v>
      </c>
      <c r="AT28" s="50">
        <f t="shared" si="18"/>
        <v>0</v>
      </c>
      <c r="AU28" s="50" t="e">
        <f t="shared" si="19"/>
        <v>#DIV/0!</v>
      </c>
      <c r="AV28" s="51">
        <v>0</v>
      </c>
      <c r="AW28" s="36">
        <v>0</v>
      </c>
      <c r="AX28" s="36">
        <v>0</v>
      </c>
      <c r="AY28" s="51">
        <f t="shared" si="20"/>
        <v>0</v>
      </c>
      <c r="AZ28" s="51">
        <v>1500</v>
      </c>
      <c r="BA28" s="51">
        <v>0</v>
      </c>
      <c r="BB28" s="51">
        <f t="shared" si="21"/>
        <v>1500</v>
      </c>
      <c r="BC28" s="51">
        <f t="shared" si="22"/>
        <v>0</v>
      </c>
      <c r="BD28" s="51" t="e">
        <f t="shared" si="23"/>
        <v>#DIV/0!</v>
      </c>
      <c r="BE28" s="52">
        <v>0</v>
      </c>
      <c r="BF28" s="37">
        <v>0</v>
      </c>
      <c r="BG28" s="37">
        <v>0</v>
      </c>
      <c r="BH28" s="37">
        <f t="shared" si="24"/>
        <v>0</v>
      </c>
      <c r="BI28" s="52">
        <v>750</v>
      </c>
      <c r="BJ28" s="37">
        <v>0</v>
      </c>
      <c r="BK28" s="52">
        <f t="shared" si="25"/>
        <v>750</v>
      </c>
      <c r="BL28" s="52">
        <f t="shared" si="26"/>
        <v>0</v>
      </c>
      <c r="BM28" s="52" t="e">
        <f t="shared" si="27"/>
        <v>#DIV/0!</v>
      </c>
      <c r="BN28" s="53">
        <v>0</v>
      </c>
      <c r="BO28" s="38">
        <v>0</v>
      </c>
      <c r="BP28" s="38">
        <v>0</v>
      </c>
      <c r="BQ28" s="53">
        <f t="shared" si="28"/>
        <v>0</v>
      </c>
      <c r="BR28" s="53">
        <v>2450</v>
      </c>
      <c r="BS28" s="38">
        <v>0</v>
      </c>
      <c r="BT28" s="53">
        <f t="shared" si="29"/>
        <v>2450</v>
      </c>
      <c r="BU28" s="53">
        <f t="shared" si="30"/>
        <v>0</v>
      </c>
      <c r="BV28" s="53" t="e">
        <f t="shared" si="31"/>
        <v>#DIV/0!</v>
      </c>
      <c r="BW28" s="54">
        <v>0</v>
      </c>
      <c r="BX28" s="39">
        <v>0</v>
      </c>
      <c r="BY28" s="39">
        <v>0</v>
      </c>
      <c r="BZ28" s="54">
        <f t="shared" si="32"/>
        <v>0</v>
      </c>
      <c r="CA28" s="54">
        <v>750</v>
      </c>
      <c r="CB28" s="54">
        <v>0</v>
      </c>
      <c r="CC28" s="54">
        <f t="shared" si="33"/>
        <v>750</v>
      </c>
      <c r="CD28" s="54">
        <f t="shared" si="34"/>
        <v>0</v>
      </c>
      <c r="CE28" s="54" t="e">
        <f t="shared" si="35"/>
        <v>#DIV/0!</v>
      </c>
      <c r="CF28" s="55">
        <v>0</v>
      </c>
      <c r="CG28" s="55">
        <v>0</v>
      </c>
      <c r="CH28" s="55">
        <v>0</v>
      </c>
      <c r="CI28" s="55">
        <f t="shared" si="36"/>
        <v>0</v>
      </c>
      <c r="CJ28" s="55">
        <v>730</v>
      </c>
      <c r="CK28" s="55">
        <v>0</v>
      </c>
      <c r="CL28" s="55">
        <f t="shared" si="37"/>
        <v>730</v>
      </c>
      <c r="CM28" s="55">
        <f t="shared" si="38"/>
        <v>0</v>
      </c>
      <c r="CN28" s="55" t="e">
        <f t="shared" si="39"/>
        <v>#DIV/0!</v>
      </c>
      <c r="CO28" s="56">
        <v>0</v>
      </c>
      <c r="CP28" s="56">
        <v>0</v>
      </c>
      <c r="CQ28" s="56">
        <v>0</v>
      </c>
      <c r="CR28" s="56">
        <f t="shared" si="40"/>
        <v>0</v>
      </c>
      <c r="CS28" s="56">
        <v>730</v>
      </c>
      <c r="CT28" s="56">
        <v>0</v>
      </c>
      <c r="CU28" s="56">
        <f t="shared" si="41"/>
        <v>730</v>
      </c>
      <c r="CV28" s="56">
        <f t="shared" si="42"/>
        <v>0</v>
      </c>
      <c r="CW28" s="56" t="e">
        <f t="shared" si="43"/>
        <v>#DIV/0!</v>
      </c>
      <c r="CX28" s="57">
        <v>0</v>
      </c>
      <c r="CY28" s="57">
        <v>0</v>
      </c>
      <c r="CZ28" s="57">
        <v>0</v>
      </c>
      <c r="DA28" s="57">
        <f t="shared" si="44"/>
        <v>0</v>
      </c>
      <c r="DB28" s="57">
        <v>600</v>
      </c>
      <c r="DC28" s="57">
        <v>0</v>
      </c>
      <c r="DD28" s="57">
        <f t="shared" si="45"/>
        <v>600</v>
      </c>
      <c r="DE28" s="57">
        <f t="shared" si="46"/>
        <v>0</v>
      </c>
      <c r="DF28" s="57" t="e">
        <f t="shared" si="47"/>
        <v>#DIV/0!</v>
      </c>
    </row>
    <row r="29" spans="1:110" ht="14.25" customHeight="1">
      <c r="A29" s="43"/>
      <c r="B29" s="44"/>
      <c r="C29" s="45">
        <v>0</v>
      </c>
      <c r="D29" s="30">
        <v>0</v>
      </c>
      <c r="E29" s="30">
        <v>0</v>
      </c>
      <c r="F29" s="45">
        <f t="shared" si="0"/>
        <v>0</v>
      </c>
      <c r="G29" s="45">
        <v>900</v>
      </c>
      <c r="H29" s="30">
        <v>0</v>
      </c>
      <c r="I29" s="45">
        <f t="shared" si="1"/>
        <v>900</v>
      </c>
      <c r="J29" s="45">
        <f t="shared" si="2"/>
        <v>0</v>
      </c>
      <c r="K29" s="46" t="e">
        <f t="shared" si="3"/>
        <v>#DIV/0!</v>
      </c>
      <c r="L29" s="47">
        <v>0</v>
      </c>
      <c r="M29" s="32">
        <v>0</v>
      </c>
      <c r="N29" s="32">
        <v>0</v>
      </c>
      <c r="O29" s="47">
        <f t="shared" si="4"/>
        <v>0</v>
      </c>
      <c r="P29" s="47">
        <v>1800</v>
      </c>
      <c r="Q29" s="47">
        <v>0</v>
      </c>
      <c r="R29" s="47">
        <f t="shared" si="5"/>
        <v>1800</v>
      </c>
      <c r="S29" s="47">
        <f t="shared" si="6"/>
        <v>0</v>
      </c>
      <c r="T29" s="47" t="e">
        <f t="shared" si="7"/>
        <v>#DIV/0!</v>
      </c>
      <c r="U29" s="48">
        <v>0</v>
      </c>
      <c r="V29" s="48">
        <v>0</v>
      </c>
      <c r="W29" s="48">
        <v>0</v>
      </c>
      <c r="X29" s="48">
        <f t="shared" si="8"/>
        <v>0</v>
      </c>
      <c r="Y29" s="48">
        <v>910</v>
      </c>
      <c r="Z29" s="33">
        <v>0</v>
      </c>
      <c r="AA29" s="48">
        <f t="shared" si="9"/>
        <v>910</v>
      </c>
      <c r="AB29" s="48">
        <f t="shared" si="10"/>
        <v>0</v>
      </c>
      <c r="AC29" s="48" t="e">
        <f t="shared" si="11"/>
        <v>#DIV/0!</v>
      </c>
      <c r="AD29" s="49">
        <v>0</v>
      </c>
      <c r="AE29" s="49">
        <v>0</v>
      </c>
      <c r="AF29" s="49">
        <v>0</v>
      </c>
      <c r="AG29" s="49">
        <f t="shared" si="12"/>
        <v>0</v>
      </c>
      <c r="AH29" s="49">
        <v>1200</v>
      </c>
      <c r="AI29" s="49">
        <v>0</v>
      </c>
      <c r="AJ29" s="49">
        <f t="shared" si="13"/>
        <v>1200</v>
      </c>
      <c r="AK29" s="49">
        <f t="shared" si="14"/>
        <v>0</v>
      </c>
      <c r="AL29" s="49" t="e">
        <f t="shared" si="15"/>
        <v>#DIV/0!</v>
      </c>
      <c r="AM29" s="50">
        <v>0</v>
      </c>
      <c r="AN29" s="50">
        <v>0</v>
      </c>
      <c r="AO29" s="50">
        <v>0</v>
      </c>
      <c r="AP29" s="50">
        <f t="shared" si="16"/>
        <v>0</v>
      </c>
      <c r="AQ29" s="50">
        <v>600</v>
      </c>
      <c r="AR29" s="50">
        <v>0</v>
      </c>
      <c r="AS29" s="50">
        <f t="shared" si="17"/>
        <v>600</v>
      </c>
      <c r="AT29" s="50">
        <f t="shared" si="18"/>
        <v>0</v>
      </c>
      <c r="AU29" s="50" t="e">
        <f t="shared" si="19"/>
        <v>#DIV/0!</v>
      </c>
      <c r="AV29" s="51">
        <v>0</v>
      </c>
      <c r="AW29" s="36">
        <v>0</v>
      </c>
      <c r="AX29" s="36">
        <v>0</v>
      </c>
      <c r="AY29" s="51">
        <f t="shared" si="20"/>
        <v>0</v>
      </c>
      <c r="AZ29" s="51">
        <v>1500</v>
      </c>
      <c r="BA29" s="51">
        <v>0</v>
      </c>
      <c r="BB29" s="51">
        <f t="shared" si="21"/>
        <v>1500</v>
      </c>
      <c r="BC29" s="51">
        <f t="shared" si="22"/>
        <v>0</v>
      </c>
      <c r="BD29" s="51" t="e">
        <f t="shared" si="23"/>
        <v>#DIV/0!</v>
      </c>
      <c r="BE29" s="52">
        <v>0</v>
      </c>
      <c r="BF29" s="37">
        <v>0</v>
      </c>
      <c r="BG29" s="37">
        <v>0</v>
      </c>
      <c r="BH29" s="37">
        <f t="shared" si="24"/>
        <v>0</v>
      </c>
      <c r="BI29" s="52">
        <v>750</v>
      </c>
      <c r="BJ29" s="37">
        <v>0</v>
      </c>
      <c r="BK29" s="52">
        <f t="shared" si="25"/>
        <v>750</v>
      </c>
      <c r="BL29" s="52">
        <f t="shared" si="26"/>
        <v>0</v>
      </c>
      <c r="BM29" s="52" t="e">
        <f t="shared" si="27"/>
        <v>#DIV/0!</v>
      </c>
      <c r="BN29" s="53">
        <v>0</v>
      </c>
      <c r="BO29" s="38">
        <v>0</v>
      </c>
      <c r="BP29" s="38">
        <v>0</v>
      </c>
      <c r="BQ29" s="53">
        <f t="shared" si="28"/>
        <v>0</v>
      </c>
      <c r="BR29" s="53">
        <v>2450</v>
      </c>
      <c r="BS29" s="38">
        <v>0</v>
      </c>
      <c r="BT29" s="53">
        <f t="shared" si="29"/>
        <v>2450</v>
      </c>
      <c r="BU29" s="53">
        <f t="shared" si="30"/>
        <v>0</v>
      </c>
      <c r="BV29" s="53" t="e">
        <f t="shared" si="31"/>
        <v>#DIV/0!</v>
      </c>
      <c r="BW29" s="54">
        <v>0</v>
      </c>
      <c r="BX29" s="39">
        <v>0</v>
      </c>
      <c r="BY29" s="39">
        <v>0</v>
      </c>
      <c r="BZ29" s="54">
        <f t="shared" si="32"/>
        <v>0</v>
      </c>
      <c r="CA29" s="54">
        <v>750</v>
      </c>
      <c r="CB29" s="54">
        <v>0</v>
      </c>
      <c r="CC29" s="54">
        <f t="shared" si="33"/>
        <v>750</v>
      </c>
      <c r="CD29" s="54">
        <f t="shared" si="34"/>
        <v>0</v>
      </c>
      <c r="CE29" s="54" t="e">
        <f t="shared" si="35"/>
        <v>#DIV/0!</v>
      </c>
      <c r="CF29" s="55">
        <v>0</v>
      </c>
      <c r="CG29" s="55">
        <v>0</v>
      </c>
      <c r="CH29" s="55">
        <v>0</v>
      </c>
      <c r="CI29" s="55">
        <f t="shared" si="36"/>
        <v>0</v>
      </c>
      <c r="CJ29" s="55">
        <v>730</v>
      </c>
      <c r="CK29" s="55">
        <v>0</v>
      </c>
      <c r="CL29" s="55">
        <f t="shared" si="37"/>
        <v>730</v>
      </c>
      <c r="CM29" s="55">
        <f t="shared" si="38"/>
        <v>0</v>
      </c>
      <c r="CN29" s="55" t="e">
        <f t="shared" si="39"/>
        <v>#DIV/0!</v>
      </c>
      <c r="CO29" s="56">
        <v>0</v>
      </c>
      <c r="CP29" s="56">
        <v>0</v>
      </c>
      <c r="CQ29" s="56">
        <v>0</v>
      </c>
      <c r="CR29" s="56">
        <f t="shared" si="40"/>
        <v>0</v>
      </c>
      <c r="CS29" s="56">
        <v>730</v>
      </c>
      <c r="CT29" s="56">
        <v>0</v>
      </c>
      <c r="CU29" s="56">
        <f t="shared" si="41"/>
        <v>730</v>
      </c>
      <c r="CV29" s="56">
        <f t="shared" si="42"/>
        <v>0</v>
      </c>
      <c r="CW29" s="56" t="e">
        <f t="shared" si="43"/>
        <v>#DIV/0!</v>
      </c>
      <c r="CX29" s="57">
        <v>0</v>
      </c>
      <c r="CY29" s="57">
        <v>0</v>
      </c>
      <c r="CZ29" s="57">
        <v>0</v>
      </c>
      <c r="DA29" s="57">
        <f t="shared" si="44"/>
        <v>0</v>
      </c>
      <c r="DB29" s="57">
        <v>600</v>
      </c>
      <c r="DC29" s="57">
        <v>0</v>
      </c>
      <c r="DD29" s="57">
        <f t="shared" si="45"/>
        <v>600</v>
      </c>
      <c r="DE29" s="57">
        <f t="shared" si="46"/>
        <v>0</v>
      </c>
      <c r="DF29" s="57" t="e">
        <f t="shared" si="47"/>
        <v>#DIV/0!</v>
      </c>
    </row>
    <row r="30" spans="1:110" ht="14.25" customHeight="1">
      <c r="A30" s="43"/>
      <c r="B30" s="44"/>
      <c r="C30" s="45">
        <v>0</v>
      </c>
      <c r="D30" s="30">
        <v>0</v>
      </c>
      <c r="E30" s="30">
        <v>0</v>
      </c>
      <c r="F30" s="45">
        <f t="shared" si="0"/>
        <v>0</v>
      </c>
      <c r="G30" s="45">
        <v>900</v>
      </c>
      <c r="H30" s="30">
        <v>0</v>
      </c>
      <c r="I30" s="45">
        <f t="shared" si="1"/>
        <v>900</v>
      </c>
      <c r="J30" s="45">
        <f t="shared" si="2"/>
        <v>0</v>
      </c>
      <c r="K30" s="46" t="e">
        <f t="shared" si="3"/>
        <v>#DIV/0!</v>
      </c>
      <c r="L30" s="47">
        <v>0</v>
      </c>
      <c r="M30" s="32">
        <v>0</v>
      </c>
      <c r="N30" s="32">
        <v>0</v>
      </c>
      <c r="O30" s="47">
        <f t="shared" si="4"/>
        <v>0</v>
      </c>
      <c r="P30" s="47">
        <v>1800</v>
      </c>
      <c r="Q30" s="47">
        <v>0</v>
      </c>
      <c r="R30" s="47">
        <f t="shared" si="5"/>
        <v>1800</v>
      </c>
      <c r="S30" s="47">
        <f t="shared" si="6"/>
        <v>0</v>
      </c>
      <c r="T30" s="47" t="e">
        <f t="shared" si="7"/>
        <v>#DIV/0!</v>
      </c>
      <c r="U30" s="48">
        <v>0</v>
      </c>
      <c r="V30" s="48">
        <v>0</v>
      </c>
      <c r="W30" s="48">
        <v>0</v>
      </c>
      <c r="X30" s="48">
        <f t="shared" si="8"/>
        <v>0</v>
      </c>
      <c r="Y30" s="48">
        <v>910</v>
      </c>
      <c r="Z30" s="33">
        <v>0</v>
      </c>
      <c r="AA30" s="48">
        <f t="shared" si="9"/>
        <v>910</v>
      </c>
      <c r="AB30" s="48">
        <f t="shared" si="10"/>
        <v>0</v>
      </c>
      <c r="AC30" s="48" t="e">
        <f t="shared" si="11"/>
        <v>#DIV/0!</v>
      </c>
      <c r="AD30" s="49">
        <v>0</v>
      </c>
      <c r="AE30" s="49">
        <v>0</v>
      </c>
      <c r="AF30" s="49">
        <v>0</v>
      </c>
      <c r="AG30" s="49">
        <f t="shared" si="12"/>
        <v>0</v>
      </c>
      <c r="AH30" s="49">
        <v>1200</v>
      </c>
      <c r="AI30" s="49">
        <v>0</v>
      </c>
      <c r="AJ30" s="49">
        <f t="shared" si="13"/>
        <v>1200</v>
      </c>
      <c r="AK30" s="49">
        <f t="shared" si="14"/>
        <v>0</v>
      </c>
      <c r="AL30" s="49" t="e">
        <f t="shared" si="15"/>
        <v>#DIV/0!</v>
      </c>
      <c r="AM30" s="50">
        <v>0</v>
      </c>
      <c r="AN30" s="50">
        <v>0</v>
      </c>
      <c r="AO30" s="50">
        <v>0</v>
      </c>
      <c r="AP30" s="50">
        <f t="shared" si="16"/>
        <v>0</v>
      </c>
      <c r="AQ30" s="50">
        <v>600</v>
      </c>
      <c r="AR30" s="50">
        <v>0</v>
      </c>
      <c r="AS30" s="50">
        <f t="shared" si="17"/>
        <v>600</v>
      </c>
      <c r="AT30" s="50">
        <f t="shared" si="18"/>
        <v>0</v>
      </c>
      <c r="AU30" s="50" t="e">
        <f t="shared" si="19"/>
        <v>#DIV/0!</v>
      </c>
      <c r="AV30" s="51">
        <v>0</v>
      </c>
      <c r="AW30" s="36">
        <v>0</v>
      </c>
      <c r="AX30" s="36">
        <v>0</v>
      </c>
      <c r="AY30" s="51">
        <f t="shared" si="20"/>
        <v>0</v>
      </c>
      <c r="AZ30" s="51">
        <v>1500</v>
      </c>
      <c r="BA30" s="51">
        <v>0</v>
      </c>
      <c r="BB30" s="51">
        <f t="shared" si="21"/>
        <v>1500</v>
      </c>
      <c r="BC30" s="51">
        <f t="shared" si="22"/>
        <v>0</v>
      </c>
      <c r="BD30" s="51" t="e">
        <f t="shared" si="23"/>
        <v>#DIV/0!</v>
      </c>
      <c r="BE30" s="52">
        <v>0</v>
      </c>
      <c r="BF30" s="37">
        <v>0</v>
      </c>
      <c r="BG30" s="37">
        <v>0</v>
      </c>
      <c r="BH30" s="37">
        <f t="shared" si="24"/>
        <v>0</v>
      </c>
      <c r="BI30" s="52">
        <v>750</v>
      </c>
      <c r="BJ30" s="37">
        <v>0</v>
      </c>
      <c r="BK30" s="52">
        <f t="shared" si="25"/>
        <v>750</v>
      </c>
      <c r="BL30" s="52">
        <f t="shared" si="26"/>
        <v>0</v>
      </c>
      <c r="BM30" s="52" t="e">
        <f t="shared" si="27"/>
        <v>#DIV/0!</v>
      </c>
      <c r="BN30" s="53">
        <v>0</v>
      </c>
      <c r="BO30" s="38">
        <v>0</v>
      </c>
      <c r="BP30" s="38">
        <v>0</v>
      </c>
      <c r="BQ30" s="53">
        <f t="shared" si="28"/>
        <v>0</v>
      </c>
      <c r="BR30" s="53">
        <v>2450</v>
      </c>
      <c r="BS30" s="38">
        <v>0</v>
      </c>
      <c r="BT30" s="53">
        <f t="shared" si="29"/>
        <v>2450</v>
      </c>
      <c r="BU30" s="53">
        <f t="shared" si="30"/>
        <v>0</v>
      </c>
      <c r="BV30" s="53" t="e">
        <f t="shared" si="31"/>
        <v>#DIV/0!</v>
      </c>
      <c r="BW30" s="54">
        <v>0</v>
      </c>
      <c r="BX30" s="39">
        <v>0</v>
      </c>
      <c r="BY30" s="39">
        <v>0</v>
      </c>
      <c r="BZ30" s="54">
        <f t="shared" si="32"/>
        <v>0</v>
      </c>
      <c r="CA30" s="54">
        <v>750</v>
      </c>
      <c r="CB30" s="54">
        <v>0</v>
      </c>
      <c r="CC30" s="54">
        <f t="shared" si="33"/>
        <v>750</v>
      </c>
      <c r="CD30" s="54">
        <f t="shared" si="34"/>
        <v>0</v>
      </c>
      <c r="CE30" s="54" t="e">
        <f t="shared" si="35"/>
        <v>#DIV/0!</v>
      </c>
      <c r="CF30" s="55">
        <v>0</v>
      </c>
      <c r="CG30" s="55">
        <v>0</v>
      </c>
      <c r="CH30" s="55">
        <v>0</v>
      </c>
      <c r="CI30" s="55">
        <f t="shared" si="36"/>
        <v>0</v>
      </c>
      <c r="CJ30" s="55">
        <v>730</v>
      </c>
      <c r="CK30" s="55">
        <v>0</v>
      </c>
      <c r="CL30" s="55">
        <f t="shared" si="37"/>
        <v>730</v>
      </c>
      <c r="CM30" s="55">
        <f t="shared" si="38"/>
        <v>0</v>
      </c>
      <c r="CN30" s="55" t="e">
        <f t="shared" si="39"/>
        <v>#DIV/0!</v>
      </c>
      <c r="CO30" s="56">
        <v>0</v>
      </c>
      <c r="CP30" s="56">
        <v>0</v>
      </c>
      <c r="CQ30" s="56">
        <v>0</v>
      </c>
      <c r="CR30" s="56">
        <f t="shared" si="40"/>
        <v>0</v>
      </c>
      <c r="CS30" s="56">
        <v>730</v>
      </c>
      <c r="CT30" s="56">
        <v>0</v>
      </c>
      <c r="CU30" s="56">
        <f t="shared" si="41"/>
        <v>730</v>
      </c>
      <c r="CV30" s="56">
        <f t="shared" si="42"/>
        <v>0</v>
      </c>
      <c r="CW30" s="56" t="e">
        <f t="shared" si="43"/>
        <v>#DIV/0!</v>
      </c>
      <c r="CX30" s="57">
        <v>0</v>
      </c>
      <c r="CY30" s="57">
        <v>0</v>
      </c>
      <c r="CZ30" s="57">
        <v>0</v>
      </c>
      <c r="DA30" s="57">
        <f t="shared" si="44"/>
        <v>0</v>
      </c>
      <c r="DB30" s="57">
        <v>600</v>
      </c>
      <c r="DC30" s="57">
        <v>0</v>
      </c>
      <c r="DD30" s="57">
        <f t="shared" si="45"/>
        <v>600</v>
      </c>
      <c r="DE30" s="57">
        <f t="shared" si="46"/>
        <v>0</v>
      </c>
      <c r="DF30" s="57" t="e">
        <f t="shared" si="47"/>
        <v>#DIV/0!</v>
      </c>
    </row>
    <row r="31" spans="1:110" ht="14.25" customHeight="1">
      <c r="A31" s="43"/>
      <c r="B31" s="44"/>
      <c r="C31" s="45">
        <v>0</v>
      </c>
      <c r="D31" s="30">
        <v>0</v>
      </c>
      <c r="E31" s="30">
        <v>0</v>
      </c>
      <c r="F31" s="45">
        <f t="shared" si="0"/>
        <v>0</v>
      </c>
      <c r="G31" s="45">
        <v>900</v>
      </c>
      <c r="H31" s="30">
        <v>0</v>
      </c>
      <c r="I31" s="45">
        <f t="shared" si="1"/>
        <v>900</v>
      </c>
      <c r="J31" s="45">
        <f t="shared" si="2"/>
        <v>0</v>
      </c>
      <c r="K31" s="46" t="e">
        <f t="shared" si="3"/>
        <v>#DIV/0!</v>
      </c>
      <c r="L31" s="47">
        <v>0</v>
      </c>
      <c r="M31" s="32">
        <v>0</v>
      </c>
      <c r="N31" s="32">
        <v>0</v>
      </c>
      <c r="O31" s="47">
        <f t="shared" si="4"/>
        <v>0</v>
      </c>
      <c r="P31" s="47">
        <v>1800</v>
      </c>
      <c r="Q31" s="47">
        <v>0</v>
      </c>
      <c r="R31" s="47">
        <f t="shared" si="5"/>
        <v>1800</v>
      </c>
      <c r="S31" s="47">
        <f t="shared" si="6"/>
        <v>0</v>
      </c>
      <c r="T31" s="47" t="e">
        <f t="shared" si="7"/>
        <v>#DIV/0!</v>
      </c>
      <c r="U31" s="48">
        <v>0</v>
      </c>
      <c r="V31" s="48">
        <v>0</v>
      </c>
      <c r="W31" s="48">
        <v>0</v>
      </c>
      <c r="X31" s="48">
        <f t="shared" si="8"/>
        <v>0</v>
      </c>
      <c r="Y31" s="48">
        <v>910</v>
      </c>
      <c r="Z31" s="33">
        <v>0</v>
      </c>
      <c r="AA31" s="48">
        <f t="shared" si="9"/>
        <v>910</v>
      </c>
      <c r="AB31" s="48">
        <f t="shared" si="10"/>
        <v>0</v>
      </c>
      <c r="AC31" s="48" t="e">
        <f t="shared" si="11"/>
        <v>#DIV/0!</v>
      </c>
      <c r="AD31" s="49">
        <v>0</v>
      </c>
      <c r="AE31" s="49">
        <v>0</v>
      </c>
      <c r="AF31" s="49">
        <v>0</v>
      </c>
      <c r="AG31" s="49">
        <f t="shared" si="12"/>
        <v>0</v>
      </c>
      <c r="AH31" s="49">
        <v>1200</v>
      </c>
      <c r="AI31" s="49">
        <v>0</v>
      </c>
      <c r="AJ31" s="49">
        <f t="shared" si="13"/>
        <v>1200</v>
      </c>
      <c r="AK31" s="49">
        <f t="shared" si="14"/>
        <v>0</v>
      </c>
      <c r="AL31" s="49" t="e">
        <f t="shared" si="15"/>
        <v>#DIV/0!</v>
      </c>
      <c r="AM31" s="50">
        <v>0</v>
      </c>
      <c r="AN31" s="50">
        <v>0</v>
      </c>
      <c r="AO31" s="50">
        <v>0</v>
      </c>
      <c r="AP31" s="50">
        <f t="shared" si="16"/>
        <v>0</v>
      </c>
      <c r="AQ31" s="50">
        <v>600</v>
      </c>
      <c r="AR31" s="50">
        <v>0</v>
      </c>
      <c r="AS31" s="50">
        <f t="shared" si="17"/>
        <v>600</v>
      </c>
      <c r="AT31" s="50">
        <f t="shared" si="18"/>
        <v>0</v>
      </c>
      <c r="AU31" s="50" t="e">
        <f t="shared" si="19"/>
        <v>#DIV/0!</v>
      </c>
      <c r="AV31" s="51">
        <v>0</v>
      </c>
      <c r="AW31" s="36">
        <v>0</v>
      </c>
      <c r="AX31" s="36">
        <v>0</v>
      </c>
      <c r="AY31" s="51">
        <f t="shared" si="20"/>
        <v>0</v>
      </c>
      <c r="AZ31" s="51">
        <v>1500</v>
      </c>
      <c r="BA31" s="51">
        <v>0</v>
      </c>
      <c r="BB31" s="51">
        <f t="shared" si="21"/>
        <v>1500</v>
      </c>
      <c r="BC31" s="51">
        <f t="shared" si="22"/>
        <v>0</v>
      </c>
      <c r="BD31" s="51" t="e">
        <f t="shared" si="23"/>
        <v>#DIV/0!</v>
      </c>
      <c r="BE31" s="52">
        <v>0</v>
      </c>
      <c r="BF31" s="37">
        <v>0</v>
      </c>
      <c r="BG31" s="37">
        <v>0</v>
      </c>
      <c r="BH31" s="37">
        <f t="shared" si="24"/>
        <v>0</v>
      </c>
      <c r="BI31" s="52">
        <v>750</v>
      </c>
      <c r="BJ31" s="37">
        <v>0</v>
      </c>
      <c r="BK31" s="52">
        <f t="shared" si="25"/>
        <v>750</v>
      </c>
      <c r="BL31" s="52">
        <f t="shared" si="26"/>
        <v>0</v>
      </c>
      <c r="BM31" s="52" t="e">
        <f t="shared" si="27"/>
        <v>#DIV/0!</v>
      </c>
      <c r="BN31" s="53">
        <v>0</v>
      </c>
      <c r="BO31" s="38">
        <v>0</v>
      </c>
      <c r="BP31" s="38">
        <v>0</v>
      </c>
      <c r="BQ31" s="53">
        <f t="shared" si="28"/>
        <v>0</v>
      </c>
      <c r="BR31" s="53">
        <v>2450</v>
      </c>
      <c r="BS31" s="38">
        <v>0</v>
      </c>
      <c r="BT31" s="53">
        <f t="shared" si="29"/>
        <v>2450</v>
      </c>
      <c r="BU31" s="53">
        <f t="shared" si="30"/>
        <v>0</v>
      </c>
      <c r="BV31" s="53" t="e">
        <f t="shared" si="31"/>
        <v>#DIV/0!</v>
      </c>
      <c r="BW31" s="54">
        <v>0</v>
      </c>
      <c r="BX31" s="39">
        <v>0</v>
      </c>
      <c r="BY31" s="39">
        <v>0</v>
      </c>
      <c r="BZ31" s="54">
        <f t="shared" si="32"/>
        <v>0</v>
      </c>
      <c r="CA31" s="54">
        <v>750</v>
      </c>
      <c r="CB31" s="54">
        <v>0</v>
      </c>
      <c r="CC31" s="54">
        <f t="shared" si="33"/>
        <v>750</v>
      </c>
      <c r="CD31" s="54">
        <f t="shared" si="34"/>
        <v>0</v>
      </c>
      <c r="CE31" s="54" t="e">
        <f t="shared" si="35"/>
        <v>#DIV/0!</v>
      </c>
      <c r="CF31" s="55">
        <v>0</v>
      </c>
      <c r="CG31" s="55">
        <v>0</v>
      </c>
      <c r="CH31" s="55">
        <v>0</v>
      </c>
      <c r="CI31" s="55">
        <f t="shared" si="36"/>
        <v>0</v>
      </c>
      <c r="CJ31" s="55">
        <v>730</v>
      </c>
      <c r="CK31" s="55">
        <v>0</v>
      </c>
      <c r="CL31" s="55">
        <f t="shared" si="37"/>
        <v>730</v>
      </c>
      <c r="CM31" s="55">
        <f t="shared" si="38"/>
        <v>0</v>
      </c>
      <c r="CN31" s="55" t="e">
        <f t="shared" si="39"/>
        <v>#DIV/0!</v>
      </c>
      <c r="CO31" s="56">
        <v>0</v>
      </c>
      <c r="CP31" s="56">
        <v>0</v>
      </c>
      <c r="CQ31" s="56">
        <v>0</v>
      </c>
      <c r="CR31" s="56">
        <f t="shared" si="40"/>
        <v>0</v>
      </c>
      <c r="CS31" s="56">
        <v>730</v>
      </c>
      <c r="CT31" s="56">
        <v>0</v>
      </c>
      <c r="CU31" s="56">
        <f t="shared" si="41"/>
        <v>730</v>
      </c>
      <c r="CV31" s="56">
        <f t="shared" si="42"/>
        <v>0</v>
      </c>
      <c r="CW31" s="56" t="e">
        <f t="shared" si="43"/>
        <v>#DIV/0!</v>
      </c>
      <c r="CX31" s="57">
        <v>0</v>
      </c>
      <c r="CY31" s="57">
        <v>0</v>
      </c>
      <c r="CZ31" s="57">
        <v>0</v>
      </c>
      <c r="DA31" s="57">
        <f t="shared" si="44"/>
        <v>0</v>
      </c>
      <c r="DB31" s="57">
        <v>600</v>
      </c>
      <c r="DC31" s="57">
        <v>0</v>
      </c>
      <c r="DD31" s="57">
        <f t="shared" si="45"/>
        <v>600</v>
      </c>
      <c r="DE31" s="57">
        <f t="shared" si="46"/>
        <v>0</v>
      </c>
      <c r="DF31" s="57" t="e">
        <f t="shared" si="47"/>
        <v>#DIV/0!</v>
      </c>
    </row>
    <row r="32" spans="1:110" ht="14.25" customHeight="1">
      <c r="A32" s="43"/>
      <c r="B32" s="44"/>
      <c r="C32" s="45">
        <v>0</v>
      </c>
      <c r="D32" s="30">
        <v>0</v>
      </c>
      <c r="E32" s="30">
        <v>0</v>
      </c>
      <c r="F32" s="45">
        <f t="shared" si="0"/>
        <v>0</v>
      </c>
      <c r="G32" s="45">
        <v>900</v>
      </c>
      <c r="H32" s="30">
        <v>0</v>
      </c>
      <c r="I32" s="45">
        <f t="shared" si="1"/>
        <v>900</v>
      </c>
      <c r="J32" s="45">
        <f t="shared" si="2"/>
        <v>0</v>
      </c>
      <c r="K32" s="46" t="e">
        <f t="shared" si="3"/>
        <v>#DIV/0!</v>
      </c>
      <c r="L32" s="47">
        <v>0</v>
      </c>
      <c r="M32" s="32">
        <v>0</v>
      </c>
      <c r="N32" s="32">
        <v>0</v>
      </c>
      <c r="O32" s="47">
        <f t="shared" si="4"/>
        <v>0</v>
      </c>
      <c r="P32" s="47">
        <v>1800</v>
      </c>
      <c r="Q32" s="47">
        <v>0</v>
      </c>
      <c r="R32" s="47">
        <f t="shared" si="5"/>
        <v>1800</v>
      </c>
      <c r="S32" s="47">
        <f t="shared" si="6"/>
        <v>0</v>
      </c>
      <c r="T32" s="47" t="e">
        <f t="shared" si="7"/>
        <v>#DIV/0!</v>
      </c>
      <c r="U32" s="48">
        <v>0</v>
      </c>
      <c r="V32" s="48">
        <v>0</v>
      </c>
      <c r="W32" s="48">
        <v>0</v>
      </c>
      <c r="X32" s="48">
        <f t="shared" si="8"/>
        <v>0</v>
      </c>
      <c r="Y32" s="48">
        <v>910</v>
      </c>
      <c r="Z32" s="33">
        <v>0</v>
      </c>
      <c r="AA32" s="48">
        <f t="shared" si="9"/>
        <v>910</v>
      </c>
      <c r="AB32" s="48">
        <f t="shared" si="10"/>
        <v>0</v>
      </c>
      <c r="AC32" s="48" t="e">
        <f t="shared" si="11"/>
        <v>#DIV/0!</v>
      </c>
      <c r="AD32" s="49">
        <v>0</v>
      </c>
      <c r="AE32" s="49">
        <v>0</v>
      </c>
      <c r="AF32" s="49">
        <v>0</v>
      </c>
      <c r="AG32" s="49">
        <f t="shared" si="12"/>
        <v>0</v>
      </c>
      <c r="AH32" s="49">
        <v>1200</v>
      </c>
      <c r="AI32" s="49">
        <v>0</v>
      </c>
      <c r="AJ32" s="49">
        <f t="shared" si="13"/>
        <v>1200</v>
      </c>
      <c r="AK32" s="49">
        <f t="shared" si="14"/>
        <v>0</v>
      </c>
      <c r="AL32" s="49" t="e">
        <f t="shared" si="15"/>
        <v>#DIV/0!</v>
      </c>
      <c r="AM32" s="50">
        <v>0</v>
      </c>
      <c r="AN32" s="50">
        <v>0</v>
      </c>
      <c r="AO32" s="50">
        <v>0</v>
      </c>
      <c r="AP32" s="50">
        <f t="shared" si="16"/>
        <v>0</v>
      </c>
      <c r="AQ32" s="50">
        <v>600</v>
      </c>
      <c r="AR32" s="50">
        <v>0</v>
      </c>
      <c r="AS32" s="50">
        <f t="shared" si="17"/>
        <v>600</v>
      </c>
      <c r="AT32" s="50">
        <f t="shared" si="18"/>
        <v>0</v>
      </c>
      <c r="AU32" s="50" t="e">
        <f t="shared" si="19"/>
        <v>#DIV/0!</v>
      </c>
      <c r="AV32" s="51">
        <v>0</v>
      </c>
      <c r="AW32" s="36">
        <v>0</v>
      </c>
      <c r="AX32" s="36">
        <v>0</v>
      </c>
      <c r="AY32" s="51">
        <f t="shared" si="20"/>
        <v>0</v>
      </c>
      <c r="AZ32" s="51">
        <v>1500</v>
      </c>
      <c r="BA32" s="51">
        <v>0</v>
      </c>
      <c r="BB32" s="51">
        <f t="shared" si="21"/>
        <v>1500</v>
      </c>
      <c r="BC32" s="51">
        <f t="shared" si="22"/>
        <v>0</v>
      </c>
      <c r="BD32" s="51" t="e">
        <f t="shared" si="23"/>
        <v>#DIV/0!</v>
      </c>
      <c r="BE32" s="52">
        <v>0</v>
      </c>
      <c r="BF32" s="37">
        <v>0</v>
      </c>
      <c r="BG32" s="37">
        <v>0</v>
      </c>
      <c r="BH32" s="37">
        <f t="shared" si="24"/>
        <v>0</v>
      </c>
      <c r="BI32" s="52">
        <v>750</v>
      </c>
      <c r="BJ32" s="37">
        <v>0</v>
      </c>
      <c r="BK32" s="52">
        <f t="shared" si="25"/>
        <v>750</v>
      </c>
      <c r="BL32" s="52">
        <f t="shared" si="26"/>
        <v>0</v>
      </c>
      <c r="BM32" s="52" t="e">
        <f t="shared" si="27"/>
        <v>#DIV/0!</v>
      </c>
      <c r="BN32" s="53">
        <v>0</v>
      </c>
      <c r="BO32" s="38">
        <v>0</v>
      </c>
      <c r="BP32" s="38">
        <v>0</v>
      </c>
      <c r="BQ32" s="53">
        <f t="shared" si="28"/>
        <v>0</v>
      </c>
      <c r="BR32" s="53">
        <v>2450</v>
      </c>
      <c r="BS32" s="38">
        <v>0</v>
      </c>
      <c r="BT32" s="53">
        <f t="shared" si="29"/>
        <v>2450</v>
      </c>
      <c r="BU32" s="53">
        <f t="shared" si="30"/>
        <v>0</v>
      </c>
      <c r="BV32" s="53" t="e">
        <f t="shared" si="31"/>
        <v>#DIV/0!</v>
      </c>
      <c r="BW32" s="54">
        <v>0</v>
      </c>
      <c r="BX32" s="39">
        <v>0</v>
      </c>
      <c r="BY32" s="39">
        <v>0</v>
      </c>
      <c r="BZ32" s="54">
        <f t="shared" si="32"/>
        <v>0</v>
      </c>
      <c r="CA32" s="54">
        <v>750</v>
      </c>
      <c r="CB32" s="54">
        <v>0</v>
      </c>
      <c r="CC32" s="54">
        <f t="shared" si="33"/>
        <v>750</v>
      </c>
      <c r="CD32" s="54">
        <f t="shared" si="34"/>
        <v>0</v>
      </c>
      <c r="CE32" s="54" t="e">
        <f t="shared" si="35"/>
        <v>#DIV/0!</v>
      </c>
      <c r="CF32" s="55">
        <v>0</v>
      </c>
      <c r="CG32" s="55">
        <v>0</v>
      </c>
      <c r="CH32" s="55">
        <v>0</v>
      </c>
      <c r="CI32" s="55">
        <f t="shared" si="36"/>
        <v>0</v>
      </c>
      <c r="CJ32" s="55">
        <v>730</v>
      </c>
      <c r="CK32" s="55">
        <v>0</v>
      </c>
      <c r="CL32" s="55">
        <f t="shared" si="37"/>
        <v>730</v>
      </c>
      <c r="CM32" s="55">
        <f t="shared" si="38"/>
        <v>0</v>
      </c>
      <c r="CN32" s="55" t="e">
        <f t="shared" si="39"/>
        <v>#DIV/0!</v>
      </c>
      <c r="CO32" s="56">
        <v>0</v>
      </c>
      <c r="CP32" s="56">
        <v>0</v>
      </c>
      <c r="CQ32" s="56">
        <v>0</v>
      </c>
      <c r="CR32" s="56">
        <f t="shared" si="40"/>
        <v>0</v>
      </c>
      <c r="CS32" s="56">
        <v>730</v>
      </c>
      <c r="CT32" s="56">
        <v>0</v>
      </c>
      <c r="CU32" s="56">
        <f t="shared" si="41"/>
        <v>730</v>
      </c>
      <c r="CV32" s="56">
        <f t="shared" si="42"/>
        <v>0</v>
      </c>
      <c r="CW32" s="56" t="e">
        <f t="shared" si="43"/>
        <v>#DIV/0!</v>
      </c>
      <c r="CX32" s="57">
        <v>0</v>
      </c>
      <c r="CY32" s="57">
        <v>0</v>
      </c>
      <c r="CZ32" s="57">
        <v>0</v>
      </c>
      <c r="DA32" s="57">
        <f t="shared" si="44"/>
        <v>0</v>
      </c>
      <c r="DB32" s="57">
        <v>600</v>
      </c>
      <c r="DC32" s="57">
        <v>0</v>
      </c>
      <c r="DD32" s="57">
        <f t="shared" si="45"/>
        <v>600</v>
      </c>
      <c r="DE32" s="57">
        <f t="shared" si="46"/>
        <v>0</v>
      </c>
      <c r="DF32" s="57" t="e">
        <f t="shared" si="47"/>
        <v>#DIV/0!</v>
      </c>
    </row>
    <row r="33" spans="1:110" ht="14.25" customHeight="1">
      <c r="A33" s="43"/>
      <c r="B33" s="44"/>
      <c r="C33" s="45">
        <v>0</v>
      </c>
      <c r="D33" s="30">
        <v>0</v>
      </c>
      <c r="E33" s="30">
        <v>0</v>
      </c>
      <c r="F33" s="45">
        <f t="shared" si="0"/>
        <v>0</v>
      </c>
      <c r="G33" s="45">
        <v>900</v>
      </c>
      <c r="H33" s="30">
        <v>0</v>
      </c>
      <c r="I33" s="45">
        <f t="shared" si="1"/>
        <v>900</v>
      </c>
      <c r="J33" s="45">
        <f t="shared" si="2"/>
        <v>0</v>
      </c>
      <c r="K33" s="46" t="e">
        <f t="shared" si="3"/>
        <v>#DIV/0!</v>
      </c>
      <c r="L33" s="47">
        <v>0</v>
      </c>
      <c r="M33" s="32">
        <v>0</v>
      </c>
      <c r="N33" s="32">
        <v>0</v>
      </c>
      <c r="O33" s="47">
        <f t="shared" si="4"/>
        <v>0</v>
      </c>
      <c r="P33" s="47">
        <v>1800</v>
      </c>
      <c r="Q33" s="47">
        <v>0</v>
      </c>
      <c r="R33" s="47">
        <f t="shared" si="5"/>
        <v>1800</v>
      </c>
      <c r="S33" s="47">
        <f t="shared" si="6"/>
        <v>0</v>
      </c>
      <c r="T33" s="47" t="e">
        <f t="shared" si="7"/>
        <v>#DIV/0!</v>
      </c>
      <c r="U33" s="48">
        <v>0</v>
      </c>
      <c r="V33" s="48">
        <v>0</v>
      </c>
      <c r="W33" s="48">
        <v>0</v>
      </c>
      <c r="X33" s="48">
        <f t="shared" si="8"/>
        <v>0</v>
      </c>
      <c r="Y33" s="48">
        <v>910</v>
      </c>
      <c r="Z33" s="33">
        <v>0</v>
      </c>
      <c r="AA33" s="48">
        <f t="shared" si="9"/>
        <v>910</v>
      </c>
      <c r="AB33" s="48">
        <f t="shared" si="10"/>
        <v>0</v>
      </c>
      <c r="AC33" s="48" t="e">
        <f t="shared" si="11"/>
        <v>#DIV/0!</v>
      </c>
      <c r="AD33" s="49">
        <v>0</v>
      </c>
      <c r="AE33" s="49">
        <v>0</v>
      </c>
      <c r="AF33" s="49">
        <v>0</v>
      </c>
      <c r="AG33" s="49">
        <f t="shared" si="12"/>
        <v>0</v>
      </c>
      <c r="AH33" s="49">
        <v>1200</v>
      </c>
      <c r="AI33" s="49">
        <v>0</v>
      </c>
      <c r="AJ33" s="49">
        <f t="shared" si="13"/>
        <v>1200</v>
      </c>
      <c r="AK33" s="49">
        <f t="shared" si="14"/>
        <v>0</v>
      </c>
      <c r="AL33" s="49" t="e">
        <f t="shared" si="15"/>
        <v>#DIV/0!</v>
      </c>
      <c r="AM33" s="50">
        <v>0</v>
      </c>
      <c r="AN33" s="50">
        <v>0</v>
      </c>
      <c r="AO33" s="50">
        <v>0</v>
      </c>
      <c r="AP33" s="50">
        <f t="shared" si="16"/>
        <v>0</v>
      </c>
      <c r="AQ33" s="50">
        <v>600</v>
      </c>
      <c r="AR33" s="50">
        <v>0</v>
      </c>
      <c r="AS33" s="50">
        <f t="shared" si="17"/>
        <v>600</v>
      </c>
      <c r="AT33" s="50">
        <f t="shared" si="18"/>
        <v>0</v>
      </c>
      <c r="AU33" s="50" t="e">
        <f t="shared" si="19"/>
        <v>#DIV/0!</v>
      </c>
      <c r="AV33" s="51">
        <v>0</v>
      </c>
      <c r="AW33" s="36">
        <v>0</v>
      </c>
      <c r="AX33" s="36">
        <v>0</v>
      </c>
      <c r="AY33" s="51">
        <f t="shared" si="20"/>
        <v>0</v>
      </c>
      <c r="AZ33" s="51">
        <v>1500</v>
      </c>
      <c r="BA33" s="51">
        <v>0</v>
      </c>
      <c r="BB33" s="51">
        <f t="shared" si="21"/>
        <v>1500</v>
      </c>
      <c r="BC33" s="51">
        <f t="shared" si="22"/>
        <v>0</v>
      </c>
      <c r="BD33" s="51" t="e">
        <f t="shared" si="23"/>
        <v>#DIV/0!</v>
      </c>
      <c r="BE33" s="52">
        <v>0</v>
      </c>
      <c r="BF33" s="37">
        <v>0</v>
      </c>
      <c r="BG33" s="37">
        <v>0</v>
      </c>
      <c r="BH33" s="37">
        <f t="shared" si="24"/>
        <v>0</v>
      </c>
      <c r="BI33" s="52">
        <v>750</v>
      </c>
      <c r="BJ33" s="37">
        <v>0</v>
      </c>
      <c r="BK33" s="52">
        <f t="shared" si="25"/>
        <v>750</v>
      </c>
      <c r="BL33" s="52">
        <f t="shared" si="26"/>
        <v>0</v>
      </c>
      <c r="BM33" s="52" t="e">
        <f t="shared" si="27"/>
        <v>#DIV/0!</v>
      </c>
      <c r="BN33" s="53">
        <v>0</v>
      </c>
      <c r="BO33" s="38">
        <v>0</v>
      </c>
      <c r="BP33" s="38">
        <v>0</v>
      </c>
      <c r="BQ33" s="53">
        <f t="shared" si="28"/>
        <v>0</v>
      </c>
      <c r="BR33" s="53">
        <v>2450</v>
      </c>
      <c r="BS33" s="38">
        <v>0</v>
      </c>
      <c r="BT33" s="53">
        <f t="shared" si="29"/>
        <v>2450</v>
      </c>
      <c r="BU33" s="53">
        <f t="shared" si="30"/>
        <v>0</v>
      </c>
      <c r="BV33" s="53" t="e">
        <f t="shared" si="31"/>
        <v>#DIV/0!</v>
      </c>
      <c r="BW33" s="54">
        <v>0</v>
      </c>
      <c r="BX33" s="39">
        <v>0</v>
      </c>
      <c r="BY33" s="39">
        <v>0</v>
      </c>
      <c r="BZ33" s="54">
        <f t="shared" si="32"/>
        <v>0</v>
      </c>
      <c r="CA33" s="54">
        <v>750</v>
      </c>
      <c r="CB33" s="54">
        <v>0</v>
      </c>
      <c r="CC33" s="54">
        <f t="shared" si="33"/>
        <v>750</v>
      </c>
      <c r="CD33" s="54">
        <f t="shared" si="34"/>
        <v>0</v>
      </c>
      <c r="CE33" s="54" t="e">
        <f t="shared" si="35"/>
        <v>#DIV/0!</v>
      </c>
      <c r="CF33" s="55">
        <v>0</v>
      </c>
      <c r="CG33" s="55">
        <v>0</v>
      </c>
      <c r="CH33" s="55">
        <v>0</v>
      </c>
      <c r="CI33" s="55">
        <f t="shared" si="36"/>
        <v>0</v>
      </c>
      <c r="CJ33" s="55">
        <v>730</v>
      </c>
      <c r="CK33" s="55">
        <v>0</v>
      </c>
      <c r="CL33" s="55">
        <f t="shared" si="37"/>
        <v>730</v>
      </c>
      <c r="CM33" s="55">
        <f t="shared" si="38"/>
        <v>0</v>
      </c>
      <c r="CN33" s="55" t="e">
        <f t="shared" si="39"/>
        <v>#DIV/0!</v>
      </c>
      <c r="CO33" s="56">
        <v>0</v>
      </c>
      <c r="CP33" s="56">
        <v>0</v>
      </c>
      <c r="CQ33" s="56">
        <v>0</v>
      </c>
      <c r="CR33" s="56">
        <f t="shared" si="40"/>
        <v>0</v>
      </c>
      <c r="CS33" s="56">
        <v>730</v>
      </c>
      <c r="CT33" s="56">
        <v>0</v>
      </c>
      <c r="CU33" s="56">
        <f t="shared" si="41"/>
        <v>730</v>
      </c>
      <c r="CV33" s="56">
        <f t="shared" si="42"/>
        <v>0</v>
      </c>
      <c r="CW33" s="56" t="e">
        <f t="shared" si="43"/>
        <v>#DIV/0!</v>
      </c>
      <c r="CX33" s="57">
        <v>0</v>
      </c>
      <c r="CY33" s="57">
        <v>0</v>
      </c>
      <c r="CZ33" s="57">
        <v>0</v>
      </c>
      <c r="DA33" s="57">
        <f t="shared" si="44"/>
        <v>0</v>
      </c>
      <c r="DB33" s="57">
        <v>600</v>
      </c>
      <c r="DC33" s="57">
        <v>0</v>
      </c>
      <c r="DD33" s="57">
        <f t="shared" si="45"/>
        <v>600</v>
      </c>
      <c r="DE33" s="57">
        <f t="shared" si="46"/>
        <v>0</v>
      </c>
      <c r="DF33" s="57" t="e">
        <f t="shared" si="47"/>
        <v>#DIV/0!</v>
      </c>
    </row>
    <row r="34" spans="1:110" ht="14.25" customHeight="1">
      <c r="A34" s="43"/>
      <c r="B34" s="44"/>
      <c r="C34" s="45">
        <v>0</v>
      </c>
      <c r="D34" s="30">
        <v>0</v>
      </c>
      <c r="E34" s="30">
        <v>0</v>
      </c>
      <c r="F34" s="45">
        <f t="shared" si="0"/>
        <v>0</v>
      </c>
      <c r="G34" s="45">
        <v>900</v>
      </c>
      <c r="H34" s="30">
        <v>0</v>
      </c>
      <c r="I34" s="45">
        <f t="shared" si="1"/>
        <v>900</v>
      </c>
      <c r="J34" s="45">
        <f t="shared" si="2"/>
        <v>0</v>
      </c>
      <c r="K34" s="46" t="e">
        <f t="shared" si="3"/>
        <v>#DIV/0!</v>
      </c>
      <c r="L34" s="47">
        <v>0</v>
      </c>
      <c r="M34" s="32">
        <v>0</v>
      </c>
      <c r="N34" s="32">
        <v>0</v>
      </c>
      <c r="O34" s="47">
        <f t="shared" si="4"/>
        <v>0</v>
      </c>
      <c r="P34" s="47">
        <v>1800</v>
      </c>
      <c r="Q34" s="47">
        <v>0</v>
      </c>
      <c r="R34" s="47">
        <f t="shared" si="5"/>
        <v>1800</v>
      </c>
      <c r="S34" s="47">
        <f t="shared" si="6"/>
        <v>0</v>
      </c>
      <c r="T34" s="47" t="e">
        <f t="shared" si="7"/>
        <v>#DIV/0!</v>
      </c>
      <c r="U34" s="48">
        <v>0</v>
      </c>
      <c r="V34" s="48">
        <v>0</v>
      </c>
      <c r="W34" s="48">
        <v>0</v>
      </c>
      <c r="X34" s="48">
        <f t="shared" si="8"/>
        <v>0</v>
      </c>
      <c r="Y34" s="48">
        <v>910</v>
      </c>
      <c r="Z34" s="33">
        <v>0</v>
      </c>
      <c r="AA34" s="48">
        <f t="shared" si="9"/>
        <v>910</v>
      </c>
      <c r="AB34" s="48">
        <f t="shared" si="10"/>
        <v>0</v>
      </c>
      <c r="AC34" s="48" t="e">
        <f t="shared" si="11"/>
        <v>#DIV/0!</v>
      </c>
      <c r="AD34" s="49">
        <v>0</v>
      </c>
      <c r="AE34" s="49">
        <v>0</v>
      </c>
      <c r="AF34" s="49">
        <v>0</v>
      </c>
      <c r="AG34" s="49">
        <f t="shared" si="12"/>
        <v>0</v>
      </c>
      <c r="AH34" s="49">
        <v>1200</v>
      </c>
      <c r="AI34" s="49">
        <v>0</v>
      </c>
      <c r="AJ34" s="49">
        <f t="shared" si="13"/>
        <v>1200</v>
      </c>
      <c r="AK34" s="49">
        <f t="shared" si="14"/>
        <v>0</v>
      </c>
      <c r="AL34" s="49" t="e">
        <f t="shared" si="15"/>
        <v>#DIV/0!</v>
      </c>
      <c r="AM34" s="50">
        <v>0</v>
      </c>
      <c r="AN34" s="50">
        <v>0</v>
      </c>
      <c r="AO34" s="50">
        <v>0</v>
      </c>
      <c r="AP34" s="50">
        <f t="shared" si="16"/>
        <v>0</v>
      </c>
      <c r="AQ34" s="50">
        <v>600</v>
      </c>
      <c r="AR34" s="50">
        <v>0</v>
      </c>
      <c r="AS34" s="50">
        <f t="shared" si="17"/>
        <v>600</v>
      </c>
      <c r="AT34" s="50">
        <f t="shared" si="18"/>
        <v>0</v>
      </c>
      <c r="AU34" s="50" t="e">
        <f t="shared" si="19"/>
        <v>#DIV/0!</v>
      </c>
      <c r="AV34" s="51">
        <v>0</v>
      </c>
      <c r="AW34" s="36">
        <v>0</v>
      </c>
      <c r="AX34" s="36">
        <v>0</v>
      </c>
      <c r="AY34" s="51">
        <f t="shared" si="20"/>
        <v>0</v>
      </c>
      <c r="AZ34" s="51">
        <v>1500</v>
      </c>
      <c r="BA34" s="51">
        <v>0</v>
      </c>
      <c r="BB34" s="51">
        <f t="shared" si="21"/>
        <v>1500</v>
      </c>
      <c r="BC34" s="51">
        <f t="shared" si="22"/>
        <v>0</v>
      </c>
      <c r="BD34" s="51" t="e">
        <f t="shared" si="23"/>
        <v>#DIV/0!</v>
      </c>
      <c r="BE34" s="52">
        <v>0</v>
      </c>
      <c r="BF34" s="37">
        <v>0</v>
      </c>
      <c r="BG34" s="37">
        <v>0</v>
      </c>
      <c r="BH34" s="37">
        <f t="shared" si="24"/>
        <v>0</v>
      </c>
      <c r="BI34" s="52">
        <v>750</v>
      </c>
      <c r="BJ34" s="37">
        <v>0</v>
      </c>
      <c r="BK34" s="52">
        <f t="shared" si="25"/>
        <v>750</v>
      </c>
      <c r="BL34" s="52">
        <f t="shared" si="26"/>
        <v>0</v>
      </c>
      <c r="BM34" s="52" t="e">
        <f t="shared" si="27"/>
        <v>#DIV/0!</v>
      </c>
      <c r="BN34" s="53">
        <v>0</v>
      </c>
      <c r="BO34" s="38">
        <v>0</v>
      </c>
      <c r="BP34" s="38">
        <v>0</v>
      </c>
      <c r="BQ34" s="53">
        <f t="shared" si="28"/>
        <v>0</v>
      </c>
      <c r="BR34" s="53">
        <v>2450</v>
      </c>
      <c r="BS34" s="38">
        <v>0</v>
      </c>
      <c r="BT34" s="53">
        <f t="shared" si="29"/>
        <v>2450</v>
      </c>
      <c r="BU34" s="53">
        <f t="shared" si="30"/>
        <v>0</v>
      </c>
      <c r="BV34" s="53" t="e">
        <f t="shared" si="31"/>
        <v>#DIV/0!</v>
      </c>
      <c r="BW34" s="54">
        <v>0</v>
      </c>
      <c r="BX34" s="39">
        <v>0</v>
      </c>
      <c r="BY34" s="39">
        <v>0</v>
      </c>
      <c r="BZ34" s="54">
        <f t="shared" si="32"/>
        <v>0</v>
      </c>
      <c r="CA34" s="54">
        <v>750</v>
      </c>
      <c r="CB34" s="54">
        <v>0</v>
      </c>
      <c r="CC34" s="54">
        <f t="shared" si="33"/>
        <v>750</v>
      </c>
      <c r="CD34" s="54">
        <f t="shared" si="34"/>
        <v>0</v>
      </c>
      <c r="CE34" s="54" t="e">
        <f t="shared" si="35"/>
        <v>#DIV/0!</v>
      </c>
      <c r="CF34" s="55">
        <v>0</v>
      </c>
      <c r="CG34" s="55">
        <v>0</v>
      </c>
      <c r="CH34" s="55">
        <v>0</v>
      </c>
      <c r="CI34" s="55">
        <f t="shared" si="36"/>
        <v>0</v>
      </c>
      <c r="CJ34" s="55">
        <v>730</v>
      </c>
      <c r="CK34" s="55">
        <v>0</v>
      </c>
      <c r="CL34" s="55">
        <f t="shared" si="37"/>
        <v>730</v>
      </c>
      <c r="CM34" s="55">
        <f t="shared" si="38"/>
        <v>0</v>
      </c>
      <c r="CN34" s="55" t="e">
        <f t="shared" si="39"/>
        <v>#DIV/0!</v>
      </c>
      <c r="CO34" s="56">
        <v>0</v>
      </c>
      <c r="CP34" s="56">
        <v>0</v>
      </c>
      <c r="CQ34" s="56">
        <v>0</v>
      </c>
      <c r="CR34" s="56">
        <f t="shared" si="40"/>
        <v>0</v>
      </c>
      <c r="CS34" s="56">
        <v>730</v>
      </c>
      <c r="CT34" s="56">
        <v>0</v>
      </c>
      <c r="CU34" s="56">
        <f t="shared" si="41"/>
        <v>730</v>
      </c>
      <c r="CV34" s="56">
        <f t="shared" si="42"/>
        <v>0</v>
      </c>
      <c r="CW34" s="56" t="e">
        <f t="shared" si="43"/>
        <v>#DIV/0!</v>
      </c>
      <c r="CX34" s="57">
        <v>0</v>
      </c>
      <c r="CY34" s="57">
        <v>0</v>
      </c>
      <c r="CZ34" s="57">
        <v>0</v>
      </c>
      <c r="DA34" s="57">
        <f t="shared" si="44"/>
        <v>0</v>
      </c>
      <c r="DB34" s="57">
        <v>600</v>
      </c>
      <c r="DC34" s="57">
        <v>0</v>
      </c>
      <c r="DD34" s="57">
        <f t="shared" si="45"/>
        <v>600</v>
      </c>
      <c r="DE34" s="57">
        <f t="shared" si="46"/>
        <v>0</v>
      </c>
      <c r="DF34" s="57" t="e">
        <f t="shared" si="47"/>
        <v>#DIV/0!</v>
      </c>
    </row>
    <row r="35" spans="1:110" ht="14.25" customHeight="1">
      <c r="A35" s="43"/>
      <c r="B35" s="44"/>
      <c r="C35" s="45">
        <v>0</v>
      </c>
      <c r="D35" s="30">
        <v>0</v>
      </c>
      <c r="E35" s="30">
        <v>0</v>
      </c>
      <c r="F35" s="45">
        <f t="shared" si="0"/>
        <v>0</v>
      </c>
      <c r="G35" s="45">
        <v>900</v>
      </c>
      <c r="H35" s="30">
        <v>0</v>
      </c>
      <c r="I35" s="45">
        <f t="shared" si="1"/>
        <v>900</v>
      </c>
      <c r="J35" s="45">
        <f t="shared" si="2"/>
        <v>0</v>
      </c>
      <c r="K35" s="46" t="e">
        <f t="shared" si="3"/>
        <v>#DIV/0!</v>
      </c>
      <c r="L35" s="47">
        <v>0</v>
      </c>
      <c r="M35" s="32">
        <v>0</v>
      </c>
      <c r="N35" s="32">
        <v>0</v>
      </c>
      <c r="O35" s="47">
        <f t="shared" si="4"/>
        <v>0</v>
      </c>
      <c r="P35" s="47">
        <v>1800</v>
      </c>
      <c r="Q35" s="47">
        <v>0</v>
      </c>
      <c r="R35" s="47">
        <f t="shared" si="5"/>
        <v>1800</v>
      </c>
      <c r="S35" s="47">
        <f t="shared" si="6"/>
        <v>0</v>
      </c>
      <c r="T35" s="47" t="e">
        <f t="shared" si="7"/>
        <v>#DIV/0!</v>
      </c>
      <c r="U35" s="48">
        <v>0</v>
      </c>
      <c r="V35" s="48">
        <v>0</v>
      </c>
      <c r="W35" s="48">
        <v>0</v>
      </c>
      <c r="X35" s="48">
        <f t="shared" si="8"/>
        <v>0</v>
      </c>
      <c r="Y35" s="48">
        <v>910</v>
      </c>
      <c r="Z35" s="33">
        <v>0</v>
      </c>
      <c r="AA35" s="48">
        <f t="shared" si="9"/>
        <v>910</v>
      </c>
      <c r="AB35" s="48">
        <f t="shared" si="10"/>
        <v>0</v>
      </c>
      <c r="AC35" s="48" t="e">
        <f t="shared" si="11"/>
        <v>#DIV/0!</v>
      </c>
      <c r="AD35" s="49">
        <v>0</v>
      </c>
      <c r="AE35" s="49">
        <v>0</v>
      </c>
      <c r="AF35" s="49">
        <v>0</v>
      </c>
      <c r="AG35" s="49">
        <f t="shared" si="12"/>
        <v>0</v>
      </c>
      <c r="AH35" s="49">
        <v>1200</v>
      </c>
      <c r="AI35" s="49">
        <v>0</v>
      </c>
      <c r="AJ35" s="49">
        <f t="shared" si="13"/>
        <v>1200</v>
      </c>
      <c r="AK35" s="49">
        <f t="shared" si="14"/>
        <v>0</v>
      </c>
      <c r="AL35" s="49" t="e">
        <f t="shared" si="15"/>
        <v>#DIV/0!</v>
      </c>
      <c r="AM35" s="50">
        <v>0</v>
      </c>
      <c r="AN35" s="50">
        <v>0</v>
      </c>
      <c r="AO35" s="50">
        <v>0</v>
      </c>
      <c r="AP35" s="50">
        <f t="shared" si="16"/>
        <v>0</v>
      </c>
      <c r="AQ35" s="50">
        <v>600</v>
      </c>
      <c r="AR35" s="50">
        <v>0</v>
      </c>
      <c r="AS35" s="50">
        <f t="shared" si="17"/>
        <v>600</v>
      </c>
      <c r="AT35" s="50">
        <f t="shared" si="18"/>
        <v>0</v>
      </c>
      <c r="AU35" s="50" t="e">
        <f t="shared" si="19"/>
        <v>#DIV/0!</v>
      </c>
      <c r="AV35" s="51">
        <v>0</v>
      </c>
      <c r="AW35" s="36">
        <v>0</v>
      </c>
      <c r="AX35" s="36">
        <v>0</v>
      </c>
      <c r="AY35" s="51">
        <f t="shared" si="20"/>
        <v>0</v>
      </c>
      <c r="AZ35" s="51">
        <v>1500</v>
      </c>
      <c r="BA35" s="51">
        <v>0</v>
      </c>
      <c r="BB35" s="51">
        <f t="shared" si="21"/>
        <v>1500</v>
      </c>
      <c r="BC35" s="51">
        <f t="shared" si="22"/>
        <v>0</v>
      </c>
      <c r="BD35" s="51" t="e">
        <f t="shared" si="23"/>
        <v>#DIV/0!</v>
      </c>
      <c r="BE35" s="52">
        <v>0</v>
      </c>
      <c r="BF35" s="37">
        <v>0</v>
      </c>
      <c r="BG35" s="37">
        <v>0</v>
      </c>
      <c r="BH35" s="37">
        <f t="shared" si="24"/>
        <v>0</v>
      </c>
      <c r="BI35" s="52">
        <v>750</v>
      </c>
      <c r="BJ35" s="37">
        <v>0</v>
      </c>
      <c r="BK35" s="52">
        <f t="shared" si="25"/>
        <v>750</v>
      </c>
      <c r="BL35" s="52">
        <f t="shared" si="26"/>
        <v>0</v>
      </c>
      <c r="BM35" s="52" t="e">
        <f t="shared" si="27"/>
        <v>#DIV/0!</v>
      </c>
      <c r="BN35" s="53">
        <v>0</v>
      </c>
      <c r="BO35" s="38">
        <v>0</v>
      </c>
      <c r="BP35" s="38">
        <v>0</v>
      </c>
      <c r="BQ35" s="53">
        <f t="shared" si="28"/>
        <v>0</v>
      </c>
      <c r="BR35" s="53">
        <v>2450</v>
      </c>
      <c r="BS35" s="38">
        <v>0</v>
      </c>
      <c r="BT35" s="53">
        <f t="shared" si="29"/>
        <v>2450</v>
      </c>
      <c r="BU35" s="53">
        <f t="shared" si="30"/>
        <v>0</v>
      </c>
      <c r="BV35" s="53" t="e">
        <f t="shared" si="31"/>
        <v>#DIV/0!</v>
      </c>
      <c r="BW35" s="54">
        <v>0</v>
      </c>
      <c r="BX35" s="39">
        <v>0</v>
      </c>
      <c r="BY35" s="39">
        <v>0</v>
      </c>
      <c r="BZ35" s="54">
        <f t="shared" si="32"/>
        <v>0</v>
      </c>
      <c r="CA35" s="54">
        <v>750</v>
      </c>
      <c r="CB35" s="54">
        <v>0</v>
      </c>
      <c r="CC35" s="54">
        <f t="shared" si="33"/>
        <v>750</v>
      </c>
      <c r="CD35" s="54">
        <f t="shared" si="34"/>
        <v>0</v>
      </c>
      <c r="CE35" s="54" t="e">
        <f t="shared" si="35"/>
        <v>#DIV/0!</v>
      </c>
      <c r="CF35" s="55">
        <v>0</v>
      </c>
      <c r="CG35" s="55">
        <v>0</v>
      </c>
      <c r="CH35" s="55">
        <v>0</v>
      </c>
      <c r="CI35" s="55">
        <f t="shared" si="36"/>
        <v>0</v>
      </c>
      <c r="CJ35" s="55">
        <v>730</v>
      </c>
      <c r="CK35" s="55">
        <v>0</v>
      </c>
      <c r="CL35" s="55">
        <f t="shared" si="37"/>
        <v>730</v>
      </c>
      <c r="CM35" s="55">
        <f t="shared" si="38"/>
        <v>0</v>
      </c>
      <c r="CN35" s="55" t="e">
        <f t="shared" si="39"/>
        <v>#DIV/0!</v>
      </c>
      <c r="CO35" s="56">
        <v>0</v>
      </c>
      <c r="CP35" s="56">
        <v>0</v>
      </c>
      <c r="CQ35" s="56">
        <v>0</v>
      </c>
      <c r="CR35" s="56">
        <f t="shared" si="40"/>
        <v>0</v>
      </c>
      <c r="CS35" s="56">
        <v>730</v>
      </c>
      <c r="CT35" s="56">
        <v>0</v>
      </c>
      <c r="CU35" s="56">
        <f t="shared" si="41"/>
        <v>730</v>
      </c>
      <c r="CV35" s="56">
        <f t="shared" si="42"/>
        <v>0</v>
      </c>
      <c r="CW35" s="56" t="e">
        <f t="shared" si="43"/>
        <v>#DIV/0!</v>
      </c>
      <c r="CX35" s="57">
        <v>0</v>
      </c>
      <c r="CY35" s="57">
        <v>0</v>
      </c>
      <c r="CZ35" s="57">
        <v>0</v>
      </c>
      <c r="DA35" s="57">
        <f t="shared" si="44"/>
        <v>0</v>
      </c>
      <c r="DB35" s="57">
        <v>600</v>
      </c>
      <c r="DC35" s="57">
        <v>0</v>
      </c>
      <c r="DD35" s="57">
        <f t="shared" si="45"/>
        <v>600</v>
      </c>
      <c r="DE35" s="57">
        <f t="shared" si="46"/>
        <v>0</v>
      </c>
      <c r="DF35" s="57" t="e">
        <f t="shared" si="47"/>
        <v>#DIV/0!</v>
      </c>
    </row>
    <row r="36" spans="1:110" ht="14.25" customHeight="1">
      <c r="A36" s="43"/>
      <c r="B36" s="44"/>
      <c r="C36" s="45">
        <v>0</v>
      </c>
      <c r="D36" s="30">
        <v>0</v>
      </c>
      <c r="E36" s="30">
        <v>0</v>
      </c>
      <c r="F36" s="45">
        <f t="shared" si="0"/>
        <v>0</v>
      </c>
      <c r="G36" s="45">
        <v>900</v>
      </c>
      <c r="H36" s="30">
        <v>0</v>
      </c>
      <c r="I36" s="45">
        <f t="shared" si="1"/>
        <v>900</v>
      </c>
      <c r="J36" s="45">
        <f t="shared" si="2"/>
        <v>0</v>
      </c>
      <c r="K36" s="46" t="e">
        <f t="shared" si="3"/>
        <v>#DIV/0!</v>
      </c>
      <c r="L36" s="47">
        <v>0</v>
      </c>
      <c r="M36" s="32">
        <v>0</v>
      </c>
      <c r="N36" s="32">
        <v>0</v>
      </c>
      <c r="O36" s="47">
        <f t="shared" si="4"/>
        <v>0</v>
      </c>
      <c r="P36" s="47">
        <v>1800</v>
      </c>
      <c r="Q36" s="47">
        <v>0</v>
      </c>
      <c r="R36" s="47">
        <f t="shared" si="5"/>
        <v>1800</v>
      </c>
      <c r="S36" s="47">
        <f t="shared" si="6"/>
        <v>0</v>
      </c>
      <c r="T36" s="47" t="e">
        <f t="shared" si="7"/>
        <v>#DIV/0!</v>
      </c>
      <c r="U36" s="48">
        <v>0</v>
      </c>
      <c r="V36" s="48">
        <v>0</v>
      </c>
      <c r="W36" s="48">
        <v>0</v>
      </c>
      <c r="X36" s="48">
        <f t="shared" si="8"/>
        <v>0</v>
      </c>
      <c r="Y36" s="48">
        <v>910</v>
      </c>
      <c r="Z36" s="33">
        <v>0</v>
      </c>
      <c r="AA36" s="48">
        <f t="shared" si="9"/>
        <v>910</v>
      </c>
      <c r="AB36" s="48">
        <f t="shared" si="10"/>
        <v>0</v>
      </c>
      <c r="AC36" s="48" t="e">
        <f t="shared" si="11"/>
        <v>#DIV/0!</v>
      </c>
      <c r="AD36" s="49">
        <v>0</v>
      </c>
      <c r="AE36" s="49">
        <v>6</v>
      </c>
      <c r="AF36" s="49">
        <v>0</v>
      </c>
      <c r="AG36" s="49">
        <f t="shared" si="12"/>
        <v>6</v>
      </c>
      <c r="AH36" s="49">
        <v>1200</v>
      </c>
      <c r="AI36" s="49">
        <v>30</v>
      </c>
      <c r="AJ36" s="49">
        <f t="shared" si="13"/>
        <v>1170</v>
      </c>
      <c r="AK36" s="49">
        <f t="shared" si="14"/>
        <v>7020</v>
      </c>
      <c r="AL36" s="49">
        <f t="shared" si="15"/>
        <v>0</v>
      </c>
      <c r="AM36" s="50">
        <v>0</v>
      </c>
      <c r="AN36" s="50">
        <v>0</v>
      </c>
      <c r="AO36" s="50">
        <v>0</v>
      </c>
      <c r="AP36" s="50">
        <f t="shared" si="16"/>
        <v>0</v>
      </c>
      <c r="AQ36" s="50">
        <v>600</v>
      </c>
      <c r="AR36" s="50">
        <v>0</v>
      </c>
      <c r="AS36" s="50">
        <f t="shared" si="17"/>
        <v>600</v>
      </c>
      <c r="AT36" s="50">
        <f t="shared" si="18"/>
        <v>0</v>
      </c>
      <c r="AU36" s="50" t="e">
        <f t="shared" si="19"/>
        <v>#DIV/0!</v>
      </c>
      <c r="AV36" s="51">
        <v>0</v>
      </c>
      <c r="AW36" s="36">
        <v>0</v>
      </c>
      <c r="AX36" s="36">
        <v>0</v>
      </c>
      <c r="AY36" s="51">
        <f t="shared" si="20"/>
        <v>0</v>
      </c>
      <c r="AZ36" s="51">
        <v>1500</v>
      </c>
      <c r="BA36" s="51">
        <v>0</v>
      </c>
      <c r="BB36" s="51">
        <f t="shared" si="21"/>
        <v>1500</v>
      </c>
      <c r="BC36" s="51">
        <f t="shared" si="22"/>
        <v>0</v>
      </c>
      <c r="BD36" s="51" t="e">
        <f t="shared" si="23"/>
        <v>#DIV/0!</v>
      </c>
      <c r="BE36" s="52">
        <v>0</v>
      </c>
      <c r="BF36" s="37">
        <v>0</v>
      </c>
      <c r="BG36" s="37">
        <v>0</v>
      </c>
      <c r="BH36" s="37">
        <f t="shared" si="24"/>
        <v>0</v>
      </c>
      <c r="BI36" s="52">
        <v>750</v>
      </c>
      <c r="BJ36" s="37">
        <v>0</v>
      </c>
      <c r="BK36" s="52">
        <f t="shared" si="25"/>
        <v>750</v>
      </c>
      <c r="BL36" s="52">
        <f t="shared" si="26"/>
        <v>0</v>
      </c>
      <c r="BM36" s="52" t="e">
        <f t="shared" si="27"/>
        <v>#DIV/0!</v>
      </c>
      <c r="BN36" s="53">
        <v>0</v>
      </c>
      <c r="BO36" s="38">
        <v>0</v>
      </c>
      <c r="BP36" s="38">
        <v>0</v>
      </c>
      <c r="BQ36" s="53">
        <f t="shared" si="28"/>
        <v>0</v>
      </c>
      <c r="BR36" s="53">
        <v>2450</v>
      </c>
      <c r="BS36" s="38">
        <v>0</v>
      </c>
      <c r="BT36" s="53">
        <f t="shared" si="29"/>
        <v>2450</v>
      </c>
      <c r="BU36" s="53">
        <f t="shared" si="30"/>
        <v>0</v>
      </c>
      <c r="BV36" s="53" t="e">
        <f t="shared" si="31"/>
        <v>#DIV/0!</v>
      </c>
      <c r="BW36" s="54">
        <v>0</v>
      </c>
      <c r="BX36" s="39">
        <v>0</v>
      </c>
      <c r="BY36" s="39">
        <v>0</v>
      </c>
      <c r="BZ36" s="54">
        <f t="shared" si="32"/>
        <v>0</v>
      </c>
      <c r="CA36" s="54">
        <v>750</v>
      </c>
      <c r="CB36" s="54">
        <v>0</v>
      </c>
      <c r="CC36" s="54">
        <f t="shared" si="33"/>
        <v>750</v>
      </c>
      <c r="CD36" s="54">
        <f t="shared" si="34"/>
        <v>0</v>
      </c>
      <c r="CE36" s="54" t="e">
        <f t="shared" si="35"/>
        <v>#DIV/0!</v>
      </c>
      <c r="CF36" s="55">
        <v>0</v>
      </c>
      <c r="CG36" s="55">
        <v>0</v>
      </c>
      <c r="CH36" s="55">
        <v>0</v>
      </c>
      <c r="CI36" s="55">
        <f t="shared" si="36"/>
        <v>0</v>
      </c>
      <c r="CJ36" s="55">
        <v>730</v>
      </c>
      <c r="CK36" s="55">
        <v>0</v>
      </c>
      <c r="CL36" s="55">
        <f t="shared" si="37"/>
        <v>730</v>
      </c>
      <c r="CM36" s="55">
        <f t="shared" si="38"/>
        <v>0</v>
      </c>
      <c r="CN36" s="55" t="e">
        <f t="shared" si="39"/>
        <v>#DIV/0!</v>
      </c>
      <c r="CO36" s="56">
        <v>0</v>
      </c>
      <c r="CP36" s="56">
        <v>0</v>
      </c>
      <c r="CQ36" s="56">
        <v>0</v>
      </c>
      <c r="CR36" s="56">
        <f t="shared" si="40"/>
        <v>0</v>
      </c>
      <c r="CS36" s="56">
        <v>730</v>
      </c>
      <c r="CT36" s="56">
        <v>0</v>
      </c>
      <c r="CU36" s="56">
        <f t="shared" si="41"/>
        <v>730</v>
      </c>
      <c r="CV36" s="56">
        <f t="shared" si="42"/>
        <v>0</v>
      </c>
      <c r="CW36" s="56" t="e">
        <f t="shared" si="43"/>
        <v>#DIV/0!</v>
      </c>
      <c r="CX36" s="57">
        <v>0</v>
      </c>
      <c r="CY36" s="57">
        <v>0</v>
      </c>
      <c r="CZ36" s="57">
        <v>0</v>
      </c>
      <c r="DA36" s="57">
        <f t="shared" si="44"/>
        <v>0</v>
      </c>
      <c r="DB36" s="57">
        <v>600</v>
      </c>
      <c r="DC36" s="57">
        <v>0</v>
      </c>
      <c r="DD36" s="57">
        <f t="shared" si="45"/>
        <v>600</v>
      </c>
      <c r="DE36" s="57">
        <f t="shared" si="46"/>
        <v>0</v>
      </c>
      <c r="DF36" s="57" t="e">
        <f t="shared" si="47"/>
        <v>#DIV/0!</v>
      </c>
    </row>
    <row r="37" spans="1:110" ht="14.25" customHeight="1">
      <c r="A37" s="43"/>
      <c r="B37" s="44"/>
      <c r="C37" s="45">
        <v>0</v>
      </c>
      <c r="D37" s="30">
        <v>0</v>
      </c>
      <c r="E37" s="30">
        <v>0</v>
      </c>
      <c r="F37" s="45">
        <f t="shared" si="0"/>
        <v>0</v>
      </c>
      <c r="G37" s="45">
        <v>900</v>
      </c>
      <c r="H37" s="30">
        <v>0</v>
      </c>
      <c r="I37" s="45">
        <f t="shared" si="1"/>
        <v>900</v>
      </c>
      <c r="J37" s="45">
        <f t="shared" si="2"/>
        <v>0</v>
      </c>
      <c r="K37" s="46" t="e">
        <f t="shared" si="3"/>
        <v>#DIV/0!</v>
      </c>
      <c r="L37" s="47">
        <v>0</v>
      </c>
      <c r="M37" s="32">
        <v>0</v>
      </c>
      <c r="N37" s="32">
        <v>0</v>
      </c>
      <c r="O37" s="47">
        <f t="shared" si="4"/>
        <v>0</v>
      </c>
      <c r="P37" s="47">
        <v>1800</v>
      </c>
      <c r="Q37" s="47">
        <v>0</v>
      </c>
      <c r="R37" s="47">
        <f t="shared" si="5"/>
        <v>1800</v>
      </c>
      <c r="S37" s="47">
        <f t="shared" si="6"/>
        <v>0</v>
      </c>
      <c r="T37" s="47" t="e">
        <f t="shared" si="7"/>
        <v>#DIV/0!</v>
      </c>
      <c r="U37" s="48">
        <v>0</v>
      </c>
      <c r="V37" s="48">
        <v>0</v>
      </c>
      <c r="W37" s="48">
        <v>0</v>
      </c>
      <c r="X37" s="48">
        <f t="shared" si="8"/>
        <v>0</v>
      </c>
      <c r="Y37" s="48">
        <v>910</v>
      </c>
      <c r="Z37" s="33">
        <v>0</v>
      </c>
      <c r="AA37" s="48">
        <f t="shared" si="9"/>
        <v>910</v>
      </c>
      <c r="AB37" s="48">
        <f t="shared" si="10"/>
        <v>0</v>
      </c>
      <c r="AC37" s="48" t="e">
        <f t="shared" si="11"/>
        <v>#DIV/0!</v>
      </c>
      <c r="AD37" s="49">
        <v>0</v>
      </c>
      <c r="AE37" s="49">
        <v>0</v>
      </c>
      <c r="AF37" s="49">
        <v>0</v>
      </c>
      <c r="AG37" s="49">
        <f t="shared" si="12"/>
        <v>0</v>
      </c>
      <c r="AH37" s="49">
        <v>1200</v>
      </c>
      <c r="AI37" s="49">
        <v>0</v>
      </c>
      <c r="AJ37" s="49">
        <f t="shared" si="13"/>
        <v>1200</v>
      </c>
      <c r="AK37" s="49">
        <f t="shared" si="14"/>
        <v>0</v>
      </c>
      <c r="AL37" s="49" t="e">
        <f t="shared" si="15"/>
        <v>#DIV/0!</v>
      </c>
      <c r="AM37" s="50">
        <v>0</v>
      </c>
      <c r="AN37" s="50">
        <v>0</v>
      </c>
      <c r="AO37" s="50">
        <v>0</v>
      </c>
      <c r="AP37" s="50">
        <f t="shared" si="16"/>
        <v>0</v>
      </c>
      <c r="AQ37" s="50">
        <v>600</v>
      </c>
      <c r="AR37" s="50">
        <v>0</v>
      </c>
      <c r="AS37" s="50">
        <f t="shared" si="17"/>
        <v>600</v>
      </c>
      <c r="AT37" s="50">
        <f t="shared" si="18"/>
        <v>0</v>
      </c>
      <c r="AU37" s="50" t="e">
        <f t="shared" si="19"/>
        <v>#DIV/0!</v>
      </c>
      <c r="AV37" s="51">
        <v>0</v>
      </c>
      <c r="AW37" s="36">
        <v>0</v>
      </c>
      <c r="AX37" s="36">
        <v>0</v>
      </c>
      <c r="AY37" s="51">
        <f t="shared" si="20"/>
        <v>0</v>
      </c>
      <c r="AZ37" s="51">
        <v>1500</v>
      </c>
      <c r="BA37" s="51">
        <v>100</v>
      </c>
      <c r="BB37" s="51">
        <f t="shared" si="21"/>
        <v>1400</v>
      </c>
      <c r="BC37" s="51">
        <f t="shared" si="22"/>
        <v>0</v>
      </c>
      <c r="BD37" s="51" t="e">
        <f t="shared" si="23"/>
        <v>#DIV/0!</v>
      </c>
      <c r="BE37" s="52">
        <v>0</v>
      </c>
      <c r="BF37" s="37">
        <v>0</v>
      </c>
      <c r="BG37" s="37">
        <v>0</v>
      </c>
      <c r="BH37" s="37">
        <f t="shared" si="24"/>
        <v>0</v>
      </c>
      <c r="BI37" s="52">
        <v>750</v>
      </c>
      <c r="BJ37" s="37">
        <v>0</v>
      </c>
      <c r="BK37" s="52">
        <f t="shared" si="25"/>
        <v>750</v>
      </c>
      <c r="BL37" s="52">
        <f t="shared" si="26"/>
        <v>0</v>
      </c>
      <c r="BM37" s="52" t="e">
        <f t="shared" si="27"/>
        <v>#DIV/0!</v>
      </c>
      <c r="BN37" s="53">
        <v>0</v>
      </c>
      <c r="BO37" s="38">
        <v>0</v>
      </c>
      <c r="BP37" s="38">
        <v>0</v>
      </c>
      <c r="BQ37" s="53">
        <f t="shared" si="28"/>
        <v>0</v>
      </c>
      <c r="BR37" s="53">
        <v>2450</v>
      </c>
      <c r="BS37" s="38">
        <v>0</v>
      </c>
      <c r="BT37" s="53">
        <f t="shared" si="29"/>
        <v>2450</v>
      </c>
      <c r="BU37" s="53">
        <f t="shared" si="30"/>
        <v>0</v>
      </c>
      <c r="BV37" s="53" t="e">
        <f t="shared" si="31"/>
        <v>#DIV/0!</v>
      </c>
      <c r="BW37" s="54">
        <v>0</v>
      </c>
      <c r="BX37" s="39">
        <v>0</v>
      </c>
      <c r="BY37" s="39">
        <v>0</v>
      </c>
      <c r="BZ37" s="54">
        <f t="shared" si="32"/>
        <v>0</v>
      </c>
      <c r="CA37" s="54">
        <v>750</v>
      </c>
      <c r="CB37" s="54">
        <v>0</v>
      </c>
      <c r="CC37" s="54">
        <f t="shared" si="33"/>
        <v>750</v>
      </c>
      <c r="CD37" s="54">
        <f t="shared" si="34"/>
        <v>0</v>
      </c>
      <c r="CE37" s="54" t="e">
        <f t="shared" si="35"/>
        <v>#DIV/0!</v>
      </c>
      <c r="CF37" s="55">
        <v>0</v>
      </c>
      <c r="CG37" s="55">
        <v>0</v>
      </c>
      <c r="CH37" s="55">
        <v>0</v>
      </c>
      <c r="CI37" s="55">
        <f t="shared" si="36"/>
        <v>0</v>
      </c>
      <c r="CJ37" s="55">
        <v>730</v>
      </c>
      <c r="CK37" s="55">
        <v>0</v>
      </c>
      <c r="CL37" s="55">
        <f t="shared" si="37"/>
        <v>730</v>
      </c>
      <c r="CM37" s="55">
        <f t="shared" si="38"/>
        <v>0</v>
      </c>
      <c r="CN37" s="55" t="e">
        <f t="shared" si="39"/>
        <v>#DIV/0!</v>
      </c>
      <c r="CO37" s="56">
        <v>0</v>
      </c>
      <c r="CP37" s="56">
        <v>0</v>
      </c>
      <c r="CQ37" s="56">
        <v>0</v>
      </c>
      <c r="CR37" s="56">
        <f t="shared" si="40"/>
        <v>0</v>
      </c>
      <c r="CS37" s="56">
        <v>730</v>
      </c>
      <c r="CT37" s="56">
        <v>0</v>
      </c>
      <c r="CU37" s="56">
        <f t="shared" si="41"/>
        <v>730</v>
      </c>
      <c r="CV37" s="56">
        <f t="shared" si="42"/>
        <v>0</v>
      </c>
      <c r="CW37" s="56" t="e">
        <f t="shared" si="43"/>
        <v>#DIV/0!</v>
      </c>
      <c r="CX37" s="57">
        <v>0</v>
      </c>
      <c r="CY37" s="57">
        <v>0</v>
      </c>
      <c r="CZ37" s="57">
        <v>0</v>
      </c>
      <c r="DA37" s="57">
        <f t="shared" si="44"/>
        <v>0</v>
      </c>
      <c r="DB37" s="57">
        <v>600</v>
      </c>
      <c r="DC37" s="57">
        <v>0</v>
      </c>
      <c r="DD37" s="57">
        <f t="shared" si="45"/>
        <v>600</v>
      </c>
      <c r="DE37" s="57">
        <f t="shared" si="46"/>
        <v>0</v>
      </c>
      <c r="DF37" s="57" t="e">
        <f t="shared" si="47"/>
        <v>#DIV/0!</v>
      </c>
    </row>
    <row r="38" spans="1:110" ht="14.25" customHeight="1">
      <c r="A38" s="43"/>
      <c r="B38" s="44"/>
      <c r="C38" s="45">
        <v>0</v>
      </c>
      <c r="D38" s="30">
        <v>0</v>
      </c>
      <c r="E38" s="30">
        <v>0</v>
      </c>
      <c r="F38" s="45">
        <f t="shared" si="0"/>
        <v>0</v>
      </c>
      <c r="G38" s="45">
        <v>900</v>
      </c>
      <c r="H38" s="30">
        <v>0</v>
      </c>
      <c r="I38" s="45">
        <f t="shared" si="1"/>
        <v>900</v>
      </c>
      <c r="J38" s="45">
        <f t="shared" si="2"/>
        <v>0</v>
      </c>
      <c r="K38" s="46" t="e">
        <f t="shared" si="3"/>
        <v>#DIV/0!</v>
      </c>
      <c r="L38" s="47">
        <v>0</v>
      </c>
      <c r="M38" s="32">
        <v>0</v>
      </c>
      <c r="N38" s="32">
        <v>0</v>
      </c>
      <c r="O38" s="47">
        <f t="shared" si="4"/>
        <v>0</v>
      </c>
      <c r="P38" s="47">
        <v>1800</v>
      </c>
      <c r="Q38" s="47">
        <v>0</v>
      </c>
      <c r="R38" s="47">
        <f t="shared" si="5"/>
        <v>1800</v>
      </c>
      <c r="S38" s="47">
        <f t="shared" si="6"/>
        <v>0</v>
      </c>
      <c r="T38" s="47" t="e">
        <f t="shared" si="7"/>
        <v>#DIV/0!</v>
      </c>
      <c r="U38" s="48">
        <v>0</v>
      </c>
      <c r="V38" s="48">
        <v>0</v>
      </c>
      <c r="W38" s="48">
        <v>0</v>
      </c>
      <c r="X38" s="48">
        <f t="shared" si="8"/>
        <v>0</v>
      </c>
      <c r="Y38" s="48">
        <v>910</v>
      </c>
      <c r="Z38" s="33">
        <v>0</v>
      </c>
      <c r="AA38" s="48">
        <f t="shared" si="9"/>
        <v>910</v>
      </c>
      <c r="AB38" s="48">
        <f t="shared" si="10"/>
        <v>0</v>
      </c>
      <c r="AC38" s="48" t="e">
        <f t="shared" si="11"/>
        <v>#DIV/0!</v>
      </c>
      <c r="AD38" s="49">
        <v>0</v>
      </c>
      <c r="AE38" s="49">
        <v>0</v>
      </c>
      <c r="AF38" s="49">
        <v>0</v>
      </c>
      <c r="AG38" s="49">
        <f t="shared" si="12"/>
        <v>0</v>
      </c>
      <c r="AH38" s="49">
        <v>1200</v>
      </c>
      <c r="AI38" s="49">
        <v>0</v>
      </c>
      <c r="AJ38" s="49">
        <f t="shared" si="13"/>
        <v>1200</v>
      </c>
      <c r="AK38" s="49">
        <f t="shared" si="14"/>
        <v>0</v>
      </c>
      <c r="AL38" s="49" t="e">
        <f t="shared" si="15"/>
        <v>#DIV/0!</v>
      </c>
      <c r="AM38" s="50">
        <v>0</v>
      </c>
      <c r="AN38" s="50">
        <v>0</v>
      </c>
      <c r="AO38" s="50">
        <v>0</v>
      </c>
      <c r="AP38" s="50">
        <f t="shared" si="16"/>
        <v>0</v>
      </c>
      <c r="AQ38" s="50">
        <v>600</v>
      </c>
      <c r="AR38" s="50">
        <v>0</v>
      </c>
      <c r="AS38" s="50">
        <f t="shared" si="17"/>
        <v>600</v>
      </c>
      <c r="AT38" s="50">
        <f t="shared" si="18"/>
        <v>0</v>
      </c>
      <c r="AU38" s="50" t="e">
        <f t="shared" si="19"/>
        <v>#DIV/0!</v>
      </c>
      <c r="AV38" s="51">
        <v>0</v>
      </c>
      <c r="AW38" s="36">
        <v>0</v>
      </c>
      <c r="AX38" s="36">
        <v>0</v>
      </c>
      <c r="AY38" s="51">
        <f t="shared" si="20"/>
        <v>0</v>
      </c>
      <c r="AZ38" s="51">
        <v>1500</v>
      </c>
      <c r="BA38" s="51">
        <v>0</v>
      </c>
      <c r="BB38" s="51">
        <f t="shared" si="21"/>
        <v>1500</v>
      </c>
      <c r="BC38" s="51">
        <f t="shared" si="22"/>
        <v>0</v>
      </c>
      <c r="BD38" s="51" t="e">
        <f t="shared" si="23"/>
        <v>#DIV/0!</v>
      </c>
      <c r="BE38" s="52">
        <v>0</v>
      </c>
      <c r="BF38" s="37">
        <v>0</v>
      </c>
      <c r="BG38" s="37">
        <v>0</v>
      </c>
      <c r="BH38" s="37">
        <f t="shared" si="24"/>
        <v>0</v>
      </c>
      <c r="BI38" s="52">
        <v>750</v>
      </c>
      <c r="BJ38" s="37">
        <v>0</v>
      </c>
      <c r="BK38" s="52">
        <f t="shared" si="25"/>
        <v>750</v>
      </c>
      <c r="BL38" s="52">
        <f t="shared" si="26"/>
        <v>0</v>
      </c>
      <c r="BM38" s="52" t="e">
        <f t="shared" si="27"/>
        <v>#DIV/0!</v>
      </c>
      <c r="BN38" s="53">
        <v>0</v>
      </c>
      <c r="BO38" s="38">
        <v>0</v>
      </c>
      <c r="BP38" s="38">
        <v>0</v>
      </c>
      <c r="BQ38" s="53">
        <f t="shared" si="28"/>
        <v>0</v>
      </c>
      <c r="BR38" s="53">
        <v>2450</v>
      </c>
      <c r="BS38" s="38">
        <v>0</v>
      </c>
      <c r="BT38" s="53">
        <f t="shared" si="29"/>
        <v>2450</v>
      </c>
      <c r="BU38" s="53">
        <f t="shared" si="30"/>
        <v>0</v>
      </c>
      <c r="BV38" s="53" t="e">
        <f t="shared" si="31"/>
        <v>#DIV/0!</v>
      </c>
      <c r="BW38" s="54">
        <v>0</v>
      </c>
      <c r="BX38" s="39">
        <v>0</v>
      </c>
      <c r="BY38" s="39">
        <v>0</v>
      </c>
      <c r="BZ38" s="54">
        <f t="shared" si="32"/>
        <v>0</v>
      </c>
      <c r="CA38" s="54">
        <v>750</v>
      </c>
      <c r="CB38" s="54">
        <v>0</v>
      </c>
      <c r="CC38" s="54">
        <f t="shared" si="33"/>
        <v>750</v>
      </c>
      <c r="CD38" s="54">
        <f t="shared" si="34"/>
        <v>0</v>
      </c>
      <c r="CE38" s="54" t="e">
        <f t="shared" si="35"/>
        <v>#DIV/0!</v>
      </c>
      <c r="CF38" s="55">
        <v>0</v>
      </c>
      <c r="CG38" s="55">
        <v>0</v>
      </c>
      <c r="CH38" s="55">
        <v>0</v>
      </c>
      <c r="CI38" s="55">
        <f t="shared" si="36"/>
        <v>0</v>
      </c>
      <c r="CJ38" s="55">
        <v>730</v>
      </c>
      <c r="CK38" s="55">
        <v>0</v>
      </c>
      <c r="CL38" s="55">
        <f t="shared" si="37"/>
        <v>730</v>
      </c>
      <c r="CM38" s="55">
        <f t="shared" si="38"/>
        <v>0</v>
      </c>
      <c r="CN38" s="55" t="e">
        <f t="shared" si="39"/>
        <v>#DIV/0!</v>
      </c>
      <c r="CO38" s="56">
        <v>0</v>
      </c>
      <c r="CP38" s="56">
        <v>0</v>
      </c>
      <c r="CQ38" s="56">
        <v>0</v>
      </c>
      <c r="CR38" s="56">
        <f t="shared" si="40"/>
        <v>0</v>
      </c>
      <c r="CS38" s="56">
        <v>730</v>
      </c>
      <c r="CT38" s="56">
        <v>0</v>
      </c>
      <c r="CU38" s="56">
        <f t="shared" si="41"/>
        <v>730</v>
      </c>
      <c r="CV38" s="56">
        <f t="shared" si="42"/>
        <v>0</v>
      </c>
      <c r="CW38" s="56" t="e">
        <f t="shared" si="43"/>
        <v>#DIV/0!</v>
      </c>
      <c r="CX38" s="57">
        <v>0</v>
      </c>
      <c r="CY38" s="57">
        <v>0</v>
      </c>
      <c r="CZ38" s="57">
        <v>0</v>
      </c>
      <c r="DA38" s="57">
        <f t="shared" si="44"/>
        <v>0</v>
      </c>
      <c r="DB38" s="57">
        <v>600</v>
      </c>
      <c r="DC38" s="57">
        <v>0</v>
      </c>
      <c r="DD38" s="57">
        <f t="shared" si="45"/>
        <v>600</v>
      </c>
      <c r="DE38" s="57">
        <f t="shared" si="46"/>
        <v>0</v>
      </c>
      <c r="DF38" s="57" t="e">
        <f t="shared" si="47"/>
        <v>#DIV/0!</v>
      </c>
    </row>
    <row r="39" spans="1:110" ht="14.25" customHeight="1">
      <c r="A39" s="43"/>
      <c r="B39" s="44"/>
      <c r="C39" s="45">
        <v>0</v>
      </c>
      <c r="D39" s="30">
        <v>0</v>
      </c>
      <c r="E39" s="30">
        <v>0</v>
      </c>
      <c r="F39" s="45">
        <f t="shared" si="0"/>
        <v>0</v>
      </c>
      <c r="G39" s="45">
        <v>900</v>
      </c>
      <c r="H39" s="30">
        <v>0</v>
      </c>
      <c r="I39" s="45">
        <f t="shared" si="1"/>
        <v>900</v>
      </c>
      <c r="J39" s="45">
        <f t="shared" si="2"/>
        <v>0</v>
      </c>
      <c r="K39" s="46" t="e">
        <f t="shared" si="3"/>
        <v>#DIV/0!</v>
      </c>
      <c r="L39" s="47">
        <v>0</v>
      </c>
      <c r="M39" s="32">
        <v>0</v>
      </c>
      <c r="N39" s="32">
        <v>0</v>
      </c>
      <c r="O39" s="47">
        <f t="shared" si="4"/>
        <v>0</v>
      </c>
      <c r="P39" s="47">
        <v>1800</v>
      </c>
      <c r="Q39" s="47">
        <v>0</v>
      </c>
      <c r="R39" s="47">
        <f t="shared" si="5"/>
        <v>1800</v>
      </c>
      <c r="S39" s="47">
        <f t="shared" si="6"/>
        <v>0</v>
      </c>
      <c r="T39" s="47" t="e">
        <f t="shared" si="7"/>
        <v>#DIV/0!</v>
      </c>
      <c r="U39" s="48">
        <v>0</v>
      </c>
      <c r="V39" s="48">
        <v>0</v>
      </c>
      <c r="W39" s="48">
        <v>0</v>
      </c>
      <c r="X39" s="48">
        <f t="shared" si="8"/>
        <v>0</v>
      </c>
      <c r="Y39" s="48">
        <v>910</v>
      </c>
      <c r="Z39" s="33">
        <v>0</v>
      </c>
      <c r="AA39" s="48">
        <f t="shared" si="9"/>
        <v>910</v>
      </c>
      <c r="AB39" s="48">
        <f t="shared" si="10"/>
        <v>0</v>
      </c>
      <c r="AC39" s="48" t="e">
        <f t="shared" si="11"/>
        <v>#DIV/0!</v>
      </c>
      <c r="AD39" s="49">
        <v>0</v>
      </c>
      <c r="AE39" s="49">
        <v>0</v>
      </c>
      <c r="AF39" s="49">
        <v>0</v>
      </c>
      <c r="AG39" s="49">
        <f t="shared" si="12"/>
        <v>0</v>
      </c>
      <c r="AH39" s="49">
        <v>1200</v>
      </c>
      <c r="AI39" s="49">
        <v>0</v>
      </c>
      <c r="AJ39" s="49">
        <f t="shared" si="13"/>
        <v>1200</v>
      </c>
      <c r="AK39" s="49">
        <f t="shared" si="14"/>
        <v>0</v>
      </c>
      <c r="AL39" s="49" t="e">
        <f t="shared" si="15"/>
        <v>#DIV/0!</v>
      </c>
      <c r="AM39" s="50">
        <v>0</v>
      </c>
      <c r="AN39" s="50">
        <v>0</v>
      </c>
      <c r="AO39" s="50">
        <v>0</v>
      </c>
      <c r="AP39" s="50">
        <f t="shared" si="16"/>
        <v>0</v>
      </c>
      <c r="AQ39" s="50">
        <v>600</v>
      </c>
      <c r="AR39" s="50">
        <v>0</v>
      </c>
      <c r="AS39" s="50">
        <f t="shared" si="17"/>
        <v>600</v>
      </c>
      <c r="AT39" s="50">
        <f t="shared" si="18"/>
        <v>0</v>
      </c>
      <c r="AU39" s="50" t="e">
        <f t="shared" si="19"/>
        <v>#DIV/0!</v>
      </c>
      <c r="AV39" s="51">
        <v>0</v>
      </c>
      <c r="AW39" s="36">
        <v>0</v>
      </c>
      <c r="AX39" s="36">
        <v>0</v>
      </c>
      <c r="AY39" s="51">
        <f t="shared" si="20"/>
        <v>0</v>
      </c>
      <c r="AZ39" s="51">
        <v>1500</v>
      </c>
      <c r="BA39" s="51">
        <v>0</v>
      </c>
      <c r="BB39" s="51">
        <f t="shared" si="21"/>
        <v>1500</v>
      </c>
      <c r="BC39" s="51">
        <f t="shared" si="22"/>
        <v>0</v>
      </c>
      <c r="BD39" s="51" t="e">
        <f t="shared" si="23"/>
        <v>#DIV/0!</v>
      </c>
      <c r="BE39" s="52">
        <v>0</v>
      </c>
      <c r="BF39" s="37">
        <v>0</v>
      </c>
      <c r="BG39" s="37">
        <v>0</v>
      </c>
      <c r="BH39" s="37">
        <f t="shared" si="24"/>
        <v>0</v>
      </c>
      <c r="BI39" s="52">
        <v>750</v>
      </c>
      <c r="BJ39" s="37">
        <v>0</v>
      </c>
      <c r="BK39" s="52">
        <f t="shared" si="25"/>
        <v>750</v>
      </c>
      <c r="BL39" s="52">
        <f t="shared" si="26"/>
        <v>0</v>
      </c>
      <c r="BM39" s="52" t="e">
        <f t="shared" si="27"/>
        <v>#DIV/0!</v>
      </c>
      <c r="BN39" s="53">
        <v>0</v>
      </c>
      <c r="BO39" s="38">
        <v>0</v>
      </c>
      <c r="BP39" s="38">
        <v>0</v>
      </c>
      <c r="BQ39" s="53">
        <f t="shared" si="28"/>
        <v>0</v>
      </c>
      <c r="BR39" s="53">
        <v>2450</v>
      </c>
      <c r="BS39" s="38">
        <v>0</v>
      </c>
      <c r="BT39" s="53">
        <f t="shared" si="29"/>
        <v>2450</v>
      </c>
      <c r="BU39" s="53">
        <f t="shared" si="30"/>
        <v>0</v>
      </c>
      <c r="BV39" s="53" t="e">
        <f t="shared" si="31"/>
        <v>#DIV/0!</v>
      </c>
      <c r="BW39" s="54">
        <v>0</v>
      </c>
      <c r="BX39" s="39">
        <v>0</v>
      </c>
      <c r="BY39" s="39">
        <v>0</v>
      </c>
      <c r="BZ39" s="54">
        <f t="shared" si="32"/>
        <v>0</v>
      </c>
      <c r="CA39" s="54">
        <v>750</v>
      </c>
      <c r="CB39" s="54">
        <v>0</v>
      </c>
      <c r="CC39" s="54">
        <f t="shared" si="33"/>
        <v>750</v>
      </c>
      <c r="CD39" s="54">
        <f t="shared" si="34"/>
        <v>0</v>
      </c>
      <c r="CE39" s="54" t="e">
        <f t="shared" si="35"/>
        <v>#DIV/0!</v>
      </c>
      <c r="CF39" s="55">
        <v>0</v>
      </c>
      <c r="CG39" s="55">
        <v>0</v>
      </c>
      <c r="CH39" s="55">
        <v>0</v>
      </c>
      <c r="CI39" s="55">
        <f t="shared" si="36"/>
        <v>0</v>
      </c>
      <c r="CJ39" s="55">
        <v>730</v>
      </c>
      <c r="CK39" s="55">
        <v>0</v>
      </c>
      <c r="CL39" s="55">
        <f t="shared" si="37"/>
        <v>730</v>
      </c>
      <c r="CM39" s="55">
        <f t="shared" si="38"/>
        <v>0</v>
      </c>
      <c r="CN39" s="55" t="e">
        <f t="shared" si="39"/>
        <v>#DIV/0!</v>
      </c>
      <c r="CO39" s="56">
        <v>0</v>
      </c>
      <c r="CP39" s="56">
        <v>0</v>
      </c>
      <c r="CQ39" s="56">
        <v>0</v>
      </c>
      <c r="CR39" s="56">
        <f t="shared" si="40"/>
        <v>0</v>
      </c>
      <c r="CS39" s="56">
        <v>730</v>
      </c>
      <c r="CT39" s="56">
        <v>0</v>
      </c>
      <c r="CU39" s="56">
        <f t="shared" si="41"/>
        <v>730</v>
      </c>
      <c r="CV39" s="56">
        <f t="shared" si="42"/>
        <v>0</v>
      </c>
      <c r="CW39" s="56" t="e">
        <f t="shared" si="43"/>
        <v>#DIV/0!</v>
      </c>
      <c r="CX39" s="57">
        <v>0</v>
      </c>
      <c r="CY39" s="57">
        <v>0</v>
      </c>
      <c r="CZ39" s="57">
        <v>0</v>
      </c>
      <c r="DA39" s="57">
        <f t="shared" si="44"/>
        <v>0</v>
      </c>
      <c r="DB39" s="57">
        <v>600</v>
      </c>
      <c r="DC39" s="57">
        <v>0</v>
      </c>
      <c r="DD39" s="57">
        <f t="shared" si="45"/>
        <v>600</v>
      </c>
      <c r="DE39" s="57">
        <f t="shared" si="46"/>
        <v>0</v>
      </c>
      <c r="DF39" s="57" t="e">
        <f t="shared" si="47"/>
        <v>#DIV/0!</v>
      </c>
    </row>
    <row r="40" spans="1:110" ht="14.25" customHeight="1">
      <c r="A40" s="43"/>
      <c r="B40" s="44"/>
      <c r="C40" s="45">
        <v>0</v>
      </c>
      <c r="D40" s="30">
        <v>0</v>
      </c>
      <c r="E40" s="30">
        <v>0</v>
      </c>
      <c r="F40" s="45">
        <f t="shared" si="0"/>
        <v>0</v>
      </c>
      <c r="G40" s="45">
        <v>900</v>
      </c>
      <c r="H40" s="30">
        <v>0</v>
      </c>
      <c r="I40" s="45">
        <f t="shared" si="1"/>
        <v>900</v>
      </c>
      <c r="J40" s="45">
        <f t="shared" si="2"/>
        <v>0</v>
      </c>
      <c r="K40" s="46" t="e">
        <f t="shared" si="3"/>
        <v>#DIV/0!</v>
      </c>
      <c r="L40" s="47">
        <v>0</v>
      </c>
      <c r="M40" s="32">
        <v>0</v>
      </c>
      <c r="N40" s="32">
        <v>0</v>
      </c>
      <c r="O40" s="47">
        <f t="shared" si="4"/>
        <v>0</v>
      </c>
      <c r="P40" s="47">
        <v>1800</v>
      </c>
      <c r="Q40" s="47">
        <v>0</v>
      </c>
      <c r="R40" s="47">
        <f t="shared" si="5"/>
        <v>1800</v>
      </c>
      <c r="S40" s="47">
        <f t="shared" si="6"/>
        <v>0</v>
      </c>
      <c r="T40" s="47" t="e">
        <f t="shared" si="7"/>
        <v>#DIV/0!</v>
      </c>
      <c r="U40" s="48">
        <v>0</v>
      </c>
      <c r="V40" s="48">
        <v>0</v>
      </c>
      <c r="W40" s="48">
        <v>0</v>
      </c>
      <c r="X40" s="48">
        <f t="shared" si="8"/>
        <v>0</v>
      </c>
      <c r="Y40" s="48">
        <v>910</v>
      </c>
      <c r="Z40" s="33">
        <v>0</v>
      </c>
      <c r="AA40" s="48">
        <f t="shared" si="9"/>
        <v>910</v>
      </c>
      <c r="AB40" s="48">
        <f t="shared" si="10"/>
        <v>0</v>
      </c>
      <c r="AC40" s="48" t="e">
        <f t="shared" si="11"/>
        <v>#DIV/0!</v>
      </c>
      <c r="AD40" s="49">
        <v>0</v>
      </c>
      <c r="AE40" s="49">
        <v>0</v>
      </c>
      <c r="AF40" s="49">
        <v>0</v>
      </c>
      <c r="AG40" s="49">
        <f t="shared" si="12"/>
        <v>0</v>
      </c>
      <c r="AH40" s="49">
        <v>1200</v>
      </c>
      <c r="AI40" s="49">
        <v>0</v>
      </c>
      <c r="AJ40" s="49">
        <f t="shared" si="13"/>
        <v>1200</v>
      </c>
      <c r="AK40" s="49">
        <f t="shared" si="14"/>
        <v>0</v>
      </c>
      <c r="AL40" s="49" t="e">
        <f t="shared" si="15"/>
        <v>#DIV/0!</v>
      </c>
      <c r="AM40" s="50">
        <v>0</v>
      </c>
      <c r="AN40" s="50">
        <v>0</v>
      </c>
      <c r="AO40" s="50">
        <v>0</v>
      </c>
      <c r="AP40" s="50">
        <f t="shared" si="16"/>
        <v>0</v>
      </c>
      <c r="AQ40" s="50">
        <v>600</v>
      </c>
      <c r="AR40" s="50">
        <v>0</v>
      </c>
      <c r="AS40" s="50">
        <f t="shared" si="17"/>
        <v>600</v>
      </c>
      <c r="AT40" s="50">
        <f t="shared" si="18"/>
        <v>0</v>
      </c>
      <c r="AU40" s="50" t="e">
        <f t="shared" si="19"/>
        <v>#DIV/0!</v>
      </c>
      <c r="AV40" s="51">
        <v>0</v>
      </c>
      <c r="AW40" s="36">
        <v>0</v>
      </c>
      <c r="AX40" s="36">
        <v>0</v>
      </c>
      <c r="AY40" s="51">
        <f t="shared" si="20"/>
        <v>0</v>
      </c>
      <c r="AZ40" s="51">
        <v>1500</v>
      </c>
      <c r="BA40" s="51">
        <v>0</v>
      </c>
      <c r="BB40" s="51">
        <f t="shared" si="21"/>
        <v>1500</v>
      </c>
      <c r="BC40" s="51">
        <f t="shared" si="22"/>
        <v>0</v>
      </c>
      <c r="BD40" s="51" t="e">
        <f t="shared" si="23"/>
        <v>#DIV/0!</v>
      </c>
      <c r="BE40" s="52">
        <v>0</v>
      </c>
      <c r="BF40" s="37">
        <v>0</v>
      </c>
      <c r="BG40" s="37">
        <v>0</v>
      </c>
      <c r="BH40" s="37">
        <f t="shared" si="24"/>
        <v>0</v>
      </c>
      <c r="BI40" s="52">
        <v>750</v>
      </c>
      <c r="BJ40" s="37">
        <v>0</v>
      </c>
      <c r="BK40" s="52">
        <f t="shared" si="25"/>
        <v>750</v>
      </c>
      <c r="BL40" s="52">
        <f t="shared" si="26"/>
        <v>0</v>
      </c>
      <c r="BM40" s="52" t="e">
        <f t="shared" si="27"/>
        <v>#DIV/0!</v>
      </c>
      <c r="BN40" s="53">
        <v>0</v>
      </c>
      <c r="BO40" s="38">
        <v>0</v>
      </c>
      <c r="BP40" s="38">
        <v>0</v>
      </c>
      <c r="BQ40" s="53">
        <f t="shared" si="28"/>
        <v>0</v>
      </c>
      <c r="BR40" s="53">
        <v>2450</v>
      </c>
      <c r="BS40" s="38">
        <v>0</v>
      </c>
      <c r="BT40" s="53">
        <f t="shared" si="29"/>
        <v>2450</v>
      </c>
      <c r="BU40" s="53">
        <f t="shared" si="30"/>
        <v>0</v>
      </c>
      <c r="BV40" s="53" t="e">
        <f t="shared" si="31"/>
        <v>#DIV/0!</v>
      </c>
      <c r="BW40" s="54">
        <v>0</v>
      </c>
      <c r="BX40" s="39">
        <v>0</v>
      </c>
      <c r="BY40" s="39">
        <v>0</v>
      </c>
      <c r="BZ40" s="54">
        <f t="shared" si="32"/>
        <v>0</v>
      </c>
      <c r="CA40" s="54">
        <v>750</v>
      </c>
      <c r="CB40" s="54">
        <v>0</v>
      </c>
      <c r="CC40" s="54">
        <f t="shared" si="33"/>
        <v>750</v>
      </c>
      <c r="CD40" s="54">
        <f t="shared" si="34"/>
        <v>0</v>
      </c>
      <c r="CE40" s="54" t="e">
        <f t="shared" si="35"/>
        <v>#DIV/0!</v>
      </c>
      <c r="CF40" s="55">
        <v>0</v>
      </c>
      <c r="CG40" s="55">
        <v>0</v>
      </c>
      <c r="CH40" s="55">
        <v>0</v>
      </c>
      <c r="CI40" s="55">
        <f t="shared" si="36"/>
        <v>0</v>
      </c>
      <c r="CJ40" s="55">
        <v>730</v>
      </c>
      <c r="CK40" s="55">
        <v>0</v>
      </c>
      <c r="CL40" s="55">
        <f t="shared" si="37"/>
        <v>730</v>
      </c>
      <c r="CM40" s="55">
        <f t="shared" si="38"/>
        <v>0</v>
      </c>
      <c r="CN40" s="55" t="e">
        <f t="shared" si="39"/>
        <v>#DIV/0!</v>
      </c>
      <c r="CO40" s="56">
        <v>0</v>
      </c>
      <c r="CP40" s="56">
        <v>0</v>
      </c>
      <c r="CQ40" s="56">
        <v>0</v>
      </c>
      <c r="CR40" s="56">
        <f t="shared" si="40"/>
        <v>0</v>
      </c>
      <c r="CS40" s="56">
        <v>730</v>
      </c>
      <c r="CT40" s="56">
        <v>0</v>
      </c>
      <c r="CU40" s="56">
        <f t="shared" si="41"/>
        <v>730</v>
      </c>
      <c r="CV40" s="56">
        <f t="shared" si="42"/>
        <v>0</v>
      </c>
      <c r="CW40" s="56" t="e">
        <f t="shared" si="43"/>
        <v>#DIV/0!</v>
      </c>
      <c r="CX40" s="57">
        <v>0</v>
      </c>
      <c r="CY40" s="57">
        <v>0</v>
      </c>
      <c r="CZ40" s="57">
        <v>0</v>
      </c>
      <c r="DA40" s="57">
        <f t="shared" si="44"/>
        <v>0</v>
      </c>
      <c r="DB40" s="57">
        <v>600</v>
      </c>
      <c r="DC40" s="57">
        <v>0</v>
      </c>
      <c r="DD40" s="57">
        <f t="shared" si="45"/>
        <v>600</v>
      </c>
      <c r="DE40" s="57">
        <f t="shared" si="46"/>
        <v>0</v>
      </c>
      <c r="DF40" s="57" t="e">
        <f t="shared" si="47"/>
        <v>#DIV/0!</v>
      </c>
    </row>
    <row r="41" spans="1:110" ht="14.25" customHeight="1">
      <c r="A41" s="43"/>
      <c r="B41" s="44"/>
      <c r="C41" s="45">
        <v>0</v>
      </c>
      <c r="D41" s="30">
        <v>0</v>
      </c>
      <c r="E41" s="30">
        <v>0</v>
      </c>
      <c r="F41" s="45">
        <f t="shared" si="0"/>
        <v>0</v>
      </c>
      <c r="G41" s="45">
        <v>900</v>
      </c>
      <c r="H41" s="30">
        <v>0</v>
      </c>
      <c r="I41" s="45">
        <f t="shared" si="1"/>
        <v>900</v>
      </c>
      <c r="J41" s="45">
        <f t="shared" si="2"/>
        <v>0</v>
      </c>
      <c r="K41" s="46" t="e">
        <f t="shared" si="3"/>
        <v>#DIV/0!</v>
      </c>
      <c r="L41" s="47">
        <v>0</v>
      </c>
      <c r="M41" s="32">
        <v>0</v>
      </c>
      <c r="N41" s="32">
        <v>0</v>
      </c>
      <c r="O41" s="47">
        <f t="shared" si="4"/>
        <v>0</v>
      </c>
      <c r="P41" s="47">
        <v>1800</v>
      </c>
      <c r="Q41" s="47">
        <v>0</v>
      </c>
      <c r="R41" s="47">
        <f t="shared" si="5"/>
        <v>1800</v>
      </c>
      <c r="S41" s="47">
        <f t="shared" si="6"/>
        <v>0</v>
      </c>
      <c r="T41" s="47" t="e">
        <f t="shared" si="7"/>
        <v>#DIV/0!</v>
      </c>
      <c r="U41" s="48">
        <v>0</v>
      </c>
      <c r="V41" s="48">
        <v>0</v>
      </c>
      <c r="W41" s="48">
        <v>0</v>
      </c>
      <c r="X41" s="48">
        <f t="shared" si="8"/>
        <v>0</v>
      </c>
      <c r="Y41" s="48">
        <v>910</v>
      </c>
      <c r="Z41" s="33">
        <v>0</v>
      </c>
      <c r="AA41" s="48">
        <f t="shared" si="9"/>
        <v>910</v>
      </c>
      <c r="AB41" s="48">
        <f t="shared" si="10"/>
        <v>0</v>
      </c>
      <c r="AC41" s="48" t="e">
        <f t="shared" si="11"/>
        <v>#DIV/0!</v>
      </c>
      <c r="AD41" s="49">
        <v>0</v>
      </c>
      <c r="AE41" s="49">
        <v>0</v>
      </c>
      <c r="AF41" s="49">
        <v>0</v>
      </c>
      <c r="AG41" s="49">
        <f t="shared" si="12"/>
        <v>0</v>
      </c>
      <c r="AH41" s="49">
        <v>1200</v>
      </c>
      <c r="AI41" s="49">
        <v>0</v>
      </c>
      <c r="AJ41" s="49">
        <f t="shared" si="13"/>
        <v>1200</v>
      </c>
      <c r="AK41" s="49">
        <f t="shared" si="14"/>
        <v>0</v>
      </c>
      <c r="AL41" s="49" t="e">
        <f t="shared" si="15"/>
        <v>#DIV/0!</v>
      </c>
      <c r="AM41" s="50">
        <v>0</v>
      </c>
      <c r="AN41" s="50">
        <v>0</v>
      </c>
      <c r="AO41" s="50">
        <v>0</v>
      </c>
      <c r="AP41" s="50">
        <f t="shared" si="16"/>
        <v>0</v>
      </c>
      <c r="AQ41" s="50">
        <v>600</v>
      </c>
      <c r="AR41" s="50">
        <v>0</v>
      </c>
      <c r="AS41" s="50">
        <f t="shared" si="17"/>
        <v>600</v>
      </c>
      <c r="AT41" s="50">
        <f t="shared" si="18"/>
        <v>0</v>
      </c>
      <c r="AU41" s="50" t="e">
        <f t="shared" si="19"/>
        <v>#DIV/0!</v>
      </c>
      <c r="AV41" s="51">
        <v>0</v>
      </c>
      <c r="AW41" s="36">
        <v>0</v>
      </c>
      <c r="AX41" s="36">
        <v>0</v>
      </c>
      <c r="AY41" s="51">
        <f t="shared" si="20"/>
        <v>0</v>
      </c>
      <c r="AZ41" s="51">
        <v>1500</v>
      </c>
      <c r="BA41" s="51">
        <v>0</v>
      </c>
      <c r="BB41" s="51">
        <f t="shared" si="21"/>
        <v>1500</v>
      </c>
      <c r="BC41" s="51">
        <f t="shared" si="22"/>
        <v>0</v>
      </c>
      <c r="BD41" s="51" t="e">
        <f t="shared" si="23"/>
        <v>#DIV/0!</v>
      </c>
      <c r="BE41" s="52">
        <v>0</v>
      </c>
      <c r="BF41" s="37">
        <v>0</v>
      </c>
      <c r="BG41" s="37">
        <v>0</v>
      </c>
      <c r="BH41" s="37">
        <f t="shared" si="24"/>
        <v>0</v>
      </c>
      <c r="BI41" s="52">
        <v>750</v>
      </c>
      <c r="BJ41" s="37">
        <v>0</v>
      </c>
      <c r="BK41" s="52">
        <f t="shared" si="25"/>
        <v>750</v>
      </c>
      <c r="BL41" s="52">
        <f t="shared" si="26"/>
        <v>0</v>
      </c>
      <c r="BM41" s="52" t="e">
        <f t="shared" si="27"/>
        <v>#DIV/0!</v>
      </c>
      <c r="BN41" s="53">
        <v>0</v>
      </c>
      <c r="BO41" s="38">
        <v>0</v>
      </c>
      <c r="BP41" s="38">
        <v>0</v>
      </c>
      <c r="BQ41" s="53">
        <f t="shared" si="28"/>
        <v>0</v>
      </c>
      <c r="BR41" s="53">
        <v>2450</v>
      </c>
      <c r="BS41" s="38">
        <v>0</v>
      </c>
      <c r="BT41" s="53">
        <f t="shared" si="29"/>
        <v>2450</v>
      </c>
      <c r="BU41" s="53">
        <f t="shared" si="30"/>
        <v>0</v>
      </c>
      <c r="BV41" s="53" t="e">
        <f t="shared" si="31"/>
        <v>#DIV/0!</v>
      </c>
      <c r="BW41" s="54">
        <v>0</v>
      </c>
      <c r="BX41" s="39">
        <v>0</v>
      </c>
      <c r="BY41" s="39">
        <v>0</v>
      </c>
      <c r="BZ41" s="54">
        <f t="shared" si="32"/>
        <v>0</v>
      </c>
      <c r="CA41" s="54">
        <v>750</v>
      </c>
      <c r="CB41" s="54">
        <v>0</v>
      </c>
      <c r="CC41" s="54">
        <f t="shared" si="33"/>
        <v>750</v>
      </c>
      <c r="CD41" s="54">
        <f t="shared" si="34"/>
        <v>0</v>
      </c>
      <c r="CE41" s="54" t="e">
        <f t="shared" si="35"/>
        <v>#DIV/0!</v>
      </c>
      <c r="CF41" s="55">
        <v>0</v>
      </c>
      <c r="CG41" s="55">
        <v>0</v>
      </c>
      <c r="CH41" s="55">
        <v>0</v>
      </c>
      <c r="CI41" s="55">
        <f t="shared" si="36"/>
        <v>0</v>
      </c>
      <c r="CJ41" s="55">
        <v>730</v>
      </c>
      <c r="CK41" s="55">
        <v>0</v>
      </c>
      <c r="CL41" s="55">
        <f t="shared" si="37"/>
        <v>730</v>
      </c>
      <c r="CM41" s="55">
        <f t="shared" si="38"/>
        <v>0</v>
      </c>
      <c r="CN41" s="55" t="e">
        <f t="shared" si="39"/>
        <v>#DIV/0!</v>
      </c>
      <c r="CO41" s="56">
        <v>0</v>
      </c>
      <c r="CP41" s="56">
        <v>0</v>
      </c>
      <c r="CQ41" s="56">
        <v>0</v>
      </c>
      <c r="CR41" s="56">
        <f t="shared" si="40"/>
        <v>0</v>
      </c>
      <c r="CS41" s="56">
        <v>730</v>
      </c>
      <c r="CT41" s="56">
        <v>0</v>
      </c>
      <c r="CU41" s="56">
        <f t="shared" si="41"/>
        <v>730</v>
      </c>
      <c r="CV41" s="56">
        <f t="shared" si="42"/>
        <v>0</v>
      </c>
      <c r="CW41" s="56" t="e">
        <f t="shared" si="43"/>
        <v>#DIV/0!</v>
      </c>
      <c r="CX41" s="57">
        <v>0</v>
      </c>
      <c r="CY41" s="57">
        <v>0</v>
      </c>
      <c r="CZ41" s="57">
        <v>0</v>
      </c>
      <c r="DA41" s="57">
        <f t="shared" si="44"/>
        <v>0</v>
      </c>
      <c r="DB41" s="57">
        <v>600</v>
      </c>
      <c r="DC41" s="57">
        <v>0</v>
      </c>
      <c r="DD41" s="57">
        <f t="shared" si="45"/>
        <v>600</v>
      </c>
      <c r="DE41" s="57">
        <f t="shared" si="46"/>
        <v>0</v>
      </c>
      <c r="DF41" s="57" t="e">
        <f t="shared" si="47"/>
        <v>#DIV/0!</v>
      </c>
    </row>
    <row r="42" spans="1:110" ht="14.25" customHeight="1">
      <c r="A42" s="43"/>
      <c r="B42" s="44"/>
      <c r="C42" s="45">
        <v>0</v>
      </c>
      <c r="D42" s="30">
        <v>0</v>
      </c>
      <c r="E42" s="30">
        <v>0</v>
      </c>
      <c r="F42" s="45">
        <f t="shared" si="0"/>
        <v>0</v>
      </c>
      <c r="G42" s="45">
        <v>900</v>
      </c>
      <c r="H42" s="30">
        <v>0</v>
      </c>
      <c r="I42" s="45">
        <f t="shared" si="1"/>
        <v>900</v>
      </c>
      <c r="J42" s="45">
        <f t="shared" si="2"/>
        <v>0</v>
      </c>
      <c r="K42" s="46" t="e">
        <f t="shared" si="3"/>
        <v>#DIV/0!</v>
      </c>
      <c r="L42" s="47">
        <v>0</v>
      </c>
      <c r="M42" s="32">
        <v>0</v>
      </c>
      <c r="N42" s="32">
        <v>0</v>
      </c>
      <c r="O42" s="47">
        <f t="shared" si="4"/>
        <v>0</v>
      </c>
      <c r="P42" s="47">
        <v>1800</v>
      </c>
      <c r="Q42" s="47">
        <v>0</v>
      </c>
      <c r="R42" s="47">
        <f t="shared" si="5"/>
        <v>1800</v>
      </c>
      <c r="S42" s="47">
        <f t="shared" si="6"/>
        <v>0</v>
      </c>
      <c r="T42" s="47" t="e">
        <f t="shared" si="7"/>
        <v>#DIV/0!</v>
      </c>
      <c r="U42" s="48">
        <v>0</v>
      </c>
      <c r="V42" s="48">
        <v>0</v>
      </c>
      <c r="W42" s="48">
        <v>0</v>
      </c>
      <c r="X42" s="48">
        <f t="shared" si="8"/>
        <v>0</v>
      </c>
      <c r="Y42" s="48">
        <v>910</v>
      </c>
      <c r="Z42" s="33">
        <v>0</v>
      </c>
      <c r="AA42" s="48">
        <f t="shared" si="9"/>
        <v>910</v>
      </c>
      <c r="AB42" s="48">
        <f t="shared" si="10"/>
        <v>0</v>
      </c>
      <c r="AC42" s="48" t="e">
        <f t="shared" si="11"/>
        <v>#DIV/0!</v>
      </c>
      <c r="AD42" s="49">
        <v>0</v>
      </c>
      <c r="AE42" s="49">
        <v>0</v>
      </c>
      <c r="AF42" s="49">
        <v>0</v>
      </c>
      <c r="AG42" s="49">
        <f t="shared" si="12"/>
        <v>0</v>
      </c>
      <c r="AH42" s="49">
        <v>1200</v>
      </c>
      <c r="AI42" s="49">
        <v>0</v>
      </c>
      <c r="AJ42" s="49">
        <f t="shared" si="13"/>
        <v>1200</v>
      </c>
      <c r="AK42" s="49">
        <f t="shared" si="14"/>
        <v>0</v>
      </c>
      <c r="AL42" s="49" t="e">
        <f t="shared" si="15"/>
        <v>#DIV/0!</v>
      </c>
      <c r="AM42" s="50">
        <v>0</v>
      </c>
      <c r="AN42" s="50">
        <v>0</v>
      </c>
      <c r="AO42" s="50">
        <v>0</v>
      </c>
      <c r="AP42" s="50">
        <f t="shared" si="16"/>
        <v>0</v>
      </c>
      <c r="AQ42" s="50">
        <v>600</v>
      </c>
      <c r="AR42" s="50">
        <v>0</v>
      </c>
      <c r="AS42" s="50">
        <f t="shared" si="17"/>
        <v>600</v>
      </c>
      <c r="AT42" s="50">
        <f t="shared" si="18"/>
        <v>0</v>
      </c>
      <c r="AU42" s="50" t="e">
        <f t="shared" si="19"/>
        <v>#DIV/0!</v>
      </c>
      <c r="AV42" s="51">
        <v>0</v>
      </c>
      <c r="AW42" s="36">
        <v>0</v>
      </c>
      <c r="AX42" s="36">
        <v>0</v>
      </c>
      <c r="AY42" s="51">
        <f t="shared" si="20"/>
        <v>0</v>
      </c>
      <c r="AZ42" s="51">
        <v>1500</v>
      </c>
      <c r="BA42" s="51">
        <v>0</v>
      </c>
      <c r="BB42" s="51">
        <f t="shared" si="21"/>
        <v>1500</v>
      </c>
      <c r="BC42" s="51">
        <f t="shared" si="22"/>
        <v>0</v>
      </c>
      <c r="BD42" s="51" t="e">
        <f t="shared" si="23"/>
        <v>#DIV/0!</v>
      </c>
      <c r="BE42" s="52">
        <v>0</v>
      </c>
      <c r="BF42" s="37">
        <v>0</v>
      </c>
      <c r="BG42" s="37">
        <v>0</v>
      </c>
      <c r="BH42" s="37">
        <f t="shared" si="24"/>
        <v>0</v>
      </c>
      <c r="BI42" s="52">
        <v>750</v>
      </c>
      <c r="BJ42" s="37">
        <v>0</v>
      </c>
      <c r="BK42" s="52">
        <f t="shared" si="25"/>
        <v>750</v>
      </c>
      <c r="BL42" s="52">
        <f t="shared" si="26"/>
        <v>0</v>
      </c>
      <c r="BM42" s="52" t="e">
        <f t="shared" si="27"/>
        <v>#DIV/0!</v>
      </c>
      <c r="BN42" s="53">
        <v>0</v>
      </c>
      <c r="BO42" s="38">
        <v>0</v>
      </c>
      <c r="BP42" s="38">
        <v>0</v>
      </c>
      <c r="BQ42" s="53">
        <f t="shared" si="28"/>
        <v>0</v>
      </c>
      <c r="BR42" s="53">
        <v>2450</v>
      </c>
      <c r="BS42" s="38">
        <v>0</v>
      </c>
      <c r="BT42" s="53">
        <f t="shared" si="29"/>
        <v>2450</v>
      </c>
      <c r="BU42" s="53">
        <f t="shared" si="30"/>
        <v>0</v>
      </c>
      <c r="BV42" s="53" t="e">
        <f t="shared" si="31"/>
        <v>#DIV/0!</v>
      </c>
      <c r="BW42" s="54">
        <v>0</v>
      </c>
      <c r="BX42" s="39">
        <v>0</v>
      </c>
      <c r="BY42" s="39">
        <v>0</v>
      </c>
      <c r="BZ42" s="54">
        <f t="shared" si="32"/>
        <v>0</v>
      </c>
      <c r="CA42" s="54">
        <v>750</v>
      </c>
      <c r="CB42" s="54">
        <v>0</v>
      </c>
      <c r="CC42" s="54">
        <f t="shared" si="33"/>
        <v>750</v>
      </c>
      <c r="CD42" s="54">
        <f t="shared" si="34"/>
        <v>0</v>
      </c>
      <c r="CE42" s="54" t="e">
        <f t="shared" si="35"/>
        <v>#DIV/0!</v>
      </c>
      <c r="CF42" s="55">
        <v>0</v>
      </c>
      <c r="CG42" s="55">
        <v>0</v>
      </c>
      <c r="CH42" s="55">
        <v>0</v>
      </c>
      <c r="CI42" s="55">
        <f t="shared" si="36"/>
        <v>0</v>
      </c>
      <c r="CJ42" s="55">
        <v>730</v>
      </c>
      <c r="CK42" s="55">
        <v>0</v>
      </c>
      <c r="CL42" s="55">
        <f t="shared" si="37"/>
        <v>730</v>
      </c>
      <c r="CM42" s="55">
        <f t="shared" si="38"/>
        <v>0</v>
      </c>
      <c r="CN42" s="55" t="e">
        <f t="shared" si="39"/>
        <v>#DIV/0!</v>
      </c>
      <c r="CO42" s="56">
        <v>0</v>
      </c>
      <c r="CP42" s="56">
        <v>0</v>
      </c>
      <c r="CQ42" s="56">
        <v>0</v>
      </c>
      <c r="CR42" s="56">
        <f t="shared" si="40"/>
        <v>0</v>
      </c>
      <c r="CS42" s="56">
        <v>730</v>
      </c>
      <c r="CT42" s="56">
        <v>0</v>
      </c>
      <c r="CU42" s="56">
        <f t="shared" si="41"/>
        <v>730</v>
      </c>
      <c r="CV42" s="56">
        <f t="shared" si="42"/>
        <v>0</v>
      </c>
      <c r="CW42" s="56" t="e">
        <f t="shared" si="43"/>
        <v>#DIV/0!</v>
      </c>
      <c r="CX42" s="57">
        <v>0</v>
      </c>
      <c r="CY42" s="57">
        <v>0</v>
      </c>
      <c r="CZ42" s="57">
        <v>0</v>
      </c>
      <c r="DA42" s="57">
        <f t="shared" si="44"/>
        <v>0</v>
      </c>
      <c r="DB42" s="57">
        <v>600</v>
      </c>
      <c r="DC42" s="57">
        <v>0</v>
      </c>
      <c r="DD42" s="57">
        <f t="shared" si="45"/>
        <v>600</v>
      </c>
      <c r="DE42" s="57">
        <f t="shared" si="46"/>
        <v>0</v>
      </c>
      <c r="DF42" s="57" t="e">
        <f t="shared" si="47"/>
        <v>#DIV/0!</v>
      </c>
    </row>
    <row r="43" spans="1:110" ht="14.25" customHeight="1">
      <c r="A43" s="43"/>
      <c r="B43" s="44"/>
      <c r="C43" s="45">
        <v>0</v>
      </c>
      <c r="D43" s="30">
        <v>0</v>
      </c>
      <c r="E43" s="30">
        <v>0</v>
      </c>
      <c r="F43" s="45">
        <f t="shared" si="0"/>
        <v>0</v>
      </c>
      <c r="G43" s="45">
        <v>900</v>
      </c>
      <c r="H43" s="30">
        <v>0</v>
      </c>
      <c r="I43" s="45">
        <f t="shared" si="1"/>
        <v>900</v>
      </c>
      <c r="J43" s="45">
        <f t="shared" si="2"/>
        <v>0</v>
      </c>
      <c r="K43" s="46" t="e">
        <f t="shared" si="3"/>
        <v>#DIV/0!</v>
      </c>
      <c r="L43" s="47">
        <v>0</v>
      </c>
      <c r="M43" s="32">
        <v>0</v>
      </c>
      <c r="N43" s="32">
        <v>0</v>
      </c>
      <c r="O43" s="47">
        <f t="shared" si="4"/>
        <v>0</v>
      </c>
      <c r="P43" s="47">
        <v>1800</v>
      </c>
      <c r="Q43" s="47">
        <v>0</v>
      </c>
      <c r="R43" s="47">
        <f t="shared" si="5"/>
        <v>1800</v>
      </c>
      <c r="S43" s="47">
        <f t="shared" si="6"/>
        <v>0</v>
      </c>
      <c r="T43" s="47" t="e">
        <f t="shared" si="7"/>
        <v>#DIV/0!</v>
      </c>
      <c r="U43" s="48">
        <v>0</v>
      </c>
      <c r="V43" s="48">
        <v>0</v>
      </c>
      <c r="W43" s="48">
        <v>0</v>
      </c>
      <c r="X43" s="48">
        <f t="shared" si="8"/>
        <v>0</v>
      </c>
      <c r="Y43" s="48">
        <v>910</v>
      </c>
      <c r="Z43" s="33">
        <v>0</v>
      </c>
      <c r="AA43" s="48">
        <f t="shared" si="9"/>
        <v>910</v>
      </c>
      <c r="AB43" s="48">
        <f t="shared" si="10"/>
        <v>0</v>
      </c>
      <c r="AC43" s="48" t="e">
        <f t="shared" si="11"/>
        <v>#DIV/0!</v>
      </c>
      <c r="AD43" s="49">
        <v>0</v>
      </c>
      <c r="AE43" s="49">
        <v>0</v>
      </c>
      <c r="AF43" s="49">
        <v>0</v>
      </c>
      <c r="AG43" s="49">
        <f t="shared" si="12"/>
        <v>0</v>
      </c>
      <c r="AH43" s="49">
        <v>1200</v>
      </c>
      <c r="AI43" s="49">
        <v>0</v>
      </c>
      <c r="AJ43" s="49">
        <f t="shared" si="13"/>
        <v>1200</v>
      </c>
      <c r="AK43" s="49">
        <f t="shared" si="14"/>
        <v>0</v>
      </c>
      <c r="AL43" s="49" t="e">
        <f t="shared" si="15"/>
        <v>#DIV/0!</v>
      </c>
      <c r="AM43" s="50">
        <v>0</v>
      </c>
      <c r="AN43" s="50">
        <v>0</v>
      </c>
      <c r="AO43" s="50">
        <v>0</v>
      </c>
      <c r="AP43" s="50">
        <f t="shared" si="16"/>
        <v>0</v>
      </c>
      <c r="AQ43" s="50">
        <v>600</v>
      </c>
      <c r="AR43" s="50">
        <v>0</v>
      </c>
      <c r="AS43" s="50">
        <f t="shared" si="17"/>
        <v>600</v>
      </c>
      <c r="AT43" s="50">
        <f t="shared" si="18"/>
        <v>0</v>
      </c>
      <c r="AU43" s="50" t="e">
        <f t="shared" si="19"/>
        <v>#DIV/0!</v>
      </c>
      <c r="AV43" s="51">
        <v>0</v>
      </c>
      <c r="AW43" s="36">
        <v>0</v>
      </c>
      <c r="AX43" s="36">
        <v>0</v>
      </c>
      <c r="AY43" s="51">
        <f t="shared" si="20"/>
        <v>0</v>
      </c>
      <c r="AZ43" s="51">
        <v>1500</v>
      </c>
      <c r="BA43" s="51">
        <v>0</v>
      </c>
      <c r="BB43" s="51">
        <f t="shared" si="21"/>
        <v>1500</v>
      </c>
      <c r="BC43" s="51">
        <f t="shared" si="22"/>
        <v>0</v>
      </c>
      <c r="BD43" s="51" t="e">
        <f t="shared" si="23"/>
        <v>#DIV/0!</v>
      </c>
      <c r="BE43" s="52">
        <v>0</v>
      </c>
      <c r="BF43" s="37">
        <v>0</v>
      </c>
      <c r="BG43" s="37">
        <v>0</v>
      </c>
      <c r="BH43" s="37">
        <f t="shared" si="24"/>
        <v>0</v>
      </c>
      <c r="BI43" s="52">
        <v>750</v>
      </c>
      <c r="BJ43" s="37">
        <v>0</v>
      </c>
      <c r="BK43" s="52">
        <f t="shared" si="25"/>
        <v>750</v>
      </c>
      <c r="BL43" s="52">
        <f t="shared" si="26"/>
        <v>0</v>
      </c>
      <c r="BM43" s="52" t="e">
        <f t="shared" si="27"/>
        <v>#DIV/0!</v>
      </c>
      <c r="BN43" s="53">
        <v>0</v>
      </c>
      <c r="BO43" s="38">
        <v>0</v>
      </c>
      <c r="BP43" s="38">
        <v>0</v>
      </c>
      <c r="BQ43" s="53">
        <f t="shared" si="28"/>
        <v>0</v>
      </c>
      <c r="BR43" s="53">
        <v>2450</v>
      </c>
      <c r="BS43" s="38">
        <v>0</v>
      </c>
      <c r="BT43" s="53">
        <f t="shared" si="29"/>
        <v>2450</v>
      </c>
      <c r="BU43" s="53">
        <f t="shared" si="30"/>
        <v>0</v>
      </c>
      <c r="BV43" s="53" t="e">
        <f t="shared" si="31"/>
        <v>#DIV/0!</v>
      </c>
      <c r="BW43" s="54">
        <v>0</v>
      </c>
      <c r="BX43" s="39">
        <v>0</v>
      </c>
      <c r="BY43" s="39">
        <v>0</v>
      </c>
      <c r="BZ43" s="54">
        <f t="shared" si="32"/>
        <v>0</v>
      </c>
      <c r="CA43" s="54">
        <v>750</v>
      </c>
      <c r="CB43" s="54">
        <v>0</v>
      </c>
      <c r="CC43" s="54">
        <f t="shared" si="33"/>
        <v>750</v>
      </c>
      <c r="CD43" s="54">
        <f t="shared" si="34"/>
        <v>0</v>
      </c>
      <c r="CE43" s="54" t="e">
        <f t="shared" si="35"/>
        <v>#DIV/0!</v>
      </c>
      <c r="CF43" s="55">
        <v>0</v>
      </c>
      <c r="CG43" s="55">
        <v>0</v>
      </c>
      <c r="CH43" s="55">
        <v>0</v>
      </c>
      <c r="CI43" s="55">
        <f t="shared" si="36"/>
        <v>0</v>
      </c>
      <c r="CJ43" s="55">
        <v>730</v>
      </c>
      <c r="CK43" s="55">
        <v>0</v>
      </c>
      <c r="CL43" s="55">
        <f t="shared" si="37"/>
        <v>730</v>
      </c>
      <c r="CM43" s="55">
        <f t="shared" si="38"/>
        <v>0</v>
      </c>
      <c r="CN43" s="55" t="e">
        <f t="shared" si="39"/>
        <v>#DIV/0!</v>
      </c>
      <c r="CO43" s="56">
        <v>0</v>
      </c>
      <c r="CP43" s="56">
        <v>0</v>
      </c>
      <c r="CQ43" s="56">
        <v>0</v>
      </c>
      <c r="CR43" s="56">
        <f t="shared" si="40"/>
        <v>0</v>
      </c>
      <c r="CS43" s="56">
        <v>730</v>
      </c>
      <c r="CT43" s="56">
        <v>0</v>
      </c>
      <c r="CU43" s="56">
        <f t="shared" si="41"/>
        <v>730</v>
      </c>
      <c r="CV43" s="56">
        <f t="shared" si="42"/>
        <v>0</v>
      </c>
      <c r="CW43" s="56" t="e">
        <f t="shared" si="43"/>
        <v>#DIV/0!</v>
      </c>
      <c r="CX43" s="57">
        <v>0</v>
      </c>
      <c r="CY43" s="57">
        <v>0</v>
      </c>
      <c r="CZ43" s="57">
        <v>0</v>
      </c>
      <c r="DA43" s="57">
        <f t="shared" si="44"/>
        <v>0</v>
      </c>
      <c r="DB43" s="57">
        <v>600</v>
      </c>
      <c r="DC43" s="57">
        <v>0</v>
      </c>
      <c r="DD43" s="57">
        <f t="shared" si="45"/>
        <v>600</v>
      </c>
      <c r="DE43" s="57">
        <f t="shared" si="46"/>
        <v>0</v>
      </c>
      <c r="DF43" s="57" t="e">
        <f t="shared" si="47"/>
        <v>#DIV/0!</v>
      </c>
    </row>
    <row r="44" spans="1:110" ht="14.25" customHeight="1">
      <c r="A44" s="43"/>
      <c r="B44" s="44"/>
      <c r="C44" s="45">
        <v>0</v>
      </c>
      <c r="D44" s="30">
        <v>0</v>
      </c>
      <c r="E44" s="30">
        <v>0</v>
      </c>
      <c r="F44" s="45">
        <f t="shared" si="0"/>
        <v>0</v>
      </c>
      <c r="G44" s="45">
        <v>900</v>
      </c>
      <c r="H44" s="30">
        <v>0</v>
      </c>
      <c r="I44" s="45">
        <f t="shared" si="1"/>
        <v>900</v>
      </c>
      <c r="J44" s="45">
        <f t="shared" si="2"/>
        <v>0</v>
      </c>
      <c r="K44" s="46" t="e">
        <f t="shared" si="3"/>
        <v>#DIV/0!</v>
      </c>
      <c r="L44" s="47">
        <v>0</v>
      </c>
      <c r="M44" s="32">
        <v>0</v>
      </c>
      <c r="N44" s="32">
        <v>0</v>
      </c>
      <c r="O44" s="47">
        <f t="shared" si="4"/>
        <v>0</v>
      </c>
      <c r="P44" s="47">
        <v>1800</v>
      </c>
      <c r="Q44" s="47">
        <v>0</v>
      </c>
      <c r="R44" s="47">
        <f t="shared" si="5"/>
        <v>1800</v>
      </c>
      <c r="S44" s="47">
        <f t="shared" si="6"/>
        <v>0</v>
      </c>
      <c r="T44" s="47" t="e">
        <f t="shared" si="7"/>
        <v>#DIV/0!</v>
      </c>
      <c r="U44" s="48">
        <v>0</v>
      </c>
      <c r="V44" s="48">
        <v>0</v>
      </c>
      <c r="W44" s="48">
        <v>0</v>
      </c>
      <c r="X44" s="48">
        <f t="shared" si="8"/>
        <v>0</v>
      </c>
      <c r="Y44" s="48">
        <v>910</v>
      </c>
      <c r="Z44" s="33">
        <v>0</v>
      </c>
      <c r="AA44" s="48">
        <f t="shared" si="9"/>
        <v>910</v>
      </c>
      <c r="AB44" s="48">
        <f t="shared" si="10"/>
        <v>0</v>
      </c>
      <c r="AC44" s="48" t="e">
        <f t="shared" si="11"/>
        <v>#DIV/0!</v>
      </c>
      <c r="AD44" s="49">
        <v>0</v>
      </c>
      <c r="AE44" s="49">
        <v>0</v>
      </c>
      <c r="AF44" s="49">
        <v>0</v>
      </c>
      <c r="AG44" s="49">
        <f t="shared" si="12"/>
        <v>0</v>
      </c>
      <c r="AH44" s="49">
        <v>1200</v>
      </c>
      <c r="AI44" s="49">
        <v>0</v>
      </c>
      <c r="AJ44" s="49">
        <f t="shared" si="13"/>
        <v>1200</v>
      </c>
      <c r="AK44" s="49">
        <f t="shared" si="14"/>
        <v>0</v>
      </c>
      <c r="AL44" s="49" t="e">
        <f t="shared" si="15"/>
        <v>#DIV/0!</v>
      </c>
      <c r="AM44" s="50">
        <v>0</v>
      </c>
      <c r="AN44" s="50">
        <v>0</v>
      </c>
      <c r="AO44" s="50">
        <v>0</v>
      </c>
      <c r="AP44" s="50">
        <f t="shared" si="16"/>
        <v>0</v>
      </c>
      <c r="AQ44" s="50">
        <v>600</v>
      </c>
      <c r="AR44" s="50">
        <v>0</v>
      </c>
      <c r="AS44" s="50">
        <f t="shared" si="17"/>
        <v>600</v>
      </c>
      <c r="AT44" s="50">
        <f t="shared" si="18"/>
        <v>0</v>
      </c>
      <c r="AU44" s="50" t="e">
        <f t="shared" si="19"/>
        <v>#DIV/0!</v>
      </c>
      <c r="AV44" s="51">
        <v>0</v>
      </c>
      <c r="AW44" s="36">
        <v>0</v>
      </c>
      <c r="AX44" s="36">
        <v>0</v>
      </c>
      <c r="AY44" s="51">
        <f t="shared" si="20"/>
        <v>0</v>
      </c>
      <c r="AZ44" s="51">
        <v>1500</v>
      </c>
      <c r="BA44" s="51">
        <v>0</v>
      </c>
      <c r="BB44" s="51">
        <f t="shared" si="21"/>
        <v>1500</v>
      </c>
      <c r="BC44" s="51">
        <f t="shared" si="22"/>
        <v>0</v>
      </c>
      <c r="BD44" s="51" t="e">
        <f t="shared" si="23"/>
        <v>#DIV/0!</v>
      </c>
      <c r="BE44" s="52">
        <v>0</v>
      </c>
      <c r="BF44" s="37">
        <v>0</v>
      </c>
      <c r="BG44" s="37">
        <v>0</v>
      </c>
      <c r="BH44" s="37">
        <f t="shared" si="24"/>
        <v>0</v>
      </c>
      <c r="BI44" s="52">
        <v>750</v>
      </c>
      <c r="BJ44" s="37">
        <v>0</v>
      </c>
      <c r="BK44" s="52">
        <f t="shared" si="25"/>
        <v>750</v>
      </c>
      <c r="BL44" s="52">
        <f t="shared" si="26"/>
        <v>0</v>
      </c>
      <c r="BM44" s="52" t="e">
        <f t="shared" si="27"/>
        <v>#DIV/0!</v>
      </c>
      <c r="BN44" s="53">
        <v>0</v>
      </c>
      <c r="BO44" s="38">
        <v>0</v>
      </c>
      <c r="BP44" s="38">
        <v>0</v>
      </c>
      <c r="BQ44" s="53">
        <f t="shared" si="28"/>
        <v>0</v>
      </c>
      <c r="BR44" s="53">
        <v>2450</v>
      </c>
      <c r="BS44" s="38">
        <v>0</v>
      </c>
      <c r="BT44" s="53">
        <f t="shared" si="29"/>
        <v>2450</v>
      </c>
      <c r="BU44" s="53">
        <f t="shared" si="30"/>
        <v>0</v>
      </c>
      <c r="BV44" s="53" t="e">
        <f t="shared" si="31"/>
        <v>#DIV/0!</v>
      </c>
      <c r="BW44" s="54">
        <v>0</v>
      </c>
      <c r="BX44" s="39">
        <v>0</v>
      </c>
      <c r="BY44" s="39">
        <v>0</v>
      </c>
      <c r="BZ44" s="54">
        <f t="shared" si="32"/>
        <v>0</v>
      </c>
      <c r="CA44" s="54">
        <v>750</v>
      </c>
      <c r="CB44" s="54">
        <v>0</v>
      </c>
      <c r="CC44" s="54">
        <f t="shared" si="33"/>
        <v>750</v>
      </c>
      <c r="CD44" s="54">
        <f t="shared" si="34"/>
        <v>0</v>
      </c>
      <c r="CE44" s="54" t="e">
        <f t="shared" si="35"/>
        <v>#DIV/0!</v>
      </c>
      <c r="CF44" s="55">
        <v>0</v>
      </c>
      <c r="CG44" s="55">
        <v>0</v>
      </c>
      <c r="CH44" s="55">
        <v>0</v>
      </c>
      <c r="CI44" s="55">
        <f t="shared" si="36"/>
        <v>0</v>
      </c>
      <c r="CJ44" s="55">
        <v>730</v>
      </c>
      <c r="CK44" s="55">
        <v>0</v>
      </c>
      <c r="CL44" s="55">
        <f t="shared" si="37"/>
        <v>730</v>
      </c>
      <c r="CM44" s="55">
        <f t="shared" si="38"/>
        <v>0</v>
      </c>
      <c r="CN44" s="55" t="e">
        <f t="shared" si="39"/>
        <v>#DIV/0!</v>
      </c>
      <c r="CO44" s="56">
        <v>0</v>
      </c>
      <c r="CP44" s="56">
        <v>0</v>
      </c>
      <c r="CQ44" s="56">
        <v>0</v>
      </c>
      <c r="CR44" s="56">
        <f t="shared" si="40"/>
        <v>0</v>
      </c>
      <c r="CS44" s="56">
        <v>730</v>
      </c>
      <c r="CT44" s="56">
        <v>0</v>
      </c>
      <c r="CU44" s="56">
        <f t="shared" si="41"/>
        <v>730</v>
      </c>
      <c r="CV44" s="56">
        <f t="shared" si="42"/>
        <v>0</v>
      </c>
      <c r="CW44" s="56" t="e">
        <f t="shared" si="43"/>
        <v>#DIV/0!</v>
      </c>
      <c r="CX44" s="57">
        <v>0</v>
      </c>
      <c r="CY44" s="57">
        <v>0</v>
      </c>
      <c r="CZ44" s="57">
        <v>0</v>
      </c>
      <c r="DA44" s="57">
        <f t="shared" si="44"/>
        <v>0</v>
      </c>
      <c r="DB44" s="57">
        <v>600</v>
      </c>
      <c r="DC44" s="57">
        <v>0</v>
      </c>
      <c r="DD44" s="57">
        <f t="shared" si="45"/>
        <v>600</v>
      </c>
      <c r="DE44" s="57">
        <f t="shared" si="46"/>
        <v>0</v>
      </c>
      <c r="DF44" s="57" t="e">
        <f t="shared" si="47"/>
        <v>#DIV/0!</v>
      </c>
    </row>
    <row r="45" spans="1:110" ht="14.25" customHeight="1">
      <c r="A45" s="43"/>
      <c r="B45" s="44"/>
      <c r="C45" s="45">
        <v>0</v>
      </c>
      <c r="D45" s="30">
        <v>0</v>
      </c>
      <c r="E45" s="30">
        <v>0</v>
      </c>
      <c r="F45" s="45">
        <f t="shared" si="0"/>
        <v>0</v>
      </c>
      <c r="G45" s="45">
        <v>900</v>
      </c>
      <c r="H45" s="30">
        <v>0</v>
      </c>
      <c r="I45" s="45">
        <f t="shared" si="1"/>
        <v>900</v>
      </c>
      <c r="J45" s="45">
        <f t="shared" si="2"/>
        <v>0</v>
      </c>
      <c r="K45" s="46" t="e">
        <f t="shared" si="3"/>
        <v>#DIV/0!</v>
      </c>
      <c r="L45" s="47">
        <v>0</v>
      </c>
      <c r="M45" s="32">
        <v>0</v>
      </c>
      <c r="N45" s="32">
        <v>0</v>
      </c>
      <c r="O45" s="47">
        <f t="shared" si="4"/>
        <v>0</v>
      </c>
      <c r="P45" s="47">
        <v>1800</v>
      </c>
      <c r="Q45" s="47">
        <v>0</v>
      </c>
      <c r="R45" s="47">
        <f t="shared" si="5"/>
        <v>1800</v>
      </c>
      <c r="S45" s="47">
        <f t="shared" si="6"/>
        <v>0</v>
      </c>
      <c r="T45" s="47" t="e">
        <f t="shared" si="7"/>
        <v>#DIV/0!</v>
      </c>
      <c r="U45" s="48">
        <v>0</v>
      </c>
      <c r="V45" s="48">
        <v>0</v>
      </c>
      <c r="W45" s="48">
        <v>0</v>
      </c>
      <c r="X45" s="48">
        <f t="shared" si="8"/>
        <v>0</v>
      </c>
      <c r="Y45" s="48">
        <v>910</v>
      </c>
      <c r="Z45" s="33">
        <v>0</v>
      </c>
      <c r="AA45" s="48">
        <f t="shared" si="9"/>
        <v>910</v>
      </c>
      <c r="AB45" s="48">
        <f t="shared" si="10"/>
        <v>0</v>
      </c>
      <c r="AC45" s="48" t="e">
        <f t="shared" si="11"/>
        <v>#DIV/0!</v>
      </c>
      <c r="AD45" s="49">
        <v>0</v>
      </c>
      <c r="AE45" s="49">
        <v>15</v>
      </c>
      <c r="AF45" s="49">
        <v>6</v>
      </c>
      <c r="AG45" s="49">
        <f t="shared" si="12"/>
        <v>9</v>
      </c>
      <c r="AH45" s="49">
        <v>1200</v>
      </c>
      <c r="AI45" s="49">
        <v>30</v>
      </c>
      <c r="AJ45" s="49">
        <f t="shared" si="13"/>
        <v>1170</v>
      </c>
      <c r="AK45" s="49">
        <f t="shared" si="14"/>
        <v>10530</v>
      </c>
      <c r="AL45" s="49">
        <f t="shared" si="15"/>
        <v>40</v>
      </c>
      <c r="AM45" s="50">
        <v>0</v>
      </c>
      <c r="AN45" s="50">
        <v>0</v>
      </c>
      <c r="AO45" s="50">
        <v>0</v>
      </c>
      <c r="AP45" s="50">
        <f t="shared" si="16"/>
        <v>0</v>
      </c>
      <c r="AQ45" s="50">
        <v>600</v>
      </c>
      <c r="AR45" s="50">
        <v>0</v>
      </c>
      <c r="AS45" s="50">
        <f t="shared" si="17"/>
        <v>600</v>
      </c>
      <c r="AT45" s="50">
        <f t="shared" si="18"/>
        <v>0</v>
      </c>
      <c r="AU45" s="50" t="e">
        <f t="shared" si="19"/>
        <v>#DIV/0!</v>
      </c>
      <c r="AV45" s="51">
        <v>0</v>
      </c>
      <c r="AW45" s="36">
        <v>0</v>
      </c>
      <c r="AX45" s="36">
        <v>0</v>
      </c>
      <c r="AY45" s="51">
        <f t="shared" si="20"/>
        <v>0</v>
      </c>
      <c r="AZ45" s="51">
        <v>1500</v>
      </c>
      <c r="BA45" s="51">
        <v>0</v>
      </c>
      <c r="BB45" s="51">
        <f t="shared" si="21"/>
        <v>1500</v>
      </c>
      <c r="BC45" s="51">
        <f t="shared" si="22"/>
        <v>0</v>
      </c>
      <c r="BD45" s="51" t="e">
        <f t="shared" si="23"/>
        <v>#DIV/0!</v>
      </c>
      <c r="BE45" s="52">
        <v>0</v>
      </c>
      <c r="BF45" s="37">
        <v>0</v>
      </c>
      <c r="BG45" s="37">
        <v>0</v>
      </c>
      <c r="BH45" s="37">
        <f t="shared" si="24"/>
        <v>0</v>
      </c>
      <c r="BI45" s="52">
        <v>750</v>
      </c>
      <c r="BJ45" s="37">
        <v>0</v>
      </c>
      <c r="BK45" s="52">
        <f t="shared" si="25"/>
        <v>750</v>
      </c>
      <c r="BL45" s="52">
        <f t="shared" si="26"/>
        <v>0</v>
      </c>
      <c r="BM45" s="52" t="e">
        <f t="shared" si="27"/>
        <v>#DIV/0!</v>
      </c>
      <c r="BN45" s="53">
        <v>0</v>
      </c>
      <c r="BO45" s="38">
        <v>0</v>
      </c>
      <c r="BP45" s="38">
        <v>0</v>
      </c>
      <c r="BQ45" s="53">
        <f t="shared" si="28"/>
        <v>0</v>
      </c>
      <c r="BR45" s="53">
        <v>2450</v>
      </c>
      <c r="BS45" s="38">
        <v>0</v>
      </c>
      <c r="BT45" s="53">
        <f t="shared" si="29"/>
        <v>2450</v>
      </c>
      <c r="BU45" s="53">
        <f t="shared" si="30"/>
        <v>0</v>
      </c>
      <c r="BV45" s="53" t="e">
        <f t="shared" si="31"/>
        <v>#DIV/0!</v>
      </c>
      <c r="BW45" s="54">
        <v>0</v>
      </c>
      <c r="BX45" s="39">
        <v>0</v>
      </c>
      <c r="BY45" s="39">
        <v>0</v>
      </c>
      <c r="BZ45" s="54">
        <f t="shared" si="32"/>
        <v>0</v>
      </c>
      <c r="CA45" s="54">
        <v>750</v>
      </c>
      <c r="CB45" s="54">
        <v>0</v>
      </c>
      <c r="CC45" s="54">
        <f t="shared" si="33"/>
        <v>750</v>
      </c>
      <c r="CD45" s="54">
        <f t="shared" si="34"/>
        <v>0</v>
      </c>
      <c r="CE45" s="54" t="e">
        <f t="shared" si="35"/>
        <v>#DIV/0!</v>
      </c>
      <c r="CF45" s="55">
        <v>0</v>
      </c>
      <c r="CG45" s="55">
        <v>0</v>
      </c>
      <c r="CH45" s="55">
        <v>0</v>
      </c>
      <c r="CI45" s="55">
        <f t="shared" si="36"/>
        <v>0</v>
      </c>
      <c r="CJ45" s="55">
        <v>730</v>
      </c>
      <c r="CK45" s="55">
        <v>0</v>
      </c>
      <c r="CL45" s="55">
        <f t="shared" si="37"/>
        <v>730</v>
      </c>
      <c r="CM45" s="55">
        <f t="shared" si="38"/>
        <v>0</v>
      </c>
      <c r="CN45" s="55" t="e">
        <f t="shared" si="39"/>
        <v>#DIV/0!</v>
      </c>
      <c r="CO45" s="56">
        <v>0</v>
      </c>
      <c r="CP45" s="56">
        <v>0</v>
      </c>
      <c r="CQ45" s="56">
        <v>0</v>
      </c>
      <c r="CR45" s="56">
        <f t="shared" si="40"/>
        <v>0</v>
      </c>
      <c r="CS45" s="56">
        <v>730</v>
      </c>
      <c r="CT45" s="56">
        <v>0</v>
      </c>
      <c r="CU45" s="56">
        <f t="shared" si="41"/>
        <v>730</v>
      </c>
      <c r="CV45" s="56">
        <f t="shared" si="42"/>
        <v>0</v>
      </c>
      <c r="CW45" s="56" t="e">
        <f t="shared" si="43"/>
        <v>#DIV/0!</v>
      </c>
      <c r="CX45" s="57">
        <v>0</v>
      </c>
      <c r="CY45" s="57">
        <v>0</v>
      </c>
      <c r="CZ45" s="57">
        <v>0</v>
      </c>
      <c r="DA45" s="57">
        <f t="shared" si="44"/>
        <v>0</v>
      </c>
      <c r="DB45" s="57">
        <v>600</v>
      </c>
      <c r="DC45" s="57">
        <v>0</v>
      </c>
      <c r="DD45" s="57">
        <f t="shared" si="45"/>
        <v>600</v>
      </c>
      <c r="DE45" s="57">
        <f t="shared" si="46"/>
        <v>0</v>
      </c>
      <c r="DF45" s="57" t="e">
        <f t="shared" si="47"/>
        <v>#DIV/0!</v>
      </c>
    </row>
    <row r="46" spans="1:110" ht="14.25" customHeight="1">
      <c r="A46" s="43"/>
      <c r="B46" s="44"/>
      <c r="C46" s="45">
        <v>0</v>
      </c>
      <c r="D46" s="30">
        <v>0</v>
      </c>
      <c r="E46" s="30">
        <v>0</v>
      </c>
      <c r="F46" s="45">
        <f t="shared" si="0"/>
        <v>0</v>
      </c>
      <c r="G46" s="45">
        <v>900</v>
      </c>
      <c r="H46" s="30">
        <v>0</v>
      </c>
      <c r="I46" s="45">
        <f t="shared" si="1"/>
        <v>900</v>
      </c>
      <c r="J46" s="45">
        <f t="shared" si="2"/>
        <v>0</v>
      </c>
      <c r="K46" s="46" t="e">
        <f t="shared" si="3"/>
        <v>#DIV/0!</v>
      </c>
      <c r="L46" s="47">
        <v>0</v>
      </c>
      <c r="M46" s="32">
        <v>0</v>
      </c>
      <c r="N46" s="32">
        <v>0</v>
      </c>
      <c r="O46" s="47">
        <f t="shared" si="4"/>
        <v>0</v>
      </c>
      <c r="P46" s="47">
        <v>1800</v>
      </c>
      <c r="Q46" s="47">
        <v>0</v>
      </c>
      <c r="R46" s="47">
        <f t="shared" si="5"/>
        <v>1800</v>
      </c>
      <c r="S46" s="47">
        <f t="shared" si="6"/>
        <v>0</v>
      </c>
      <c r="T46" s="47" t="e">
        <f t="shared" si="7"/>
        <v>#DIV/0!</v>
      </c>
      <c r="U46" s="48">
        <v>0</v>
      </c>
      <c r="V46" s="48">
        <v>0</v>
      </c>
      <c r="W46" s="48">
        <v>0</v>
      </c>
      <c r="X46" s="48">
        <f t="shared" si="8"/>
        <v>0</v>
      </c>
      <c r="Y46" s="48">
        <v>910</v>
      </c>
      <c r="Z46" s="33">
        <v>0</v>
      </c>
      <c r="AA46" s="48">
        <f t="shared" si="9"/>
        <v>910</v>
      </c>
      <c r="AB46" s="48">
        <f t="shared" si="10"/>
        <v>0</v>
      </c>
      <c r="AC46" s="48" t="e">
        <f t="shared" si="11"/>
        <v>#DIV/0!</v>
      </c>
      <c r="AD46" s="49">
        <v>0</v>
      </c>
      <c r="AE46" s="49">
        <v>0</v>
      </c>
      <c r="AF46" s="49">
        <v>0</v>
      </c>
      <c r="AG46" s="49">
        <f t="shared" si="12"/>
        <v>0</v>
      </c>
      <c r="AH46" s="49">
        <v>1200</v>
      </c>
      <c r="AI46" s="49">
        <v>0</v>
      </c>
      <c r="AJ46" s="49">
        <f t="shared" si="13"/>
        <v>1200</v>
      </c>
      <c r="AK46" s="49">
        <f t="shared" si="14"/>
        <v>0</v>
      </c>
      <c r="AL46" s="49" t="e">
        <f t="shared" si="15"/>
        <v>#DIV/0!</v>
      </c>
      <c r="AM46" s="50">
        <v>0</v>
      </c>
      <c r="AN46" s="50">
        <v>0</v>
      </c>
      <c r="AO46" s="50">
        <v>0</v>
      </c>
      <c r="AP46" s="50">
        <f t="shared" si="16"/>
        <v>0</v>
      </c>
      <c r="AQ46" s="50">
        <v>600</v>
      </c>
      <c r="AR46" s="50">
        <v>0</v>
      </c>
      <c r="AS46" s="50">
        <f t="shared" si="17"/>
        <v>600</v>
      </c>
      <c r="AT46" s="50">
        <f t="shared" si="18"/>
        <v>0</v>
      </c>
      <c r="AU46" s="50" t="e">
        <f t="shared" si="19"/>
        <v>#DIV/0!</v>
      </c>
      <c r="AV46" s="51">
        <v>0</v>
      </c>
      <c r="AW46" s="36">
        <v>0</v>
      </c>
      <c r="AX46" s="36">
        <v>0</v>
      </c>
      <c r="AY46" s="51">
        <f t="shared" si="20"/>
        <v>0</v>
      </c>
      <c r="AZ46" s="51">
        <v>1500</v>
      </c>
      <c r="BA46" s="51">
        <v>0</v>
      </c>
      <c r="BB46" s="51">
        <f t="shared" si="21"/>
        <v>1500</v>
      </c>
      <c r="BC46" s="51">
        <f t="shared" si="22"/>
        <v>0</v>
      </c>
      <c r="BD46" s="51" t="e">
        <f t="shared" si="23"/>
        <v>#DIV/0!</v>
      </c>
      <c r="BE46" s="52">
        <v>0</v>
      </c>
      <c r="BF46" s="37">
        <v>0</v>
      </c>
      <c r="BG46" s="37">
        <v>0</v>
      </c>
      <c r="BH46" s="37">
        <f t="shared" si="24"/>
        <v>0</v>
      </c>
      <c r="BI46" s="52">
        <v>750</v>
      </c>
      <c r="BJ46" s="37">
        <v>0</v>
      </c>
      <c r="BK46" s="52">
        <f t="shared" si="25"/>
        <v>750</v>
      </c>
      <c r="BL46" s="52">
        <f t="shared" si="26"/>
        <v>0</v>
      </c>
      <c r="BM46" s="52" t="e">
        <f t="shared" si="27"/>
        <v>#DIV/0!</v>
      </c>
      <c r="BN46" s="53">
        <v>0</v>
      </c>
      <c r="BO46" s="38">
        <v>0</v>
      </c>
      <c r="BP46" s="38">
        <v>0</v>
      </c>
      <c r="BQ46" s="53">
        <f t="shared" si="28"/>
        <v>0</v>
      </c>
      <c r="BR46" s="53">
        <v>2450</v>
      </c>
      <c r="BS46" s="38">
        <v>0</v>
      </c>
      <c r="BT46" s="53">
        <f t="shared" si="29"/>
        <v>2450</v>
      </c>
      <c r="BU46" s="53">
        <f t="shared" si="30"/>
        <v>0</v>
      </c>
      <c r="BV46" s="53" t="e">
        <f t="shared" si="31"/>
        <v>#DIV/0!</v>
      </c>
      <c r="BW46" s="54">
        <v>0</v>
      </c>
      <c r="BX46" s="39">
        <v>0</v>
      </c>
      <c r="BY46" s="39">
        <v>0</v>
      </c>
      <c r="BZ46" s="54">
        <f t="shared" si="32"/>
        <v>0</v>
      </c>
      <c r="CA46" s="54">
        <v>750</v>
      </c>
      <c r="CB46" s="54">
        <v>0</v>
      </c>
      <c r="CC46" s="54">
        <f t="shared" si="33"/>
        <v>750</v>
      </c>
      <c r="CD46" s="54">
        <f t="shared" si="34"/>
        <v>0</v>
      </c>
      <c r="CE46" s="54" t="e">
        <f t="shared" si="35"/>
        <v>#DIV/0!</v>
      </c>
      <c r="CF46" s="55">
        <v>0</v>
      </c>
      <c r="CG46" s="55">
        <v>0</v>
      </c>
      <c r="CH46" s="55">
        <v>0</v>
      </c>
      <c r="CI46" s="55">
        <f t="shared" si="36"/>
        <v>0</v>
      </c>
      <c r="CJ46" s="55">
        <v>730</v>
      </c>
      <c r="CK46" s="55">
        <v>0</v>
      </c>
      <c r="CL46" s="55">
        <f t="shared" si="37"/>
        <v>730</v>
      </c>
      <c r="CM46" s="55">
        <f t="shared" si="38"/>
        <v>0</v>
      </c>
      <c r="CN46" s="55" t="e">
        <f t="shared" si="39"/>
        <v>#DIV/0!</v>
      </c>
      <c r="CO46" s="56">
        <v>0</v>
      </c>
      <c r="CP46" s="56">
        <v>0</v>
      </c>
      <c r="CQ46" s="56">
        <v>0</v>
      </c>
      <c r="CR46" s="56">
        <f t="shared" si="40"/>
        <v>0</v>
      </c>
      <c r="CS46" s="56">
        <v>730</v>
      </c>
      <c r="CT46" s="56">
        <v>0</v>
      </c>
      <c r="CU46" s="56">
        <f t="shared" si="41"/>
        <v>730</v>
      </c>
      <c r="CV46" s="56">
        <f t="shared" si="42"/>
        <v>0</v>
      </c>
      <c r="CW46" s="56" t="e">
        <f t="shared" si="43"/>
        <v>#DIV/0!</v>
      </c>
      <c r="CX46" s="57">
        <v>0</v>
      </c>
      <c r="CY46" s="57">
        <v>0</v>
      </c>
      <c r="CZ46" s="57">
        <v>0</v>
      </c>
      <c r="DA46" s="57">
        <f t="shared" si="44"/>
        <v>0</v>
      </c>
      <c r="DB46" s="57">
        <v>600</v>
      </c>
      <c r="DC46" s="57">
        <v>0</v>
      </c>
      <c r="DD46" s="57">
        <f t="shared" si="45"/>
        <v>600</v>
      </c>
      <c r="DE46" s="57">
        <f t="shared" si="46"/>
        <v>0</v>
      </c>
      <c r="DF46" s="57" t="e">
        <f t="shared" si="47"/>
        <v>#DIV/0!</v>
      </c>
    </row>
    <row r="47" spans="1:110" ht="14.25" customHeight="1">
      <c r="A47" s="43"/>
      <c r="B47" s="44"/>
      <c r="C47" s="45">
        <v>0</v>
      </c>
      <c r="D47" s="30">
        <v>0</v>
      </c>
      <c r="E47" s="30">
        <v>0</v>
      </c>
      <c r="F47" s="45">
        <f t="shared" si="0"/>
        <v>0</v>
      </c>
      <c r="G47" s="45">
        <v>900</v>
      </c>
      <c r="H47" s="30">
        <v>0</v>
      </c>
      <c r="I47" s="45">
        <f t="shared" si="1"/>
        <v>900</v>
      </c>
      <c r="J47" s="45">
        <f t="shared" si="2"/>
        <v>0</v>
      </c>
      <c r="K47" s="46" t="e">
        <f t="shared" si="3"/>
        <v>#DIV/0!</v>
      </c>
      <c r="L47" s="47">
        <v>0</v>
      </c>
      <c r="M47" s="32">
        <v>0</v>
      </c>
      <c r="N47" s="32">
        <v>0</v>
      </c>
      <c r="O47" s="47">
        <f t="shared" si="4"/>
        <v>0</v>
      </c>
      <c r="P47" s="47">
        <v>1800</v>
      </c>
      <c r="Q47" s="47">
        <v>0</v>
      </c>
      <c r="R47" s="47">
        <f t="shared" si="5"/>
        <v>1800</v>
      </c>
      <c r="S47" s="47">
        <f t="shared" si="6"/>
        <v>0</v>
      </c>
      <c r="T47" s="47" t="e">
        <f t="shared" si="7"/>
        <v>#DIV/0!</v>
      </c>
      <c r="U47" s="48">
        <v>0</v>
      </c>
      <c r="V47" s="48">
        <v>0</v>
      </c>
      <c r="W47" s="48">
        <v>0</v>
      </c>
      <c r="X47" s="48">
        <f t="shared" si="8"/>
        <v>0</v>
      </c>
      <c r="Y47" s="48">
        <v>910</v>
      </c>
      <c r="Z47" s="33">
        <v>0</v>
      </c>
      <c r="AA47" s="48">
        <f t="shared" si="9"/>
        <v>910</v>
      </c>
      <c r="AB47" s="48">
        <f t="shared" si="10"/>
        <v>0</v>
      </c>
      <c r="AC47" s="48" t="e">
        <f t="shared" si="11"/>
        <v>#DIV/0!</v>
      </c>
      <c r="AD47" s="49">
        <v>0</v>
      </c>
      <c r="AE47" s="49">
        <v>0</v>
      </c>
      <c r="AF47" s="49">
        <v>0</v>
      </c>
      <c r="AG47" s="49">
        <f t="shared" si="12"/>
        <v>0</v>
      </c>
      <c r="AH47" s="49">
        <v>1200</v>
      </c>
      <c r="AI47" s="49">
        <v>0</v>
      </c>
      <c r="AJ47" s="49">
        <f t="shared" si="13"/>
        <v>1200</v>
      </c>
      <c r="AK47" s="49">
        <f t="shared" si="14"/>
        <v>0</v>
      </c>
      <c r="AL47" s="49" t="e">
        <f t="shared" si="15"/>
        <v>#DIV/0!</v>
      </c>
      <c r="AM47" s="50">
        <v>0</v>
      </c>
      <c r="AN47" s="50">
        <v>0</v>
      </c>
      <c r="AO47" s="50">
        <v>0</v>
      </c>
      <c r="AP47" s="50">
        <f t="shared" si="16"/>
        <v>0</v>
      </c>
      <c r="AQ47" s="50">
        <v>600</v>
      </c>
      <c r="AR47" s="50">
        <v>0</v>
      </c>
      <c r="AS47" s="50">
        <f t="shared" si="17"/>
        <v>600</v>
      </c>
      <c r="AT47" s="50">
        <f t="shared" si="18"/>
        <v>0</v>
      </c>
      <c r="AU47" s="50" t="e">
        <f t="shared" si="19"/>
        <v>#DIV/0!</v>
      </c>
      <c r="AV47" s="51">
        <v>0</v>
      </c>
      <c r="AW47" s="36">
        <v>0</v>
      </c>
      <c r="AX47" s="36">
        <v>0</v>
      </c>
      <c r="AY47" s="51">
        <f t="shared" si="20"/>
        <v>0</v>
      </c>
      <c r="AZ47" s="51">
        <v>1500</v>
      </c>
      <c r="BA47" s="51">
        <v>0</v>
      </c>
      <c r="BB47" s="51">
        <f t="shared" si="21"/>
        <v>1500</v>
      </c>
      <c r="BC47" s="51">
        <f t="shared" si="22"/>
        <v>0</v>
      </c>
      <c r="BD47" s="51" t="e">
        <f t="shared" si="23"/>
        <v>#DIV/0!</v>
      </c>
      <c r="BE47" s="52">
        <v>0</v>
      </c>
      <c r="BF47" s="37">
        <v>0</v>
      </c>
      <c r="BG47" s="37">
        <v>0</v>
      </c>
      <c r="BH47" s="37">
        <f t="shared" si="24"/>
        <v>0</v>
      </c>
      <c r="BI47" s="52">
        <v>750</v>
      </c>
      <c r="BJ47" s="37">
        <v>0</v>
      </c>
      <c r="BK47" s="52">
        <f t="shared" si="25"/>
        <v>750</v>
      </c>
      <c r="BL47" s="52">
        <f t="shared" si="26"/>
        <v>0</v>
      </c>
      <c r="BM47" s="52" t="e">
        <f t="shared" si="27"/>
        <v>#DIV/0!</v>
      </c>
      <c r="BN47" s="53">
        <v>0</v>
      </c>
      <c r="BO47" s="38">
        <v>0</v>
      </c>
      <c r="BP47" s="38">
        <v>0</v>
      </c>
      <c r="BQ47" s="53">
        <f t="shared" si="28"/>
        <v>0</v>
      </c>
      <c r="BR47" s="53">
        <v>2450</v>
      </c>
      <c r="BS47" s="38">
        <v>0</v>
      </c>
      <c r="BT47" s="53">
        <f t="shared" si="29"/>
        <v>2450</v>
      </c>
      <c r="BU47" s="53">
        <f t="shared" si="30"/>
        <v>0</v>
      </c>
      <c r="BV47" s="53" t="e">
        <f t="shared" si="31"/>
        <v>#DIV/0!</v>
      </c>
      <c r="BW47" s="54">
        <v>0</v>
      </c>
      <c r="BX47" s="39">
        <v>0</v>
      </c>
      <c r="BY47" s="39">
        <v>0</v>
      </c>
      <c r="BZ47" s="54">
        <f t="shared" si="32"/>
        <v>0</v>
      </c>
      <c r="CA47" s="54">
        <v>750</v>
      </c>
      <c r="CB47" s="54">
        <v>0</v>
      </c>
      <c r="CC47" s="54">
        <f t="shared" si="33"/>
        <v>750</v>
      </c>
      <c r="CD47" s="54">
        <f t="shared" si="34"/>
        <v>0</v>
      </c>
      <c r="CE47" s="54" t="e">
        <f t="shared" si="35"/>
        <v>#DIV/0!</v>
      </c>
      <c r="CF47" s="55">
        <v>0</v>
      </c>
      <c r="CG47" s="55">
        <v>0</v>
      </c>
      <c r="CH47" s="55">
        <v>0</v>
      </c>
      <c r="CI47" s="55">
        <f t="shared" si="36"/>
        <v>0</v>
      </c>
      <c r="CJ47" s="55">
        <v>730</v>
      </c>
      <c r="CK47" s="55">
        <v>0</v>
      </c>
      <c r="CL47" s="55">
        <f t="shared" si="37"/>
        <v>730</v>
      </c>
      <c r="CM47" s="55">
        <f t="shared" si="38"/>
        <v>0</v>
      </c>
      <c r="CN47" s="55" t="e">
        <f t="shared" si="39"/>
        <v>#DIV/0!</v>
      </c>
      <c r="CO47" s="56">
        <v>0</v>
      </c>
      <c r="CP47" s="56">
        <v>0</v>
      </c>
      <c r="CQ47" s="56">
        <v>0</v>
      </c>
      <c r="CR47" s="56">
        <f t="shared" si="40"/>
        <v>0</v>
      </c>
      <c r="CS47" s="56">
        <v>730</v>
      </c>
      <c r="CT47" s="56">
        <v>0</v>
      </c>
      <c r="CU47" s="56">
        <f t="shared" si="41"/>
        <v>730</v>
      </c>
      <c r="CV47" s="56">
        <f t="shared" si="42"/>
        <v>0</v>
      </c>
      <c r="CW47" s="56" t="e">
        <f t="shared" si="43"/>
        <v>#DIV/0!</v>
      </c>
      <c r="CX47" s="57">
        <v>0</v>
      </c>
      <c r="CY47" s="57">
        <v>0</v>
      </c>
      <c r="CZ47" s="57">
        <v>0</v>
      </c>
      <c r="DA47" s="57">
        <f t="shared" si="44"/>
        <v>0</v>
      </c>
      <c r="DB47" s="57">
        <v>600</v>
      </c>
      <c r="DC47" s="57">
        <v>0</v>
      </c>
      <c r="DD47" s="57">
        <f t="shared" si="45"/>
        <v>600</v>
      </c>
      <c r="DE47" s="57">
        <f t="shared" si="46"/>
        <v>0</v>
      </c>
      <c r="DF47" s="57" t="e">
        <f t="shared" si="47"/>
        <v>#DIV/0!</v>
      </c>
    </row>
    <row r="48" spans="1:110" ht="14.25" customHeight="1">
      <c r="A48" s="43"/>
      <c r="B48" s="44"/>
      <c r="C48" s="45">
        <v>0</v>
      </c>
      <c r="D48" s="30">
        <v>0</v>
      </c>
      <c r="E48" s="30">
        <v>0</v>
      </c>
      <c r="F48" s="45">
        <f t="shared" si="0"/>
        <v>0</v>
      </c>
      <c r="G48" s="45">
        <v>900</v>
      </c>
      <c r="H48" s="30">
        <v>0</v>
      </c>
      <c r="I48" s="45">
        <f t="shared" si="1"/>
        <v>900</v>
      </c>
      <c r="J48" s="45">
        <f t="shared" si="2"/>
        <v>0</v>
      </c>
      <c r="K48" s="46" t="e">
        <f t="shared" si="3"/>
        <v>#DIV/0!</v>
      </c>
      <c r="L48" s="47">
        <v>0</v>
      </c>
      <c r="M48" s="32">
        <v>0</v>
      </c>
      <c r="N48" s="32">
        <v>0</v>
      </c>
      <c r="O48" s="47">
        <f t="shared" si="4"/>
        <v>0</v>
      </c>
      <c r="P48" s="47">
        <v>1800</v>
      </c>
      <c r="Q48" s="47">
        <v>0</v>
      </c>
      <c r="R48" s="47">
        <f t="shared" si="5"/>
        <v>1800</v>
      </c>
      <c r="S48" s="47">
        <f t="shared" si="6"/>
        <v>0</v>
      </c>
      <c r="T48" s="47" t="e">
        <f t="shared" si="7"/>
        <v>#DIV/0!</v>
      </c>
      <c r="U48" s="48">
        <v>0</v>
      </c>
      <c r="V48" s="48">
        <v>0</v>
      </c>
      <c r="W48" s="48">
        <v>0</v>
      </c>
      <c r="X48" s="48">
        <f t="shared" si="8"/>
        <v>0</v>
      </c>
      <c r="Y48" s="48">
        <v>910</v>
      </c>
      <c r="Z48" s="33">
        <v>0</v>
      </c>
      <c r="AA48" s="48">
        <f t="shared" si="9"/>
        <v>910</v>
      </c>
      <c r="AB48" s="48">
        <f t="shared" si="10"/>
        <v>0</v>
      </c>
      <c r="AC48" s="48" t="e">
        <f t="shared" si="11"/>
        <v>#DIV/0!</v>
      </c>
      <c r="AD48" s="49">
        <v>0</v>
      </c>
      <c r="AE48" s="49">
        <v>0</v>
      </c>
      <c r="AF48" s="49">
        <v>0</v>
      </c>
      <c r="AG48" s="49">
        <f t="shared" si="12"/>
        <v>0</v>
      </c>
      <c r="AH48" s="49">
        <v>1200</v>
      </c>
      <c r="AI48" s="49">
        <v>0</v>
      </c>
      <c r="AJ48" s="49">
        <f t="shared" si="13"/>
        <v>1200</v>
      </c>
      <c r="AK48" s="49">
        <f t="shared" si="14"/>
        <v>0</v>
      </c>
      <c r="AL48" s="49" t="e">
        <f t="shared" si="15"/>
        <v>#DIV/0!</v>
      </c>
      <c r="AM48" s="50">
        <v>0</v>
      </c>
      <c r="AN48" s="50">
        <v>0</v>
      </c>
      <c r="AO48" s="50">
        <v>0</v>
      </c>
      <c r="AP48" s="50">
        <f t="shared" si="16"/>
        <v>0</v>
      </c>
      <c r="AQ48" s="50">
        <v>600</v>
      </c>
      <c r="AR48" s="50">
        <v>0</v>
      </c>
      <c r="AS48" s="50">
        <f t="shared" si="17"/>
        <v>600</v>
      </c>
      <c r="AT48" s="50">
        <f t="shared" si="18"/>
        <v>0</v>
      </c>
      <c r="AU48" s="50" t="e">
        <f t="shared" si="19"/>
        <v>#DIV/0!</v>
      </c>
      <c r="AV48" s="51">
        <v>0</v>
      </c>
      <c r="AW48" s="36">
        <v>0</v>
      </c>
      <c r="AX48" s="36">
        <v>0</v>
      </c>
      <c r="AY48" s="51">
        <f t="shared" si="20"/>
        <v>0</v>
      </c>
      <c r="AZ48" s="51">
        <v>1500</v>
      </c>
      <c r="BA48" s="51">
        <v>0</v>
      </c>
      <c r="BB48" s="51">
        <f t="shared" si="21"/>
        <v>1500</v>
      </c>
      <c r="BC48" s="51">
        <f t="shared" si="22"/>
        <v>0</v>
      </c>
      <c r="BD48" s="51" t="e">
        <f t="shared" si="23"/>
        <v>#DIV/0!</v>
      </c>
      <c r="BE48" s="52">
        <v>0</v>
      </c>
      <c r="BF48" s="37">
        <v>0</v>
      </c>
      <c r="BG48" s="37">
        <v>0</v>
      </c>
      <c r="BH48" s="37">
        <f t="shared" si="24"/>
        <v>0</v>
      </c>
      <c r="BI48" s="52">
        <v>750</v>
      </c>
      <c r="BJ48" s="37">
        <v>0</v>
      </c>
      <c r="BK48" s="52">
        <f t="shared" si="25"/>
        <v>750</v>
      </c>
      <c r="BL48" s="52">
        <f t="shared" si="26"/>
        <v>0</v>
      </c>
      <c r="BM48" s="52" t="e">
        <f t="shared" si="27"/>
        <v>#DIV/0!</v>
      </c>
      <c r="BN48" s="53">
        <v>0</v>
      </c>
      <c r="BO48" s="38">
        <v>0</v>
      </c>
      <c r="BP48" s="38">
        <v>0</v>
      </c>
      <c r="BQ48" s="53">
        <f t="shared" si="28"/>
        <v>0</v>
      </c>
      <c r="BR48" s="53">
        <v>2450</v>
      </c>
      <c r="BS48" s="38">
        <v>0</v>
      </c>
      <c r="BT48" s="53">
        <f t="shared" si="29"/>
        <v>2450</v>
      </c>
      <c r="BU48" s="53">
        <f t="shared" si="30"/>
        <v>0</v>
      </c>
      <c r="BV48" s="53" t="e">
        <f t="shared" si="31"/>
        <v>#DIV/0!</v>
      </c>
      <c r="BW48" s="54">
        <v>0</v>
      </c>
      <c r="BX48" s="39">
        <v>0</v>
      </c>
      <c r="BY48" s="39">
        <v>0</v>
      </c>
      <c r="BZ48" s="54">
        <f t="shared" si="32"/>
        <v>0</v>
      </c>
      <c r="CA48" s="54">
        <v>750</v>
      </c>
      <c r="CB48" s="54">
        <v>0</v>
      </c>
      <c r="CC48" s="54">
        <f t="shared" si="33"/>
        <v>750</v>
      </c>
      <c r="CD48" s="54">
        <f t="shared" si="34"/>
        <v>0</v>
      </c>
      <c r="CE48" s="54" t="e">
        <f t="shared" si="35"/>
        <v>#DIV/0!</v>
      </c>
      <c r="CF48" s="55">
        <v>0</v>
      </c>
      <c r="CG48" s="55">
        <v>0</v>
      </c>
      <c r="CH48" s="55">
        <v>0</v>
      </c>
      <c r="CI48" s="55">
        <f t="shared" si="36"/>
        <v>0</v>
      </c>
      <c r="CJ48" s="55">
        <v>730</v>
      </c>
      <c r="CK48" s="55">
        <v>0</v>
      </c>
      <c r="CL48" s="55">
        <f t="shared" si="37"/>
        <v>730</v>
      </c>
      <c r="CM48" s="55">
        <f t="shared" si="38"/>
        <v>0</v>
      </c>
      <c r="CN48" s="55" t="e">
        <f t="shared" si="39"/>
        <v>#DIV/0!</v>
      </c>
      <c r="CO48" s="56">
        <v>0</v>
      </c>
      <c r="CP48" s="56">
        <v>0</v>
      </c>
      <c r="CQ48" s="56">
        <v>0</v>
      </c>
      <c r="CR48" s="56">
        <f t="shared" si="40"/>
        <v>0</v>
      </c>
      <c r="CS48" s="56">
        <v>730</v>
      </c>
      <c r="CT48" s="56">
        <v>0</v>
      </c>
      <c r="CU48" s="56">
        <f t="shared" si="41"/>
        <v>730</v>
      </c>
      <c r="CV48" s="56">
        <f t="shared" si="42"/>
        <v>0</v>
      </c>
      <c r="CW48" s="56" t="e">
        <f t="shared" si="43"/>
        <v>#DIV/0!</v>
      </c>
      <c r="CX48" s="57">
        <v>0</v>
      </c>
      <c r="CY48" s="57">
        <v>0</v>
      </c>
      <c r="CZ48" s="57">
        <v>0</v>
      </c>
      <c r="DA48" s="57">
        <f t="shared" si="44"/>
        <v>0</v>
      </c>
      <c r="DB48" s="57">
        <v>600</v>
      </c>
      <c r="DC48" s="57">
        <v>0</v>
      </c>
      <c r="DD48" s="57">
        <f t="shared" si="45"/>
        <v>600</v>
      </c>
      <c r="DE48" s="57">
        <f t="shared" si="46"/>
        <v>0</v>
      </c>
      <c r="DF48" s="57" t="e">
        <f t="shared" si="47"/>
        <v>#DIV/0!</v>
      </c>
    </row>
    <row r="49" spans="1:110" ht="14.25" customHeight="1">
      <c r="A49" s="43"/>
      <c r="B49" s="44"/>
      <c r="C49" s="45">
        <v>0</v>
      </c>
      <c r="D49" s="30">
        <v>0</v>
      </c>
      <c r="E49" s="30">
        <v>0</v>
      </c>
      <c r="F49" s="45">
        <f t="shared" si="0"/>
        <v>0</v>
      </c>
      <c r="G49" s="45">
        <v>900</v>
      </c>
      <c r="H49" s="30">
        <v>0</v>
      </c>
      <c r="I49" s="45">
        <f t="shared" si="1"/>
        <v>900</v>
      </c>
      <c r="J49" s="45">
        <f t="shared" si="2"/>
        <v>0</v>
      </c>
      <c r="K49" s="46" t="e">
        <f t="shared" si="3"/>
        <v>#DIV/0!</v>
      </c>
      <c r="L49" s="47">
        <v>0</v>
      </c>
      <c r="M49" s="32">
        <v>0</v>
      </c>
      <c r="N49" s="32">
        <v>0</v>
      </c>
      <c r="O49" s="47">
        <f t="shared" si="4"/>
        <v>0</v>
      </c>
      <c r="P49" s="47">
        <v>1800</v>
      </c>
      <c r="Q49" s="47">
        <v>0</v>
      </c>
      <c r="R49" s="47">
        <f t="shared" si="5"/>
        <v>1800</v>
      </c>
      <c r="S49" s="47">
        <f t="shared" si="6"/>
        <v>0</v>
      </c>
      <c r="T49" s="47" t="e">
        <f t="shared" si="7"/>
        <v>#DIV/0!</v>
      </c>
      <c r="U49" s="48">
        <v>0</v>
      </c>
      <c r="V49" s="48">
        <v>0</v>
      </c>
      <c r="W49" s="48">
        <v>0</v>
      </c>
      <c r="X49" s="48">
        <f t="shared" si="8"/>
        <v>0</v>
      </c>
      <c r="Y49" s="48">
        <v>910</v>
      </c>
      <c r="Z49" s="33">
        <v>0</v>
      </c>
      <c r="AA49" s="48">
        <f t="shared" si="9"/>
        <v>910</v>
      </c>
      <c r="AB49" s="48">
        <f t="shared" si="10"/>
        <v>0</v>
      </c>
      <c r="AC49" s="48" t="e">
        <f t="shared" si="11"/>
        <v>#DIV/0!</v>
      </c>
      <c r="AD49" s="49">
        <v>0</v>
      </c>
      <c r="AE49" s="49">
        <v>0</v>
      </c>
      <c r="AF49" s="49">
        <v>0</v>
      </c>
      <c r="AG49" s="49">
        <f t="shared" si="12"/>
        <v>0</v>
      </c>
      <c r="AH49" s="49">
        <v>1200</v>
      </c>
      <c r="AI49" s="49">
        <v>0</v>
      </c>
      <c r="AJ49" s="49">
        <f t="shared" si="13"/>
        <v>1200</v>
      </c>
      <c r="AK49" s="49">
        <f t="shared" si="14"/>
        <v>0</v>
      </c>
      <c r="AL49" s="49" t="e">
        <f t="shared" si="15"/>
        <v>#DIV/0!</v>
      </c>
      <c r="AM49" s="50">
        <v>0</v>
      </c>
      <c r="AN49" s="50">
        <v>0</v>
      </c>
      <c r="AO49" s="50">
        <v>0</v>
      </c>
      <c r="AP49" s="50">
        <f t="shared" si="16"/>
        <v>0</v>
      </c>
      <c r="AQ49" s="50">
        <v>600</v>
      </c>
      <c r="AR49" s="50">
        <v>0</v>
      </c>
      <c r="AS49" s="50">
        <f t="shared" si="17"/>
        <v>600</v>
      </c>
      <c r="AT49" s="50">
        <f t="shared" si="18"/>
        <v>0</v>
      </c>
      <c r="AU49" s="50" t="e">
        <f t="shared" si="19"/>
        <v>#DIV/0!</v>
      </c>
      <c r="AV49" s="51">
        <v>0</v>
      </c>
      <c r="AW49" s="36">
        <v>0</v>
      </c>
      <c r="AX49" s="36">
        <v>0</v>
      </c>
      <c r="AY49" s="51">
        <f t="shared" si="20"/>
        <v>0</v>
      </c>
      <c r="AZ49" s="51">
        <v>1500</v>
      </c>
      <c r="BA49" s="51">
        <v>0</v>
      </c>
      <c r="BB49" s="51">
        <f t="shared" si="21"/>
        <v>1500</v>
      </c>
      <c r="BC49" s="51">
        <f t="shared" si="22"/>
        <v>0</v>
      </c>
      <c r="BD49" s="51" t="e">
        <f t="shared" si="23"/>
        <v>#DIV/0!</v>
      </c>
      <c r="BE49" s="52">
        <v>0</v>
      </c>
      <c r="BF49" s="37">
        <v>0</v>
      </c>
      <c r="BG49" s="37">
        <v>0</v>
      </c>
      <c r="BH49" s="37">
        <f t="shared" si="24"/>
        <v>0</v>
      </c>
      <c r="BI49" s="52">
        <v>750</v>
      </c>
      <c r="BJ49" s="37">
        <v>0</v>
      </c>
      <c r="BK49" s="52">
        <f t="shared" si="25"/>
        <v>750</v>
      </c>
      <c r="BL49" s="52">
        <f t="shared" si="26"/>
        <v>0</v>
      </c>
      <c r="BM49" s="52" t="e">
        <f t="shared" si="27"/>
        <v>#DIV/0!</v>
      </c>
      <c r="BN49" s="53">
        <v>0</v>
      </c>
      <c r="BO49" s="38">
        <v>0</v>
      </c>
      <c r="BP49" s="38">
        <v>0</v>
      </c>
      <c r="BQ49" s="53">
        <f t="shared" si="28"/>
        <v>0</v>
      </c>
      <c r="BR49" s="53">
        <v>2450</v>
      </c>
      <c r="BS49" s="38">
        <v>0</v>
      </c>
      <c r="BT49" s="53">
        <f t="shared" si="29"/>
        <v>2450</v>
      </c>
      <c r="BU49" s="53">
        <f t="shared" si="30"/>
        <v>0</v>
      </c>
      <c r="BV49" s="53" t="e">
        <f t="shared" si="31"/>
        <v>#DIV/0!</v>
      </c>
      <c r="BW49" s="54">
        <v>0</v>
      </c>
      <c r="BX49" s="39">
        <v>0</v>
      </c>
      <c r="BY49" s="39">
        <v>0</v>
      </c>
      <c r="BZ49" s="54">
        <f t="shared" si="32"/>
        <v>0</v>
      </c>
      <c r="CA49" s="54">
        <v>750</v>
      </c>
      <c r="CB49" s="54">
        <v>0</v>
      </c>
      <c r="CC49" s="54">
        <f t="shared" si="33"/>
        <v>750</v>
      </c>
      <c r="CD49" s="54">
        <f t="shared" si="34"/>
        <v>0</v>
      </c>
      <c r="CE49" s="54" t="e">
        <f t="shared" si="35"/>
        <v>#DIV/0!</v>
      </c>
      <c r="CF49" s="55">
        <v>0</v>
      </c>
      <c r="CG49" s="55">
        <v>0</v>
      </c>
      <c r="CH49" s="55">
        <v>0</v>
      </c>
      <c r="CI49" s="55">
        <f t="shared" si="36"/>
        <v>0</v>
      </c>
      <c r="CJ49" s="55">
        <v>730</v>
      </c>
      <c r="CK49" s="55">
        <v>0</v>
      </c>
      <c r="CL49" s="55">
        <f t="shared" si="37"/>
        <v>730</v>
      </c>
      <c r="CM49" s="55">
        <f t="shared" si="38"/>
        <v>0</v>
      </c>
      <c r="CN49" s="55" t="e">
        <f t="shared" si="39"/>
        <v>#DIV/0!</v>
      </c>
      <c r="CO49" s="56">
        <v>0</v>
      </c>
      <c r="CP49" s="56">
        <v>0</v>
      </c>
      <c r="CQ49" s="56">
        <v>0</v>
      </c>
      <c r="CR49" s="56">
        <f t="shared" si="40"/>
        <v>0</v>
      </c>
      <c r="CS49" s="56">
        <v>730</v>
      </c>
      <c r="CT49" s="56">
        <v>0</v>
      </c>
      <c r="CU49" s="56">
        <f t="shared" si="41"/>
        <v>730</v>
      </c>
      <c r="CV49" s="56">
        <f t="shared" si="42"/>
        <v>0</v>
      </c>
      <c r="CW49" s="56" t="e">
        <f t="shared" si="43"/>
        <v>#DIV/0!</v>
      </c>
      <c r="CX49" s="57">
        <v>0</v>
      </c>
      <c r="CY49" s="57">
        <v>0</v>
      </c>
      <c r="CZ49" s="57">
        <v>0</v>
      </c>
      <c r="DA49" s="57">
        <f t="shared" si="44"/>
        <v>0</v>
      </c>
      <c r="DB49" s="57">
        <v>600</v>
      </c>
      <c r="DC49" s="57">
        <v>0</v>
      </c>
      <c r="DD49" s="57">
        <f t="shared" si="45"/>
        <v>600</v>
      </c>
      <c r="DE49" s="57">
        <f t="shared" si="46"/>
        <v>0</v>
      </c>
      <c r="DF49" s="57" t="e">
        <f t="shared" si="47"/>
        <v>#DIV/0!</v>
      </c>
    </row>
    <row r="50" spans="1:110" ht="14.25" customHeight="1">
      <c r="A50" s="43"/>
      <c r="B50" s="44"/>
      <c r="C50" s="45">
        <v>0</v>
      </c>
      <c r="D50" s="30">
        <v>0</v>
      </c>
      <c r="E50" s="30">
        <v>0</v>
      </c>
      <c r="F50" s="45">
        <f t="shared" si="0"/>
        <v>0</v>
      </c>
      <c r="G50" s="45">
        <v>900</v>
      </c>
      <c r="H50" s="30">
        <v>0</v>
      </c>
      <c r="I50" s="45">
        <f t="shared" si="1"/>
        <v>900</v>
      </c>
      <c r="J50" s="45">
        <f t="shared" si="2"/>
        <v>0</v>
      </c>
      <c r="K50" s="46" t="e">
        <f t="shared" si="3"/>
        <v>#DIV/0!</v>
      </c>
      <c r="L50" s="47">
        <v>0</v>
      </c>
      <c r="M50" s="32">
        <v>0</v>
      </c>
      <c r="N50" s="32">
        <v>0</v>
      </c>
      <c r="O50" s="47">
        <f t="shared" si="4"/>
        <v>0</v>
      </c>
      <c r="P50" s="47">
        <v>1800</v>
      </c>
      <c r="Q50" s="47">
        <v>0</v>
      </c>
      <c r="R50" s="47">
        <f t="shared" si="5"/>
        <v>1800</v>
      </c>
      <c r="S50" s="47">
        <f t="shared" si="6"/>
        <v>0</v>
      </c>
      <c r="T50" s="47" t="e">
        <f t="shared" si="7"/>
        <v>#DIV/0!</v>
      </c>
      <c r="U50" s="48">
        <v>0</v>
      </c>
      <c r="V50" s="48">
        <v>0</v>
      </c>
      <c r="W50" s="48">
        <v>0</v>
      </c>
      <c r="X50" s="48">
        <f t="shared" si="8"/>
        <v>0</v>
      </c>
      <c r="Y50" s="48">
        <v>910</v>
      </c>
      <c r="Z50" s="33">
        <v>0</v>
      </c>
      <c r="AA50" s="48">
        <f t="shared" si="9"/>
        <v>910</v>
      </c>
      <c r="AB50" s="48">
        <f t="shared" si="10"/>
        <v>0</v>
      </c>
      <c r="AC50" s="48" t="e">
        <f t="shared" si="11"/>
        <v>#DIV/0!</v>
      </c>
      <c r="AD50" s="49">
        <v>0</v>
      </c>
      <c r="AE50" s="49">
        <v>0</v>
      </c>
      <c r="AF50" s="49">
        <v>0</v>
      </c>
      <c r="AG50" s="49">
        <f t="shared" si="12"/>
        <v>0</v>
      </c>
      <c r="AH50" s="49">
        <v>1200</v>
      </c>
      <c r="AI50" s="49">
        <v>0</v>
      </c>
      <c r="AJ50" s="49">
        <f t="shared" si="13"/>
        <v>1200</v>
      </c>
      <c r="AK50" s="49">
        <f t="shared" si="14"/>
        <v>0</v>
      </c>
      <c r="AL50" s="49" t="e">
        <f t="shared" si="15"/>
        <v>#DIV/0!</v>
      </c>
      <c r="AM50" s="50">
        <v>0</v>
      </c>
      <c r="AN50" s="50">
        <v>0</v>
      </c>
      <c r="AO50" s="50">
        <v>0</v>
      </c>
      <c r="AP50" s="50">
        <f t="shared" si="16"/>
        <v>0</v>
      </c>
      <c r="AQ50" s="50">
        <v>600</v>
      </c>
      <c r="AR50" s="50">
        <v>0</v>
      </c>
      <c r="AS50" s="50">
        <f t="shared" si="17"/>
        <v>600</v>
      </c>
      <c r="AT50" s="50">
        <f t="shared" si="18"/>
        <v>0</v>
      </c>
      <c r="AU50" s="50" t="e">
        <f t="shared" si="19"/>
        <v>#DIV/0!</v>
      </c>
      <c r="AV50" s="51">
        <v>0</v>
      </c>
      <c r="AW50" s="36">
        <v>0</v>
      </c>
      <c r="AX50" s="36">
        <v>0</v>
      </c>
      <c r="AY50" s="51">
        <f t="shared" si="20"/>
        <v>0</v>
      </c>
      <c r="AZ50" s="51">
        <v>1500</v>
      </c>
      <c r="BA50" s="51">
        <v>0</v>
      </c>
      <c r="BB50" s="51">
        <f t="shared" si="21"/>
        <v>1500</v>
      </c>
      <c r="BC50" s="51">
        <f t="shared" si="22"/>
        <v>0</v>
      </c>
      <c r="BD50" s="51" t="e">
        <f t="shared" si="23"/>
        <v>#DIV/0!</v>
      </c>
      <c r="BE50" s="52">
        <v>0</v>
      </c>
      <c r="BF50" s="37">
        <v>0</v>
      </c>
      <c r="BG50" s="37">
        <v>0</v>
      </c>
      <c r="BH50" s="37">
        <f t="shared" si="24"/>
        <v>0</v>
      </c>
      <c r="BI50" s="52">
        <v>750</v>
      </c>
      <c r="BJ50" s="37">
        <v>0</v>
      </c>
      <c r="BK50" s="52">
        <f t="shared" si="25"/>
        <v>750</v>
      </c>
      <c r="BL50" s="52">
        <f t="shared" si="26"/>
        <v>0</v>
      </c>
      <c r="BM50" s="52" t="e">
        <f t="shared" si="27"/>
        <v>#DIV/0!</v>
      </c>
      <c r="BN50" s="53">
        <v>0</v>
      </c>
      <c r="BO50" s="38">
        <v>0</v>
      </c>
      <c r="BP50" s="38">
        <v>0</v>
      </c>
      <c r="BQ50" s="53">
        <f t="shared" si="28"/>
        <v>0</v>
      </c>
      <c r="BR50" s="53">
        <v>2450</v>
      </c>
      <c r="BS50" s="38">
        <v>0</v>
      </c>
      <c r="BT50" s="53">
        <f t="shared" si="29"/>
        <v>2450</v>
      </c>
      <c r="BU50" s="53">
        <f t="shared" si="30"/>
        <v>0</v>
      </c>
      <c r="BV50" s="53" t="e">
        <f t="shared" si="31"/>
        <v>#DIV/0!</v>
      </c>
      <c r="BW50" s="54">
        <v>0</v>
      </c>
      <c r="BX50" s="39">
        <v>0</v>
      </c>
      <c r="BY50" s="39">
        <v>0</v>
      </c>
      <c r="BZ50" s="54">
        <f t="shared" si="32"/>
        <v>0</v>
      </c>
      <c r="CA50" s="54">
        <v>750</v>
      </c>
      <c r="CB50" s="54">
        <v>0</v>
      </c>
      <c r="CC50" s="54">
        <f t="shared" si="33"/>
        <v>750</v>
      </c>
      <c r="CD50" s="54">
        <f t="shared" si="34"/>
        <v>0</v>
      </c>
      <c r="CE50" s="54" t="e">
        <f t="shared" si="35"/>
        <v>#DIV/0!</v>
      </c>
      <c r="CF50" s="55">
        <v>0</v>
      </c>
      <c r="CG50" s="55">
        <v>0</v>
      </c>
      <c r="CH50" s="55">
        <v>0</v>
      </c>
      <c r="CI50" s="55">
        <f t="shared" si="36"/>
        <v>0</v>
      </c>
      <c r="CJ50" s="55">
        <v>730</v>
      </c>
      <c r="CK50" s="55">
        <v>0</v>
      </c>
      <c r="CL50" s="55">
        <f t="shared" si="37"/>
        <v>730</v>
      </c>
      <c r="CM50" s="55">
        <f t="shared" si="38"/>
        <v>0</v>
      </c>
      <c r="CN50" s="55" t="e">
        <f t="shared" si="39"/>
        <v>#DIV/0!</v>
      </c>
      <c r="CO50" s="56">
        <v>0</v>
      </c>
      <c r="CP50" s="56">
        <v>0</v>
      </c>
      <c r="CQ50" s="56">
        <v>0</v>
      </c>
      <c r="CR50" s="56">
        <f t="shared" si="40"/>
        <v>0</v>
      </c>
      <c r="CS50" s="56">
        <v>730</v>
      </c>
      <c r="CT50" s="56">
        <v>0</v>
      </c>
      <c r="CU50" s="56">
        <f t="shared" si="41"/>
        <v>730</v>
      </c>
      <c r="CV50" s="56">
        <f t="shared" si="42"/>
        <v>0</v>
      </c>
      <c r="CW50" s="56" t="e">
        <f t="shared" si="43"/>
        <v>#DIV/0!</v>
      </c>
      <c r="CX50" s="57">
        <v>0</v>
      </c>
      <c r="CY50" s="57">
        <v>0</v>
      </c>
      <c r="CZ50" s="57">
        <v>0</v>
      </c>
      <c r="DA50" s="57">
        <f t="shared" si="44"/>
        <v>0</v>
      </c>
      <c r="DB50" s="57">
        <v>600</v>
      </c>
      <c r="DC50" s="57">
        <v>0</v>
      </c>
      <c r="DD50" s="57">
        <f t="shared" si="45"/>
        <v>600</v>
      </c>
      <c r="DE50" s="57">
        <f t="shared" si="46"/>
        <v>0</v>
      </c>
      <c r="DF50" s="57" t="e">
        <f t="shared" si="47"/>
        <v>#DIV/0!</v>
      </c>
    </row>
    <row r="51" spans="1:110" ht="14.25" customHeight="1">
      <c r="A51" s="43"/>
      <c r="B51" s="44"/>
      <c r="C51" s="45">
        <v>0</v>
      </c>
      <c r="D51" s="30">
        <v>0</v>
      </c>
      <c r="E51" s="30">
        <v>0</v>
      </c>
      <c r="F51" s="45">
        <f t="shared" si="0"/>
        <v>0</v>
      </c>
      <c r="G51" s="45">
        <v>900</v>
      </c>
      <c r="H51" s="30">
        <v>0</v>
      </c>
      <c r="I51" s="45">
        <f t="shared" si="1"/>
        <v>900</v>
      </c>
      <c r="J51" s="45">
        <f t="shared" si="2"/>
        <v>0</v>
      </c>
      <c r="K51" s="46" t="e">
        <f t="shared" si="3"/>
        <v>#DIV/0!</v>
      </c>
      <c r="L51" s="47">
        <v>0</v>
      </c>
      <c r="M51" s="32">
        <v>0</v>
      </c>
      <c r="N51" s="32">
        <v>0</v>
      </c>
      <c r="O51" s="47">
        <f t="shared" si="4"/>
        <v>0</v>
      </c>
      <c r="P51" s="47">
        <v>1800</v>
      </c>
      <c r="Q51" s="47">
        <v>0</v>
      </c>
      <c r="R51" s="47">
        <f t="shared" si="5"/>
        <v>1800</v>
      </c>
      <c r="S51" s="47">
        <f t="shared" si="6"/>
        <v>0</v>
      </c>
      <c r="T51" s="47" t="e">
        <f t="shared" si="7"/>
        <v>#DIV/0!</v>
      </c>
      <c r="U51" s="48">
        <v>0</v>
      </c>
      <c r="V51" s="48">
        <v>0</v>
      </c>
      <c r="W51" s="48">
        <v>0</v>
      </c>
      <c r="X51" s="48">
        <f t="shared" si="8"/>
        <v>0</v>
      </c>
      <c r="Y51" s="48">
        <v>910</v>
      </c>
      <c r="Z51" s="33">
        <v>0</v>
      </c>
      <c r="AA51" s="48">
        <f t="shared" si="9"/>
        <v>910</v>
      </c>
      <c r="AB51" s="48">
        <f t="shared" si="10"/>
        <v>0</v>
      </c>
      <c r="AC51" s="48" t="e">
        <f t="shared" si="11"/>
        <v>#DIV/0!</v>
      </c>
      <c r="AD51" s="49">
        <v>0</v>
      </c>
      <c r="AE51" s="49">
        <v>0</v>
      </c>
      <c r="AF51" s="49">
        <v>0</v>
      </c>
      <c r="AG51" s="49">
        <f t="shared" si="12"/>
        <v>0</v>
      </c>
      <c r="AH51" s="49">
        <v>1200</v>
      </c>
      <c r="AI51" s="49">
        <v>0</v>
      </c>
      <c r="AJ51" s="49">
        <f t="shared" si="13"/>
        <v>1200</v>
      </c>
      <c r="AK51" s="49">
        <f t="shared" si="14"/>
        <v>0</v>
      </c>
      <c r="AL51" s="49" t="e">
        <f t="shared" si="15"/>
        <v>#DIV/0!</v>
      </c>
      <c r="AM51" s="50">
        <v>0</v>
      </c>
      <c r="AN51" s="50">
        <v>0</v>
      </c>
      <c r="AO51" s="50">
        <v>0</v>
      </c>
      <c r="AP51" s="50">
        <f t="shared" si="16"/>
        <v>0</v>
      </c>
      <c r="AQ51" s="50">
        <v>600</v>
      </c>
      <c r="AR51" s="50">
        <v>0</v>
      </c>
      <c r="AS51" s="50">
        <f t="shared" si="17"/>
        <v>600</v>
      </c>
      <c r="AT51" s="50">
        <f t="shared" si="18"/>
        <v>0</v>
      </c>
      <c r="AU51" s="50" t="e">
        <f t="shared" si="19"/>
        <v>#DIV/0!</v>
      </c>
      <c r="AV51" s="51">
        <v>0</v>
      </c>
      <c r="AW51" s="36">
        <v>0</v>
      </c>
      <c r="AX51" s="36">
        <v>0</v>
      </c>
      <c r="AY51" s="51">
        <f t="shared" si="20"/>
        <v>0</v>
      </c>
      <c r="AZ51" s="51">
        <v>1500</v>
      </c>
      <c r="BA51" s="51">
        <v>0</v>
      </c>
      <c r="BB51" s="51">
        <f t="shared" si="21"/>
        <v>1500</v>
      </c>
      <c r="BC51" s="51">
        <f t="shared" si="22"/>
        <v>0</v>
      </c>
      <c r="BD51" s="51" t="e">
        <f t="shared" si="23"/>
        <v>#DIV/0!</v>
      </c>
      <c r="BE51" s="52">
        <v>0</v>
      </c>
      <c r="BF51" s="37">
        <v>0</v>
      </c>
      <c r="BG51" s="37">
        <v>0</v>
      </c>
      <c r="BH51" s="37">
        <f t="shared" si="24"/>
        <v>0</v>
      </c>
      <c r="BI51" s="52">
        <v>750</v>
      </c>
      <c r="BJ51" s="37">
        <v>0</v>
      </c>
      <c r="BK51" s="52">
        <f t="shared" si="25"/>
        <v>750</v>
      </c>
      <c r="BL51" s="52">
        <f t="shared" si="26"/>
        <v>0</v>
      </c>
      <c r="BM51" s="52" t="e">
        <f t="shared" si="27"/>
        <v>#DIV/0!</v>
      </c>
      <c r="BN51" s="53">
        <v>0</v>
      </c>
      <c r="BO51" s="38">
        <v>0</v>
      </c>
      <c r="BP51" s="38">
        <v>0</v>
      </c>
      <c r="BQ51" s="53">
        <f t="shared" si="28"/>
        <v>0</v>
      </c>
      <c r="BR51" s="53">
        <v>2450</v>
      </c>
      <c r="BS51" s="38">
        <v>0</v>
      </c>
      <c r="BT51" s="53">
        <f t="shared" si="29"/>
        <v>2450</v>
      </c>
      <c r="BU51" s="53">
        <f t="shared" si="30"/>
        <v>0</v>
      </c>
      <c r="BV51" s="53" t="e">
        <f t="shared" si="31"/>
        <v>#DIV/0!</v>
      </c>
      <c r="BW51" s="54">
        <v>0</v>
      </c>
      <c r="BX51" s="39">
        <v>0</v>
      </c>
      <c r="BY51" s="39">
        <v>0</v>
      </c>
      <c r="BZ51" s="54">
        <f t="shared" si="32"/>
        <v>0</v>
      </c>
      <c r="CA51" s="54">
        <v>750</v>
      </c>
      <c r="CB51" s="54">
        <v>0</v>
      </c>
      <c r="CC51" s="54">
        <f t="shared" si="33"/>
        <v>750</v>
      </c>
      <c r="CD51" s="54">
        <f t="shared" si="34"/>
        <v>0</v>
      </c>
      <c r="CE51" s="54" t="e">
        <f t="shared" si="35"/>
        <v>#DIV/0!</v>
      </c>
      <c r="CF51" s="55">
        <v>0</v>
      </c>
      <c r="CG51" s="55">
        <v>0</v>
      </c>
      <c r="CH51" s="55">
        <v>0</v>
      </c>
      <c r="CI51" s="55">
        <f t="shared" si="36"/>
        <v>0</v>
      </c>
      <c r="CJ51" s="55">
        <v>730</v>
      </c>
      <c r="CK51" s="55">
        <v>0</v>
      </c>
      <c r="CL51" s="55">
        <f t="shared" si="37"/>
        <v>730</v>
      </c>
      <c r="CM51" s="55">
        <f t="shared" si="38"/>
        <v>0</v>
      </c>
      <c r="CN51" s="55" t="e">
        <f t="shared" si="39"/>
        <v>#DIV/0!</v>
      </c>
      <c r="CO51" s="56">
        <v>0</v>
      </c>
      <c r="CP51" s="56">
        <v>0</v>
      </c>
      <c r="CQ51" s="56">
        <v>0</v>
      </c>
      <c r="CR51" s="56">
        <f t="shared" si="40"/>
        <v>0</v>
      </c>
      <c r="CS51" s="56">
        <v>730</v>
      </c>
      <c r="CT51" s="56">
        <v>0</v>
      </c>
      <c r="CU51" s="56">
        <f t="shared" si="41"/>
        <v>730</v>
      </c>
      <c r="CV51" s="56">
        <f t="shared" si="42"/>
        <v>0</v>
      </c>
      <c r="CW51" s="56" t="e">
        <f t="shared" si="43"/>
        <v>#DIV/0!</v>
      </c>
      <c r="CX51" s="57">
        <v>0</v>
      </c>
      <c r="CY51" s="57">
        <v>0</v>
      </c>
      <c r="CZ51" s="57">
        <v>0</v>
      </c>
      <c r="DA51" s="57">
        <f t="shared" si="44"/>
        <v>0</v>
      </c>
      <c r="DB51" s="57">
        <v>600</v>
      </c>
      <c r="DC51" s="57">
        <v>0</v>
      </c>
      <c r="DD51" s="57">
        <f t="shared" si="45"/>
        <v>600</v>
      </c>
      <c r="DE51" s="57">
        <f t="shared" si="46"/>
        <v>0</v>
      </c>
      <c r="DF51" s="57" t="e">
        <f t="shared" si="47"/>
        <v>#DIV/0!</v>
      </c>
    </row>
    <row r="52" spans="1:110" ht="14.25" customHeight="1">
      <c r="A52" s="43"/>
      <c r="B52" s="44"/>
      <c r="C52" s="45">
        <v>0</v>
      </c>
      <c r="D52" s="30">
        <v>0</v>
      </c>
      <c r="E52" s="30">
        <v>0</v>
      </c>
      <c r="F52" s="45">
        <f t="shared" si="0"/>
        <v>0</v>
      </c>
      <c r="G52" s="45">
        <v>900</v>
      </c>
      <c r="H52" s="30">
        <v>0</v>
      </c>
      <c r="I52" s="45">
        <f t="shared" si="1"/>
        <v>900</v>
      </c>
      <c r="J52" s="45">
        <f t="shared" si="2"/>
        <v>0</v>
      </c>
      <c r="K52" s="46" t="e">
        <f t="shared" si="3"/>
        <v>#DIV/0!</v>
      </c>
      <c r="L52" s="47">
        <v>0</v>
      </c>
      <c r="M52" s="32">
        <v>0</v>
      </c>
      <c r="N52" s="32">
        <v>0</v>
      </c>
      <c r="O52" s="47">
        <f t="shared" si="4"/>
        <v>0</v>
      </c>
      <c r="P52" s="47">
        <v>1800</v>
      </c>
      <c r="Q52" s="47">
        <v>0</v>
      </c>
      <c r="R52" s="47">
        <f t="shared" si="5"/>
        <v>1800</v>
      </c>
      <c r="S52" s="47">
        <f t="shared" si="6"/>
        <v>0</v>
      </c>
      <c r="T52" s="47" t="e">
        <f t="shared" si="7"/>
        <v>#DIV/0!</v>
      </c>
      <c r="U52" s="48">
        <v>0</v>
      </c>
      <c r="V52" s="48">
        <v>0</v>
      </c>
      <c r="W52" s="48">
        <v>0</v>
      </c>
      <c r="X52" s="48">
        <f t="shared" si="8"/>
        <v>0</v>
      </c>
      <c r="Y52" s="48">
        <v>910</v>
      </c>
      <c r="Z52" s="33">
        <v>0</v>
      </c>
      <c r="AA52" s="48">
        <f t="shared" si="9"/>
        <v>910</v>
      </c>
      <c r="AB52" s="48">
        <f t="shared" si="10"/>
        <v>0</v>
      </c>
      <c r="AC52" s="48" t="e">
        <f t="shared" si="11"/>
        <v>#DIV/0!</v>
      </c>
      <c r="AD52" s="49">
        <v>0</v>
      </c>
      <c r="AE52" s="49">
        <v>0</v>
      </c>
      <c r="AF52" s="49">
        <v>0</v>
      </c>
      <c r="AG52" s="49">
        <f t="shared" si="12"/>
        <v>0</v>
      </c>
      <c r="AH52" s="49">
        <v>1200</v>
      </c>
      <c r="AI52" s="49">
        <v>0</v>
      </c>
      <c r="AJ52" s="49">
        <f t="shared" si="13"/>
        <v>1200</v>
      </c>
      <c r="AK52" s="49">
        <f t="shared" si="14"/>
        <v>0</v>
      </c>
      <c r="AL52" s="49" t="e">
        <f t="shared" si="15"/>
        <v>#DIV/0!</v>
      </c>
      <c r="AM52" s="50">
        <v>0</v>
      </c>
      <c r="AN52" s="50">
        <v>0</v>
      </c>
      <c r="AO52" s="50">
        <v>0</v>
      </c>
      <c r="AP52" s="50">
        <f t="shared" si="16"/>
        <v>0</v>
      </c>
      <c r="AQ52" s="50">
        <v>600</v>
      </c>
      <c r="AR52" s="50">
        <v>0</v>
      </c>
      <c r="AS52" s="50">
        <f t="shared" si="17"/>
        <v>600</v>
      </c>
      <c r="AT52" s="50">
        <f t="shared" si="18"/>
        <v>0</v>
      </c>
      <c r="AU52" s="50" t="e">
        <f t="shared" si="19"/>
        <v>#DIV/0!</v>
      </c>
      <c r="AV52" s="51">
        <v>0</v>
      </c>
      <c r="AW52" s="36">
        <v>0</v>
      </c>
      <c r="AX52" s="36">
        <v>0</v>
      </c>
      <c r="AY52" s="51">
        <f t="shared" si="20"/>
        <v>0</v>
      </c>
      <c r="AZ52" s="51">
        <v>1500</v>
      </c>
      <c r="BA52" s="51">
        <v>0</v>
      </c>
      <c r="BB52" s="51">
        <f t="shared" si="21"/>
        <v>1500</v>
      </c>
      <c r="BC52" s="51">
        <f t="shared" si="22"/>
        <v>0</v>
      </c>
      <c r="BD52" s="51" t="e">
        <f t="shared" si="23"/>
        <v>#DIV/0!</v>
      </c>
      <c r="BE52" s="52">
        <v>0</v>
      </c>
      <c r="BF52" s="37">
        <v>0</v>
      </c>
      <c r="BG52" s="37">
        <v>0</v>
      </c>
      <c r="BH52" s="37">
        <f t="shared" si="24"/>
        <v>0</v>
      </c>
      <c r="BI52" s="52">
        <v>750</v>
      </c>
      <c r="BJ52" s="37">
        <v>0</v>
      </c>
      <c r="BK52" s="52">
        <f t="shared" si="25"/>
        <v>750</v>
      </c>
      <c r="BL52" s="52">
        <f t="shared" si="26"/>
        <v>0</v>
      </c>
      <c r="BM52" s="52" t="e">
        <f t="shared" si="27"/>
        <v>#DIV/0!</v>
      </c>
      <c r="BN52" s="53">
        <v>0</v>
      </c>
      <c r="BO52" s="38">
        <v>0</v>
      </c>
      <c r="BP52" s="38">
        <v>0</v>
      </c>
      <c r="BQ52" s="53">
        <f t="shared" si="28"/>
        <v>0</v>
      </c>
      <c r="BR52" s="53">
        <v>2450</v>
      </c>
      <c r="BS52" s="38">
        <v>0</v>
      </c>
      <c r="BT52" s="53">
        <f t="shared" si="29"/>
        <v>2450</v>
      </c>
      <c r="BU52" s="53">
        <f t="shared" si="30"/>
        <v>0</v>
      </c>
      <c r="BV52" s="53" t="e">
        <f t="shared" si="31"/>
        <v>#DIV/0!</v>
      </c>
      <c r="BW52" s="54">
        <v>0</v>
      </c>
      <c r="BX52" s="39">
        <v>0</v>
      </c>
      <c r="BY52" s="39">
        <v>0</v>
      </c>
      <c r="BZ52" s="54">
        <f t="shared" si="32"/>
        <v>0</v>
      </c>
      <c r="CA52" s="54">
        <v>750</v>
      </c>
      <c r="CB52" s="54">
        <v>0</v>
      </c>
      <c r="CC52" s="54">
        <f t="shared" si="33"/>
        <v>750</v>
      </c>
      <c r="CD52" s="54">
        <f t="shared" si="34"/>
        <v>0</v>
      </c>
      <c r="CE52" s="54" t="e">
        <f t="shared" si="35"/>
        <v>#DIV/0!</v>
      </c>
      <c r="CF52" s="55">
        <v>0</v>
      </c>
      <c r="CG52" s="55">
        <v>0</v>
      </c>
      <c r="CH52" s="55">
        <v>0</v>
      </c>
      <c r="CI52" s="55">
        <f t="shared" si="36"/>
        <v>0</v>
      </c>
      <c r="CJ52" s="55">
        <v>730</v>
      </c>
      <c r="CK52" s="55">
        <v>0</v>
      </c>
      <c r="CL52" s="55">
        <f t="shared" si="37"/>
        <v>730</v>
      </c>
      <c r="CM52" s="55">
        <f t="shared" si="38"/>
        <v>0</v>
      </c>
      <c r="CN52" s="55" t="e">
        <f t="shared" si="39"/>
        <v>#DIV/0!</v>
      </c>
      <c r="CO52" s="56">
        <v>0</v>
      </c>
      <c r="CP52" s="56">
        <v>0</v>
      </c>
      <c r="CQ52" s="56">
        <v>0</v>
      </c>
      <c r="CR52" s="56">
        <f t="shared" si="40"/>
        <v>0</v>
      </c>
      <c r="CS52" s="56">
        <v>730</v>
      </c>
      <c r="CT52" s="56">
        <v>0</v>
      </c>
      <c r="CU52" s="56">
        <f t="shared" si="41"/>
        <v>730</v>
      </c>
      <c r="CV52" s="56">
        <f t="shared" si="42"/>
        <v>0</v>
      </c>
      <c r="CW52" s="56" t="e">
        <f t="shared" si="43"/>
        <v>#DIV/0!</v>
      </c>
      <c r="CX52" s="57">
        <v>0</v>
      </c>
      <c r="CY52" s="57">
        <v>0</v>
      </c>
      <c r="CZ52" s="57">
        <v>0</v>
      </c>
      <c r="DA52" s="57">
        <f t="shared" si="44"/>
        <v>0</v>
      </c>
      <c r="DB52" s="57">
        <v>600</v>
      </c>
      <c r="DC52" s="57">
        <v>0</v>
      </c>
      <c r="DD52" s="57">
        <f t="shared" si="45"/>
        <v>600</v>
      </c>
      <c r="DE52" s="57">
        <f t="shared" si="46"/>
        <v>0</v>
      </c>
      <c r="DF52" s="57" t="e">
        <f t="shared" si="47"/>
        <v>#DIV/0!</v>
      </c>
    </row>
    <row r="53" spans="1:110" ht="14.25" customHeight="1">
      <c r="A53" s="43"/>
      <c r="B53" s="44"/>
      <c r="C53" s="45">
        <v>0</v>
      </c>
      <c r="D53" s="30">
        <v>0</v>
      </c>
      <c r="E53" s="30">
        <v>0</v>
      </c>
      <c r="F53" s="45">
        <f t="shared" si="0"/>
        <v>0</v>
      </c>
      <c r="G53" s="45">
        <v>900</v>
      </c>
      <c r="H53" s="30">
        <v>0</v>
      </c>
      <c r="I53" s="45">
        <f t="shared" si="1"/>
        <v>900</v>
      </c>
      <c r="J53" s="45">
        <f t="shared" si="2"/>
        <v>0</v>
      </c>
      <c r="K53" s="46" t="e">
        <f t="shared" si="3"/>
        <v>#DIV/0!</v>
      </c>
      <c r="L53" s="47">
        <v>0</v>
      </c>
      <c r="M53" s="32">
        <v>0</v>
      </c>
      <c r="N53" s="32">
        <v>0</v>
      </c>
      <c r="O53" s="47">
        <f t="shared" si="4"/>
        <v>0</v>
      </c>
      <c r="P53" s="47">
        <v>1800</v>
      </c>
      <c r="Q53" s="47">
        <v>0</v>
      </c>
      <c r="R53" s="47">
        <f t="shared" si="5"/>
        <v>1800</v>
      </c>
      <c r="S53" s="47">
        <f t="shared" si="6"/>
        <v>0</v>
      </c>
      <c r="T53" s="47" t="e">
        <f t="shared" si="7"/>
        <v>#DIV/0!</v>
      </c>
      <c r="U53" s="48">
        <v>0</v>
      </c>
      <c r="V53" s="48">
        <v>0</v>
      </c>
      <c r="W53" s="48">
        <v>0</v>
      </c>
      <c r="X53" s="48">
        <f t="shared" si="8"/>
        <v>0</v>
      </c>
      <c r="Y53" s="48">
        <v>910</v>
      </c>
      <c r="Z53" s="33">
        <v>0</v>
      </c>
      <c r="AA53" s="48">
        <f t="shared" si="9"/>
        <v>910</v>
      </c>
      <c r="AB53" s="48">
        <f t="shared" si="10"/>
        <v>0</v>
      </c>
      <c r="AC53" s="48" t="e">
        <f t="shared" si="11"/>
        <v>#DIV/0!</v>
      </c>
      <c r="AD53" s="49">
        <v>0</v>
      </c>
      <c r="AE53" s="49">
        <v>0</v>
      </c>
      <c r="AF53" s="49">
        <v>0</v>
      </c>
      <c r="AG53" s="49">
        <f t="shared" si="12"/>
        <v>0</v>
      </c>
      <c r="AH53" s="49">
        <v>1200</v>
      </c>
      <c r="AI53" s="49">
        <v>0</v>
      </c>
      <c r="AJ53" s="49">
        <f t="shared" si="13"/>
        <v>1200</v>
      </c>
      <c r="AK53" s="49">
        <f t="shared" si="14"/>
        <v>0</v>
      </c>
      <c r="AL53" s="49" t="e">
        <f t="shared" si="15"/>
        <v>#DIV/0!</v>
      </c>
      <c r="AM53" s="50">
        <v>0</v>
      </c>
      <c r="AN53" s="50">
        <v>0</v>
      </c>
      <c r="AO53" s="50">
        <v>0</v>
      </c>
      <c r="AP53" s="50">
        <f t="shared" si="16"/>
        <v>0</v>
      </c>
      <c r="AQ53" s="50">
        <v>600</v>
      </c>
      <c r="AR53" s="50">
        <v>0</v>
      </c>
      <c r="AS53" s="50">
        <f t="shared" si="17"/>
        <v>600</v>
      </c>
      <c r="AT53" s="50">
        <f t="shared" si="18"/>
        <v>0</v>
      </c>
      <c r="AU53" s="50" t="e">
        <f t="shared" si="19"/>
        <v>#DIV/0!</v>
      </c>
      <c r="AV53" s="51">
        <v>0</v>
      </c>
      <c r="AW53" s="36">
        <v>0</v>
      </c>
      <c r="AX53" s="36">
        <v>0</v>
      </c>
      <c r="AY53" s="51">
        <f t="shared" si="20"/>
        <v>0</v>
      </c>
      <c r="AZ53" s="51">
        <v>1500</v>
      </c>
      <c r="BA53" s="51">
        <v>0</v>
      </c>
      <c r="BB53" s="51">
        <f t="shared" si="21"/>
        <v>1500</v>
      </c>
      <c r="BC53" s="51">
        <f t="shared" si="22"/>
        <v>0</v>
      </c>
      <c r="BD53" s="51" t="e">
        <f t="shared" si="23"/>
        <v>#DIV/0!</v>
      </c>
      <c r="BE53" s="52">
        <v>0</v>
      </c>
      <c r="BF53" s="37">
        <v>0</v>
      </c>
      <c r="BG53" s="37">
        <v>0</v>
      </c>
      <c r="BH53" s="37">
        <f t="shared" si="24"/>
        <v>0</v>
      </c>
      <c r="BI53" s="52">
        <v>750</v>
      </c>
      <c r="BJ53" s="37">
        <v>0</v>
      </c>
      <c r="BK53" s="52">
        <f t="shared" si="25"/>
        <v>750</v>
      </c>
      <c r="BL53" s="52">
        <f t="shared" si="26"/>
        <v>0</v>
      </c>
      <c r="BM53" s="52" t="e">
        <f t="shared" si="27"/>
        <v>#DIV/0!</v>
      </c>
      <c r="BN53" s="53">
        <v>0</v>
      </c>
      <c r="BO53" s="38">
        <v>0</v>
      </c>
      <c r="BP53" s="38">
        <v>0</v>
      </c>
      <c r="BQ53" s="53">
        <f t="shared" si="28"/>
        <v>0</v>
      </c>
      <c r="BR53" s="53">
        <v>2450</v>
      </c>
      <c r="BS53" s="38">
        <v>0</v>
      </c>
      <c r="BT53" s="53">
        <f t="shared" si="29"/>
        <v>2450</v>
      </c>
      <c r="BU53" s="53">
        <f t="shared" si="30"/>
        <v>0</v>
      </c>
      <c r="BV53" s="53" t="e">
        <f t="shared" si="31"/>
        <v>#DIV/0!</v>
      </c>
      <c r="BW53" s="54">
        <v>0</v>
      </c>
      <c r="BX53" s="39">
        <v>0</v>
      </c>
      <c r="BY53" s="39">
        <v>0</v>
      </c>
      <c r="BZ53" s="54">
        <f t="shared" si="32"/>
        <v>0</v>
      </c>
      <c r="CA53" s="54">
        <v>750</v>
      </c>
      <c r="CB53" s="54">
        <v>0</v>
      </c>
      <c r="CC53" s="54">
        <f t="shared" si="33"/>
        <v>750</v>
      </c>
      <c r="CD53" s="54">
        <f t="shared" si="34"/>
        <v>0</v>
      </c>
      <c r="CE53" s="54" t="e">
        <f t="shared" si="35"/>
        <v>#DIV/0!</v>
      </c>
      <c r="CF53" s="55">
        <v>0</v>
      </c>
      <c r="CG53" s="55">
        <v>0</v>
      </c>
      <c r="CH53" s="55">
        <v>0</v>
      </c>
      <c r="CI53" s="55">
        <f t="shared" si="36"/>
        <v>0</v>
      </c>
      <c r="CJ53" s="55">
        <v>730</v>
      </c>
      <c r="CK53" s="55">
        <v>0</v>
      </c>
      <c r="CL53" s="55">
        <f t="shared" si="37"/>
        <v>730</v>
      </c>
      <c r="CM53" s="55">
        <f t="shared" si="38"/>
        <v>0</v>
      </c>
      <c r="CN53" s="55" t="e">
        <f t="shared" si="39"/>
        <v>#DIV/0!</v>
      </c>
      <c r="CO53" s="56">
        <v>0</v>
      </c>
      <c r="CP53" s="56">
        <v>0</v>
      </c>
      <c r="CQ53" s="56">
        <v>0</v>
      </c>
      <c r="CR53" s="56">
        <f t="shared" si="40"/>
        <v>0</v>
      </c>
      <c r="CS53" s="56">
        <v>730</v>
      </c>
      <c r="CT53" s="56">
        <v>0</v>
      </c>
      <c r="CU53" s="56">
        <f t="shared" si="41"/>
        <v>730</v>
      </c>
      <c r="CV53" s="56">
        <f t="shared" si="42"/>
        <v>0</v>
      </c>
      <c r="CW53" s="56" t="e">
        <f t="shared" si="43"/>
        <v>#DIV/0!</v>
      </c>
      <c r="CX53" s="57">
        <v>0</v>
      </c>
      <c r="CY53" s="57">
        <v>0</v>
      </c>
      <c r="CZ53" s="57">
        <v>0</v>
      </c>
      <c r="DA53" s="57">
        <f t="shared" si="44"/>
        <v>0</v>
      </c>
      <c r="DB53" s="57">
        <v>600</v>
      </c>
      <c r="DC53" s="57">
        <v>0</v>
      </c>
      <c r="DD53" s="57">
        <f t="shared" si="45"/>
        <v>600</v>
      </c>
      <c r="DE53" s="57">
        <f t="shared" si="46"/>
        <v>0</v>
      </c>
      <c r="DF53" s="57" t="e">
        <f t="shared" si="47"/>
        <v>#DIV/0!</v>
      </c>
    </row>
    <row r="54" spans="1:110" ht="14.25" customHeight="1">
      <c r="A54" s="43"/>
      <c r="B54" s="44"/>
      <c r="C54" s="45">
        <v>0</v>
      </c>
      <c r="D54" s="30">
        <v>0</v>
      </c>
      <c r="E54" s="30">
        <v>0</v>
      </c>
      <c r="F54" s="45">
        <f t="shared" si="0"/>
        <v>0</v>
      </c>
      <c r="G54" s="45">
        <v>900</v>
      </c>
      <c r="H54" s="30">
        <v>0</v>
      </c>
      <c r="I54" s="45">
        <f t="shared" si="1"/>
        <v>900</v>
      </c>
      <c r="J54" s="45">
        <f t="shared" si="2"/>
        <v>0</v>
      </c>
      <c r="K54" s="46" t="e">
        <f t="shared" si="3"/>
        <v>#DIV/0!</v>
      </c>
      <c r="L54" s="47">
        <v>0</v>
      </c>
      <c r="M54" s="32">
        <v>0</v>
      </c>
      <c r="N54" s="32">
        <v>0</v>
      </c>
      <c r="O54" s="47">
        <f t="shared" si="4"/>
        <v>0</v>
      </c>
      <c r="P54" s="47">
        <v>1800</v>
      </c>
      <c r="Q54" s="47">
        <v>0</v>
      </c>
      <c r="R54" s="47">
        <f t="shared" si="5"/>
        <v>1800</v>
      </c>
      <c r="S54" s="47">
        <f t="shared" si="6"/>
        <v>0</v>
      </c>
      <c r="T54" s="47" t="e">
        <f t="shared" si="7"/>
        <v>#DIV/0!</v>
      </c>
      <c r="U54" s="48">
        <v>0</v>
      </c>
      <c r="V54" s="48">
        <v>0</v>
      </c>
      <c r="W54" s="48">
        <v>0</v>
      </c>
      <c r="X54" s="48">
        <f t="shared" si="8"/>
        <v>0</v>
      </c>
      <c r="Y54" s="48">
        <v>910</v>
      </c>
      <c r="Z54" s="33">
        <v>0</v>
      </c>
      <c r="AA54" s="48">
        <f t="shared" si="9"/>
        <v>910</v>
      </c>
      <c r="AB54" s="48">
        <f t="shared" si="10"/>
        <v>0</v>
      </c>
      <c r="AC54" s="48" t="e">
        <f t="shared" si="11"/>
        <v>#DIV/0!</v>
      </c>
      <c r="AD54" s="49">
        <v>0</v>
      </c>
      <c r="AE54" s="49">
        <v>0</v>
      </c>
      <c r="AF54" s="49">
        <v>0</v>
      </c>
      <c r="AG54" s="49">
        <f t="shared" si="12"/>
        <v>0</v>
      </c>
      <c r="AH54" s="49">
        <v>1200</v>
      </c>
      <c r="AI54" s="49">
        <v>0</v>
      </c>
      <c r="AJ54" s="49">
        <f t="shared" si="13"/>
        <v>1200</v>
      </c>
      <c r="AK54" s="49">
        <f t="shared" si="14"/>
        <v>0</v>
      </c>
      <c r="AL54" s="49" t="e">
        <f t="shared" si="15"/>
        <v>#DIV/0!</v>
      </c>
      <c r="AM54" s="50">
        <v>0</v>
      </c>
      <c r="AN54" s="50">
        <v>0</v>
      </c>
      <c r="AO54" s="50">
        <v>0</v>
      </c>
      <c r="AP54" s="50">
        <f t="shared" si="16"/>
        <v>0</v>
      </c>
      <c r="AQ54" s="50">
        <v>600</v>
      </c>
      <c r="AR54" s="50">
        <v>0</v>
      </c>
      <c r="AS54" s="50">
        <f t="shared" si="17"/>
        <v>600</v>
      </c>
      <c r="AT54" s="50">
        <f t="shared" si="18"/>
        <v>0</v>
      </c>
      <c r="AU54" s="50" t="e">
        <f t="shared" si="19"/>
        <v>#DIV/0!</v>
      </c>
      <c r="AV54" s="51">
        <v>0</v>
      </c>
      <c r="AW54" s="36">
        <v>0</v>
      </c>
      <c r="AX54" s="36">
        <v>0</v>
      </c>
      <c r="AY54" s="51">
        <f t="shared" si="20"/>
        <v>0</v>
      </c>
      <c r="AZ54" s="51">
        <v>1500</v>
      </c>
      <c r="BA54" s="51">
        <v>0</v>
      </c>
      <c r="BB54" s="51">
        <f t="shared" si="21"/>
        <v>1500</v>
      </c>
      <c r="BC54" s="51">
        <f t="shared" si="22"/>
        <v>0</v>
      </c>
      <c r="BD54" s="51" t="e">
        <f t="shared" si="23"/>
        <v>#DIV/0!</v>
      </c>
      <c r="BE54" s="52">
        <v>0</v>
      </c>
      <c r="BF54" s="37">
        <v>0</v>
      </c>
      <c r="BG54" s="37">
        <v>0</v>
      </c>
      <c r="BH54" s="37">
        <f t="shared" si="24"/>
        <v>0</v>
      </c>
      <c r="BI54" s="52">
        <v>750</v>
      </c>
      <c r="BJ54" s="37">
        <v>0</v>
      </c>
      <c r="BK54" s="52">
        <f t="shared" si="25"/>
        <v>750</v>
      </c>
      <c r="BL54" s="52">
        <f t="shared" si="26"/>
        <v>0</v>
      </c>
      <c r="BM54" s="52" t="e">
        <f t="shared" si="27"/>
        <v>#DIV/0!</v>
      </c>
      <c r="BN54" s="53">
        <v>0</v>
      </c>
      <c r="BO54" s="38">
        <v>0</v>
      </c>
      <c r="BP54" s="38">
        <v>0</v>
      </c>
      <c r="BQ54" s="53">
        <f t="shared" si="28"/>
        <v>0</v>
      </c>
      <c r="BR54" s="53">
        <v>2450</v>
      </c>
      <c r="BS54" s="38">
        <v>0</v>
      </c>
      <c r="BT54" s="53">
        <f t="shared" si="29"/>
        <v>2450</v>
      </c>
      <c r="BU54" s="53">
        <f t="shared" si="30"/>
        <v>0</v>
      </c>
      <c r="BV54" s="53" t="e">
        <f t="shared" si="31"/>
        <v>#DIV/0!</v>
      </c>
      <c r="BW54" s="54">
        <v>0</v>
      </c>
      <c r="BX54" s="39">
        <v>0</v>
      </c>
      <c r="BY54" s="39">
        <v>0</v>
      </c>
      <c r="BZ54" s="54">
        <f t="shared" si="32"/>
        <v>0</v>
      </c>
      <c r="CA54" s="54">
        <v>750</v>
      </c>
      <c r="CB54" s="54">
        <v>0</v>
      </c>
      <c r="CC54" s="54">
        <f t="shared" si="33"/>
        <v>750</v>
      </c>
      <c r="CD54" s="54">
        <f t="shared" si="34"/>
        <v>0</v>
      </c>
      <c r="CE54" s="54" t="e">
        <f t="shared" si="35"/>
        <v>#DIV/0!</v>
      </c>
      <c r="CF54" s="55">
        <v>0</v>
      </c>
      <c r="CG54" s="55">
        <v>0</v>
      </c>
      <c r="CH54" s="55">
        <v>0</v>
      </c>
      <c r="CI54" s="55">
        <f t="shared" si="36"/>
        <v>0</v>
      </c>
      <c r="CJ54" s="55">
        <v>730</v>
      </c>
      <c r="CK54" s="55">
        <v>0</v>
      </c>
      <c r="CL54" s="55">
        <f t="shared" si="37"/>
        <v>730</v>
      </c>
      <c r="CM54" s="55">
        <f t="shared" si="38"/>
        <v>0</v>
      </c>
      <c r="CN54" s="55" t="e">
        <f t="shared" si="39"/>
        <v>#DIV/0!</v>
      </c>
      <c r="CO54" s="56">
        <v>0</v>
      </c>
      <c r="CP54" s="56">
        <v>0</v>
      </c>
      <c r="CQ54" s="56">
        <v>0</v>
      </c>
      <c r="CR54" s="56">
        <f t="shared" si="40"/>
        <v>0</v>
      </c>
      <c r="CS54" s="56">
        <v>730</v>
      </c>
      <c r="CT54" s="56">
        <v>0</v>
      </c>
      <c r="CU54" s="56">
        <f t="shared" si="41"/>
        <v>730</v>
      </c>
      <c r="CV54" s="56">
        <f t="shared" si="42"/>
        <v>0</v>
      </c>
      <c r="CW54" s="56" t="e">
        <f t="shared" si="43"/>
        <v>#DIV/0!</v>
      </c>
      <c r="CX54" s="57">
        <v>0</v>
      </c>
      <c r="CY54" s="57">
        <v>0</v>
      </c>
      <c r="CZ54" s="57">
        <v>0</v>
      </c>
      <c r="DA54" s="57">
        <f t="shared" si="44"/>
        <v>0</v>
      </c>
      <c r="DB54" s="57">
        <v>600</v>
      </c>
      <c r="DC54" s="57">
        <v>0</v>
      </c>
      <c r="DD54" s="57">
        <f t="shared" si="45"/>
        <v>600</v>
      </c>
      <c r="DE54" s="57">
        <f t="shared" si="46"/>
        <v>0</v>
      </c>
      <c r="DF54" s="57" t="e">
        <f t="shared" si="47"/>
        <v>#DIV/0!</v>
      </c>
    </row>
    <row r="55" spans="1:110" ht="14.25" customHeight="1">
      <c r="A55" s="43"/>
      <c r="B55" s="44"/>
      <c r="C55" s="45">
        <v>0</v>
      </c>
      <c r="D55" s="30">
        <v>0</v>
      </c>
      <c r="E55" s="30">
        <v>0</v>
      </c>
      <c r="F55" s="45">
        <f t="shared" si="0"/>
        <v>0</v>
      </c>
      <c r="G55" s="45">
        <v>900</v>
      </c>
      <c r="H55" s="30">
        <v>0</v>
      </c>
      <c r="I55" s="45">
        <f t="shared" si="1"/>
        <v>900</v>
      </c>
      <c r="J55" s="45">
        <f t="shared" si="2"/>
        <v>0</v>
      </c>
      <c r="K55" s="46" t="e">
        <f t="shared" si="3"/>
        <v>#DIV/0!</v>
      </c>
      <c r="L55" s="47">
        <v>0</v>
      </c>
      <c r="M55" s="32">
        <v>0</v>
      </c>
      <c r="N55" s="32">
        <v>0</v>
      </c>
      <c r="O55" s="47">
        <f t="shared" si="4"/>
        <v>0</v>
      </c>
      <c r="P55" s="47">
        <v>1800</v>
      </c>
      <c r="Q55" s="47">
        <v>0</v>
      </c>
      <c r="R55" s="47">
        <f t="shared" si="5"/>
        <v>1800</v>
      </c>
      <c r="S55" s="47">
        <f t="shared" si="6"/>
        <v>0</v>
      </c>
      <c r="T55" s="47" t="e">
        <f t="shared" si="7"/>
        <v>#DIV/0!</v>
      </c>
      <c r="U55" s="48">
        <v>0</v>
      </c>
      <c r="V55" s="48">
        <v>0</v>
      </c>
      <c r="W55" s="48">
        <v>0</v>
      </c>
      <c r="X55" s="48">
        <f t="shared" si="8"/>
        <v>0</v>
      </c>
      <c r="Y55" s="48">
        <v>910</v>
      </c>
      <c r="Z55" s="33">
        <v>0</v>
      </c>
      <c r="AA55" s="48">
        <f t="shared" si="9"/>
        <v>910</v>
      </c>
      <c r="AB55" s="48">
        <f t="shared" si="10"/>
        <v>0</v>
      </c>
      <c r="AC55" s="48" t="e">
        <f t="shared" si="11"/>
        <v>#DIV/0!</v>
      </c>
      <c r="AD55" s="49">
        <v>0</v>
      </c>
      <c r="AE55" s="49">
        <v>0</v>
      </c>
      <c r="AF55" s="49">
        <v>0</v>
      </c>
      <c r="AG55" s="49">
        <f t="shared" si="12"/>
        <v>0</v>
      </c>
      <c r="AH55" s="49">
        <v>1200</v>
      </c>
      <c r="AI55" s="49">
        <v>0</v>
      </c>
      <c r="AJ55" s="49">
        <f t="shared" si="13"/>
        <v>1200</v>
      </c>
      <c r="AK55" s="49">
        <f t="shared" si="14"/>
        <v>0</v>
      </c>
      <c r="AL55" s="49" t="e">
        <f t="shared" si="15"/>
        <v>#DIV/0!</v>
      </c>
      <c r="AM55" s="50">
        <v>0</v>
      </c>
      <c r="AN55" s="50">
        <v>0</v>
      </c>
      <c r="AO55" s="50">
        <v>0</v>
      </c>
      <c r="AP55" s="50">
        <f t="shared" si="16"/>
        <v>0</v>
      </c>
      <c r="AQ55" s="50">
        <v>600</v>
      </c>
      <c r="AR55" s="50">
        <v>0</v>
      </c>
      <c r="AS55" s="50">
        <f t="shared" si="17"/>
        <v>600</v>
      </c>
      <c r="AT55" s="50">
        <f t="shared" si="18"/>
        <v>0</v>
      </c>
      <c r="AU55" s="50" t="e">
        <f t="shared" si="19"/>
        <v>#DIV/0!</v>
      </c>
      <c r="AV55" s="51">
        <v>0</v>
      </c>
      <c r="AW55" s="36">
        <v>0</v>
      </c>
      <c r="AX55" s="36">
        <v>0</v>
      </c>
      <c r="AY55" s="51">
        <f t="shared" si="20"/>
        <v>0</v>
      </c>
      <c r="AZ55" s="51">
        <v>1500</v>
      </c>
      <c r="BA55" s="51">
        <v>0</v>
      </c>
      <c r="BB55" s="51">
        <f t="shared" si="21"/>
        <v>1500</v>
      </c>
      <c r="BC55" s="51">
        <f t="shared" si="22"/>
        <v>0</v>
      </c>
      <c r="BD55" s="51" t="e">
        <f t="shared" si="23"/>
        <v>#DIV/0!</v>
      </c>
      <c r="BE55" s="52">
        <v>0</v>
      </c>
      <c r="BF55" s="37">
        <v>0</v>
      </c>
      <c r="BG55" s="37">
        <v>0</v>
      </c>
      <c r="BH55" s="37">
        <f t="shared" si="24"/>
        <v>0</v>
      </c>
      <c r="BI55" s="52">
        <v>750</v>
      </c>
      <c r="BJ55" s="37">
        <v>0</v>
      </c>
      <c r="BK55" s="52">
        <f t="shared" si="25"/>
        <v>750</v>
      </c>
      <c r="BL55" s="52">
        <f t="shared" si="26"/>
        <v>0</v>
      </c>
      <c r="BM55" s="52" t="e">
        <f t="shared" si="27"/>
        <v>#DIV/0!</v>
      </c>
      <c r="BN55" s="53">
        <v>0</v>
      </c>
      <c r="BO55" s="38">
        <v>0</v>
      </c>
      <c r="BP55" s="38">
        <v>0</v>
      </c>
      <c r="BQ55" s="53">
        <f t="shared" si="28"/>
        <v>0</v>
      </c>
      <c r="BR55" s="53">
        <v>2450</v>
      </c>
      <c r="BS55" s="38">
        <v>0</v>
      </c>
      <c r="BT55" s="53">
        <f t="shared" si="29"/>
        <v>2450</v>
      </c>
      <c r="BU55" s="53">
        <f t="shared" si="30"/>
        <v>0</v>
      </c>
      <c r="BV55" s="53" t="e">
        <f t="shared" si="31"/>
        <v>#DIV/0!</v>
      </c>
      <c r="BW55" s="54">
        <v>0</v>
      </c>
      <c r="BX55" s="39">
        <v>0</v>
      </c>
      <c r="BY55" s="39">
        <v>0</v>
      </c>
      <c r="BZ55" s="54">
        <f t="shared" si="32"/>
        <v>0</v>
      </c>
      <c r="CA55" s="54">
        <v>750</v>
      </c>
      <c r="CB55" s="54">
        <v>0</v>
      </c>
      <c r="CC55" s="54">
        <f t="shared" si="33"/>
        <v>750</v>
      </c>
      <c r="CD55" s="54">
        <f t="shared" si="34"/>
        <v>0</v>
      </c>
      <c r="CE55" s="54" t="e">
        <f t="shared" si="35"/>
        <v>#DIV/0!</v>
      </c>
      <c r="CF55" s="55">
        <v>0</v>
      </c>
      <c r="CG55" s="55">
        <v>0</v>
      </c>
      <c r="CH55" s="55">
        <v>0</v>
      </c>
      <c r="CI55" s="55">
        <f t="shared" si="36"/>
        <v>0</v>
      </c>
      <c r="CJ55" s="55">
        <v>730</v>
      </c>
      <c r="CK55" s="55">
        <v>0</v>
      </c>
      <c r="CL55" s="55">
        <f t="shared" si="37"/>
        <v>730</v>
      </c>
      <c r="CM55" s="55">
        <f t="shared" si="38"/>
        <v>0</v>
      </c>
      <c r="CN55" s="55" t="e">
        <f t="shared" si="39"/>
        <v>#DIV/0!</v>
      </c>
      <c r="CO55" s="56">
        <v>0</v>
      </c>
      <c r="CP55" s="56">
        <v>0</v>
      </c>
      <c r="CQ55" s="56">
        <v>0</v>
      </c>
      <c r="CR55" s="56">
        <f t="shared" si="40"/>
        <v>0</v>
      </c>
      <c r="CS55" s="56">
        <v>730</v>
      </c>
      <c r="CT55" s="56">
        <v>0</v>
      </c>
      <c r="CU55" s="56">
        <f t="shared" si="41"/>
        <v>730</v>
      </c>
      <c r="CV55" s="56">
        <f t="shared" si="42"/>
        <v>0</v>
      </c>
      <c r="CW55" s="56" t="e">
        <f t="shared" si="43"/>
        <v>#DIV/0!</v>
      </c>
      <c r="CX55" s="57">
        <v>0</v>
      </c>
      <c r="CY55" s="57">
        <v>0</v>
      </c>
      <c r="CZ55" s="57">
        <v>0</v>
      </c>
      <c r="DA55" s="57">
        <f t="shared" si="44"/>
        <v>0</v>
      </c>
      <c r="DB55" s="57">
        <v>600</v>
      </c>
      <c r="DC55" s="57">
        <v>0</v>
      </c>
      <c r="DD55" s="57">
        <f t="shared" si="45"/>
        <v>600</v>
      </c>
      <c r="DE55" s="57">
        <f t="shared" si="46"/>
        <v>0</v>
      </c>
      <c r="DF55" s="57" t="e">
        <f t="shared" si="47"/>
        <v>#DIV/0!</v>
      </c>
    </row>
    <row r="56" spans="1:110" ht="14.25" customHeight="1">
      <c r="A56" s="43"/>
      <c r="B56" s="44"/>
      <c r="C56" s="45">
        <v>0</v>
      </c>
      <c r="D56" s="30">
        <v>0</v>
      </c>
      <c r="E56" s="30">
        <v>0</v>
      </c>
      <c r="F56" s="45">
        <f t="shared" si="0"/>
        <v>0</v>
      </c>
      <c r="G56" s="45">
        <v>900</v>
      </c>
      <c r="H56" s="30">
        <v>0</v>
      </c>
      <c r="I56" s="45">
        <f t="shared" si="1"/>
        <v>900</v>
      </c>
      <c r="J56" s="45">
        <f t="shared" si="2"/>
        <v>0</v>
      </c>
      <c r="K56" s="46" t="e">
        <f t="shared" si="3"/>
        <v>#DIV/0!</v>
      </c>
      <c r="L56" s="47">
        <v>0</v>
      </c>
      <c r="M56" s="32">
        <v>0</v>
      </c>
      <c r="N56" s="32">
        <v>0</v>
      </c>
      <c r="O56" s="47">
        <f t="shared" si="4"/>
        <v>0</v>
      </c>
      <c r="P56" s="47">
        <v>1800</v>
      </c>
      <c r="Q56" s="47">
        <v>0</v>
      </c>
      <c r="R56" s="47">
        <f t="shared" si="5"/>
        <v>1800</v>
      </c>
      <c r="S56" s="47">
        <f t="shared" si="6"/>
        <v>0</v>
      </c>
      <c r="T56" s="47" t="e">
        <f t="shared" si="7"/>
        <v>#DIV/0!</v>
      </c>
      <c r="U56" s="48">
        <v>0</v>
      </c>
      <c r="V56" s="48">
        <v>0</v>
      </c>
      <c r="W56" s="48">
        <v>0</v>
      </c>
      <c r="X56" s="48">
        <f t="shared" si="8"/>
        <v>0</v>
      </c>
      <c r="Y56" s="48">
        <v>910</v>
      </c>
      <c r="Z56" s="33">
        <v>0</v>
      </c>
      <c r="AA56" s="48">
        <f t="shared" si="9"/>
        <v>910</v>
      </c>
      <c r="AB56" s="48">
        <f t="shared" si="10"/>
        <v>0</v>
      </c>
      <c r="AC56" s="48" t="e">
        <f t="shared" si="11"/>
        <v>#DIV/0!</v>
      </c>
      <c r="AD56" s="49">
        <v>0</v>
      </c>
      <c r="AE56" s="49">
        <v>0</v>
      </c>
      <c r="AF56" s="49">
        <v>0</v>
      </c>
      <c r="AG56" s="49">
        <f t="shared" si="12"/>
        <v>0</v>
      </c>
      <c r="AH56" s="49">
        <v>1200</v>
      </c>
      <c r="AI56" s="49">
        <v>0</v>
      </c>
      <c r="AJ56" s="49">
        <f t="shared" si="13"/>
        <v>1200</v>
      </c>
      <c r="AK56" s="49">
        <f t="shared" si="14"/>
        <v>0</v>
      </c>
      <c r="AL56" s="49" t="e">
        <f t="shared" si="15"/>
        <v>#DIV/0!</v>
      </c>
      <c r="AM56" s="50">
        <v>0</v>
      </c>
      <c r="AN56" s="50">
        <v>0</v>
      </c>
      <c r="AO56" s="50">
        <v>0</v>
      </c>
      <c r="AP56" s="50">
        <f t="shared" si="16"/>
        <v>0</v>
      </c>
      <c r="AQ56" s="50">
        <v>600</v>
      </c>
      <c r="AR56" s="50">
        <v>0</v>
      </c>
      <c r="AS56" s="50">
        <f t="shared" si="17"/>
        <v>600</v>
      </c>
      <c r="AT56" s="50">
        <f t="shared" si="18"/>
        <v>0</v>
      </c>
      <c r="AU56" s="50" t="e">
        <f t="shared" si="19"/>
        <v>#DIV/0!</v>
      </c>
      <c r="AV56" s="51">
        <v>0</v>
      </c>
      <c r="AW56" s="36">
        <v>0</v>
      </c>
      <c r="AX56" s="36">
        <v>0</v>
      </c>
      <c r="AY56" s="51">
        <f t="shared" si="20"/>
        <v>0</v>
      </c>
      <c r="AZ56" s="51">
        <v>1500</v>
      </c>
      <c r="BA56" s="51">
        <v>0</v>
      </c>
      <c r="BB56" s="51">
        <f t="shared" si="21"/>
        <v>1500</v>
      </c>
      <c r="BC56" s="51">
        <f t="shared" si="22"/>
        <v>0</v>
      </c>
      <c r="BD56" s="51" t="e">
        <f t="shared" si="23"/>
        <v>#DIV/0!</v>
      </c>
      <c r="BE56" s="52">
        <v>0</v>
      </c>
      <c r="BF56" s="37">
        <v>0</v>
      </c>
      <c r="BG56" s="37">
        <v>0</v>
      </c>
      <c r="BH56" s="37">
        <f t="shared" si="24"/>
        <v>0</v>
      </c>
      <c r="BI56" s="52">
        <v>750</v>
      </c>
      <c r="BJ56" s="37">
        <v>0</v>
      </c>
      <c r="BK56" s="52">
        <f t="shared" si="25"/>
        <v>750</v>
      </c>
      <c r="BL56" s="52">
        <f t="shared" si="26"/>
        <v>0</v>
      </c>
      <c r="BM56" s="52" t="e">
        <f t="shared" si="27"/>
        <v>#DIV/0!</v>
      </c>
      <c r="BN56" s="53">
        <v>0</v>
      </c>
      <c r="BO56" s="38">
        <v>0</v>
      </c>
      <c r="BP56" s="38">
        <v>0</v>
      </c>
      <c r="BQ56" s="53">
        <f t="shared" si="28"/>
        <v>0</v>
      </c>
      <c r="BR56" s="53">
        <v>2450</v>
      </c>
      <c r="BS56" s="38">
        <v>0</v>
      </c>
      <c r="BT56" s="53">
        <f t="shared" si="29"/>
        <v>2450</v>
      </c>
      <c r="BU56" s="53">
        <f t="shared" si="30"/>
        <v>0</v>
      </c>
      <c r="BV56" s="53" t="e">
        <f t="shared" si="31"/>
        <v>#DIV/0!</v>
      </c>
      <c r="BW56" s="54">
        <v>0</v>
      </c>
      <c r="BX56" s="39">
        <v>0</v>
      </c>
      <c r="BY56" s="39">
        <v>0</v>
      </c>
      <c r="BZ56" s="54">
        <f t="shared" si="32"/>
        <v>0</v>
      </c>
      <c r="CA56" s="54">
        <v>750</v>
      </c>
      <c r="CB56" s="54">
        <v>0</v>
      </c>
      <c r="CC56" s="54">
        <f t="shared" si="33"/>
        <v>750</v>
      </c>
      <c r="CD56" s="54">
        <f t="shared" si="34"/>
        <v>0</v>
      </c>
      <c r="CE56" s="54" t="e">
        <f t="shared" si="35"/>
        <v>#DIV/0!</v>
      </c>
      <c r="CF56" s="55">
        <v>0</v>
      </c>
      <c r="CG56" s="55">
        <v>0</v>
      </c>
      <c r="CH56" s="55">
        <v>0</v>
      </c>
      <c r="CI56" s="55">
        <f t="shared" si="36"/>
        <v>0</v>
      </c>
      <c r="CJ56" s="55">
        <v>730</v>
      </c>
      <c r="CK56" s="55">
        <v>0</v>
      </c>
      <c r="CL56" s="55">
        <f t="shared" si="37"/>
        <v>730</v>
      </c>
      <c r="CM56" s="55">
        <f t="shared" si="38"/>
        <v>0</v>
      </c>
      <c r="CN56" s="55" t="e">
        <f t="shared" si="39"/>
        <v>#DIV/0!</v>
      </c>
      <c r="CO56" s="56">
        <v>0</v>
      </c>
      <c r="CP56" s="56">
        <v>0</v>
      </c>
      <c r="CQ56" s="56">
        <v>0</v>
      </c>
      <c r="CR56" s="56">
        <f t="shared" si="40"/>
        <v>0</v>
      </c>
      <c r="CS56" s="56">
        <v>730</v>
      </c>
      <c r="CT56" s="56">
        <v>0</v>
      </c>
      <c r="CU56" s="56">
        <f t="shared" si="41"/>
        <v>730</v>
      </c>
      <c r="CV56" s="56">
        <f t="shared" si="42"/>
        <v>0</v>
      </c>
      <c r="CW56" s="56" t="e">
        <f t="shared" si="43"/>
        <v>#DIV/0!</v>
      </c>
      <c r="CX56" s="57">
        <v>0</v>
      </c>
      <c r="CY56" s="57">
        <v>0</v>
      </c>
      <c r="CZ56" s="57">
        <v>0</v>
      </c>
      <c r="DA56" s="57">
        <f t="shared" si="44"/>
        <v>0</v>
      </c>
      <c r="DB56" s="57">
        <v>600</v>
      </c>
      <c r="DC56" s="57">
        <v>0</v>
      </c>
      <c r="DD56" s="57">
        <f t="shared" si="45"/>
        <v>600</v>
      </c>
      <c r="DE56" s="57">
        <f t="shared" si="46"/>
        <v>0</v>
      </c>
      <c r="DF56" s="57" t="e">
        <f t="shared" si="47"/>
        <v>#DIV/0!</v>
      </c>
    </row>
    <row r="57" spans="1:110" ht="14.25" customHeight="1">
      <c r="A57" s="43"/>
      <c r="B57" s="44"/>
      <c r="C57" s="45">
        <v>0</v>
      </c>
      <c r="D57" s="30">
        <v>0</v>
      </c>
      <c r="E57" s="30">
        <v>0</v>
      </c>
      <c r="F57" s="45">
        <f t="shared" si="0"/>
        <v>0</v>
      </c>
      <c r="G57" s="45">
        <v>900</v>
      </c>
      <c r="H57" s="30">
        <v>0</v>
      </c>
      <c r="I57" s="45">
        <f t="shared" si="1"/>
        <v>900</v>
      </c>
      <c r="J57" s="45">
        <f t="shared" si="2"/>
        <v>0</v>
      </c>
      <c r="K57" s="46" t="e">
        <f t="shared" si="3"/>
        <v>#DIV/0!</v>
      </c>
      <c r="L57" s="47">
        <v>0</v>
      </c>
      <c r="M57" s="32">
        <v>0</v>
      </c>
      <c r="N57" s="32">
        <v>0</v>
      </c>
      <c r="O57" s="47">
        <f t="shared" si="4"/>
        <v>0</v>
      </c>
      <c r="P57" s="47">
        <v>1800</v>
      </c>
      <c r="Q57" s="47">
        <v>0</v>
      </c>
      <c r="R57" s="47">
        <f t="shared" si="5"/>
        <v>1800</v>
      </c>
      <c r="S57" s="47">
        <f t="shared" si="6"/>
        <v>0</v>
      </c>
      <c r="T57" s="47" t="e">
        <f t="shared" si="7"/>
        <v>#DIV/0!</v>
      </c>
      <c r="U57" s="48">
        <v>0</v>
      </c>
      <c r="V57" s="48">
        <v>0</v>
      </c>
      <c r="W57" s="48">
        <v>0</v>
      </c>
      <c r="X57" s="48">
        <f t="shared" si="8"/>
        <v>0</v>
      </c>
      <c r="Y57" s="48">
        <v>910</v>
      </c>
      <c r="Z57" s="33">
        <v>0</v>
      </c>
      <c r="AA57" s="48">
        <f t="shared" si="9"/>
        <v>910</v>
      </c>
      <c r="AB57" s="48">
        <f t="shared" si="10"/>
        <v>0</v>
      </c>
      <c r="AC57" s="48" t="e">
        <f t="shared" si="11"/>
        <v>#DIV/0!</v>
      </c>
      <c r="AD57" s="49">
        <v>0</v>
      </c>
      <c r="AE57" s="49">
        <v>0</v>
      </c>
      <c r="AF57" s="49">
        <v>0</v>
      </c>
      <c r="AG57" s="49">
        <f t="shared" si="12"/>
        <v>0</v>
      </c>
      <c r="AH57" s="49">
        <v>1200</v>
      </c>
      <c r="AI57" s="49">
        <v>0</v>
      </c>
      <c r="AJ57" s="49">
        <f t="shared" si="13"/>
        <v>1200</v>
      </c>
      <c r="AK57" s="49">
        <f t="shared" si="14"/>
        <v>0</v>
      </c>
      <c r="AL57" s="49" t="e">
        <f t="shared" si="15"/>
        <v>#DIV/0!</v>
      </c>
      <c r="AM57" s="50">
        <v>0</v>
      </c>
      <c r="AN57" s="50">
        <v>0</v>
      </c>
      <c r="AO57" s="50">
        <v>0</v>
      </c>
      <c r="AP57" s="50">
        <f t="shared" si="16"/>
        <v>0</v>
      </c>
      <c r="AQ57" s="50">
        <v>600</v>
      </c>
      <c r="AR57" s="50">
        <v>0</v>
      </c>
      <c r="AS57" s="50">
        <f t="shared" si="17"/>
        <v>600</v>
      </c>
      <c r="AT57" s="50">
        <f t="shared" si="18"/>
        <v>0</v>
      </c>
      <c r="AU57" s="50" t="e">
        <f t="shared" si="19"/>
        <v>#DIV/0!</v>
      </c>
      <c r="AV57" s="51">
        <v>0</v>
      </c>
      <c r="AW57" s="36">
        <v>0</v>
      </c>
      <c r="AX57" s="36">
        <v>0</v>
      </c>
      <c r="AY57" s="51">
        <f t="shared" si="20"/>
        <v>0</v>
      </c>
      <c r="AZ57" s="51">
        <v>1500</v>
      </c>
      <c r="BA57" s="51">
        <v>0</v>
      </c>
      <c r="BB57" s="51">
        <f t="shared" si="21"/>
        <v>1500</v>
      </c>
      <c r="BC57" s="51">
        <f t="shared" si="22"/>
        <v>0</v>
      </c>
      <c r="BD57" s="51" t="e">
        <f t="shared" si="23"/>
        <v>#DIV/0!</v>
      </c>
      <c r="BE57" s="52">
        <v>0</v>
      </c>
      <c r="BF57" s="37">
        <v>0</v>
      </c>
      <c r="BG57" s="37">
        <v>0</v>
      </c>
      <c r="BH57" s="37">
        <f t="shared" si="24"/>
        <v>0</v>
      </c>
      <c r="BI57" s="52">
        <v>750</v>
      </c>
      <c r="BJ57" s="37">
        <v>0</v>
      </c>
      <c r="BK57" s="52">
        <f t="shared" si="25"/>
        <v>750</v>
      </c>
      <c r="BL57" s="52">
        <f t="shared" si="26"/>
        <v>0</v>
      </c>
      <c r="BM57" s="52" t="e">
        <f t="shared" si="27"/>
        <v>#DIV/0!</v>
      </c>
      <c r="BN57" s="53">
        <v>0</v>
      </c>
      <c r="BO57" s="38">
        <v>0</v>
      </c>
      <c r="BP57" s="38">
        <v>0</v>
      </c>
      <c r="BQ57" s="53">
        <f t="shared" si="28"/>
        <v>0</v>
      </c>
      <c r="BR57" s="53">
        <v>2450</v>
      </c>
      <c r="BS57" s="38">
        <v>0</v>
      </c>
      <c r="BT57" s="53">
        <f t="shared" si="29"/>
        <v>2450</v>
      </c>
      <c r="BU57" s="53">
        <f t="shared" si="30"/>
        <v>0</v>
      </c>
      <c r="BV57" s="53" t="e">
        <f t="shared" si="31"/>
        <v>#DIV/0!</v>
      </c>
      <c r="BW57" s="54">
        <v>0</v>
      </c>
      <c r="BX57" s="39">
        <v>0</v>
      </c>
      <c r="BY57" s="39">
        <v>0</v>
      </c>
      <c r="BZ57" s="54">
        <f t="shared" si="32"/>
        <v>0</v>
      </c>
      <c r="CA57" s="54">
        <v>750</v>
      </c>
      <c r="CB57" s="54">
        <v>0</v>
      </c>
      <c r="CC57" s="54">
        <f t="shared" si="33"/>
        <v>750</v>
      </c>
      <c r="CD57" s="54">
        <f t="shared" si="34"/>
        <v>0</v>
      </c>
      <c r="CE57" s="54" t="e">
        <f t="shared" si="35"/>
        <v>#DIV/0!</v>
      </c>
      <c r="CF57" s="55">
        <v>0</v>
      </c>
      <c r="CG57" s="55">
        <v>0</v>
      </c>
      <c r="CH57" s="55">
        <v>0</v>
      </c>
      <c r="CI57" s="55">
        <f t="shared" si="36"/>
        <v>0</v>
      </c>
      <c r="CJ57" s="55">
        <v>730</v>
      </c>
      <c r="CK57" s="55">
        <v>0</v>
      </c>
      <c r="CL57" s="55">
        <f t="shared" si="37"/>
        <v>730</v>
      </c>
      <c r="CM57" s="55">
        <f t="shared" si="38"/>
        <v>0</v>
      </c>
      <c r="CN57" s="55" t="e">
        <f t="shared" si="39"/>
        <v>#DIV/0!</v>
      </c>
      <c r="CO57" s="56">
        <v>0</v>
      </c>
      <c r="CP57" s="56">
        <v>0</v>
      </c>
      <c r="CQ57" s="56">
        <v>0</v>
      </c>
      <c r="CR57" s="56">
        <f t="shared" si="40"/>
        <v>0</v>
      </c>
      <c r="CS57" s="56">
        <v>730</v>
      </c>
      <c r="CT57" s="56">
        <v>0</v>
      </c>
      <c r="CU57" s="56">
        <f t="shared" si="41"/>
        <v>730</v>
      </c>
      <c r="CV57" s="56">
        <f t="shared" si="42"/>
        <v>0</v>
      </c>
      <c r="CW57" s="56" t="e">
        <f t="shared" si="43"/>
        <v>#DIV/0!</v>
      </c>
      <c r="CX57" s="57">
        <v>0</v>
      </c>
      <c r="CY57" s="57">
        <v>0</v>
      </c>
      <c r="CZ57" s="57">
        <v>0</v>
      </c>
      <c r="DA57" s="57">
        <f t="shared" si="44"/>
        <v>0</v>
      </c>
      <c r="DB57" s="57">
        <v>600</v>
      </c>
      <c r="DC57" s="57">
        <v>0</v>
      </c>
      <c r="DD57" s="57">
        <f t="shared" si="45"/>
        <v>600</v>
      </c>
      <c r="DE57" s="57">
        <f t="shared" si="46"/>
        <v>0</v>
      </c>
      <c r="DF57" s="57" t="e">
        <f t="shared" si="47"/>
        <v>#DIV/0!</v>
      </c>
    </row>
    <row r="58" spans="1:110" ht="14.25" customHeight="1">
      <c r="A58" s="43"/>
      <c r="B58" s="44"/>
      <c r="C58" s="45">
        <v>0</v>
      </c>
      <c r="D58" s="30">
        <v>0</v>
      </c>
      <c r="E58" s="30">
        <v>0</v>
      </c>
      <c r="F58" s="45">
        <f t="shared" si="0"/>
        <v>0</v>
      </c>
      <c r="G58" s="45">
        <v>900</v>
      </c>
      <c r="H58" s="30">
        <v>0</v>
      </c>
      <c r="I58" s="45">
        <f t="shared" si="1"/>
        <v>900</v>
      </c>
      <c r="J58" s="45">
        <f t="shared" si="2"/>
        <v>0</v>
      </c>
      <c r="K58" s="46" t="e">
        <f t="shared" si="3"/>
        <v>#DIV/0!</v>
      </c>
      <c r="L58" s="47">
        <v>0</v>
      </c>
      <c r="M58" s="32">
        <v>0</v>
      </c>
      <c r="N58" s="32">
        <v>0</v>
      </c>
      <c r="O58" s="47">
        <f t="shared" si="4"/>
        <v>0</v>
      </c>
      <c r="P58" s="47">
        <v>1800</v>
      </c>
      <c r="Q58" s="47">
        <v>0</v>
      </c>
      <c r="R58" s="47">
        <f t="shared" si="5"/>
        <v>1800</v>
      </c>
      <c r="S58" s="47">
        <f t="shared" si="6"/>
        <v>0</v>
      </c>
      <c r="T58" s="47" t="e">
        <f t="shared" si="7"/>
        <v>#DIV/0!</v>
      </c>
      <c r="U58" s="48">
        <v>0</v>
      </c>
      <c r="V58" s="48">
        <v>0</v>
      </c>
      <c r="W58" s="48">
        <v>0</v>
      </c>
      <c r="X58" s="48">
        <f t="shared" si="8"/>
        <v>0</v>
      </c>
      <c r="Y58" s="48">
        <v>910</v>
      </c>
      <c r="Z58" s="33">
        <v>0</v>
      </c>
      <c r="AA58" s="48">
        <f t="shared" si="9"/>
        <v>910</v>
      </c>
      <c r="AB58" s="48">
        <f t="shared" si="10"/>
        <v>0</v>
      </c>
      <c r="AC58" s="48" t="e">
        <f t="shared" si="11"/>
        <v>#DIV/0!</v>
      </c>
      <c r="AD58" s="49">
        <v>0</v>
      </c>
      <c r="AE58" s="49">
        <v>0</v>
      </c>
      <c r="AF58" s="49">
        <v>0</v>
      </c>
      <c r="AG58" s="49">
        <f t="shared" si="12"/>
        <v>0</v>
      </c>
      <c r="AH58" s="49">
        <v>1200</v>
      </c>
      <c r="AI58" s="49">
        <v>0</v>
      </c>
      <c r="AJ58" s="49">
        <f t="shared" si="13"/>
        <v>1200</v>
      </c>
      <c r="AK58" s="49">
        <f t="shared" si="14"/>
        <v>0</v>
      </c>
      <c r="AL58" s="49" t="e">
        <f t="shared" si="15"/>
        <v>#DIV/0!</v>
      </c>
      <c r="AM58" s="50">
        <v>0</v>
      </c>
      <c r="AN58" s="50">
        <v>0</v>
      </c>
      <c r="AO58" s="50">
        <v>0</v>
      </c>
      <c r="AP58" s="50">
        <f t="shared" si="16"/>
        <v>0</v>
      </c>
      <c r="AQ58" s="50">
        <v>600</v>
      </c>
      <c r="AR58" s="50">
        <v>0</v>
      </c>
      <c r="AS58" s="50">
        <f t="shared" si="17"/>
        <v>600</v>
      </c>
      <c r="AT58" s="50">
        <f t="shared" si="18"/>
        <v>0</v>
      </c>
      <c r="AU58" s="50" t="e">
        <f t="shared" si="19"/>
        <v>#DIV/0!</v>
      </c>
      <c r="AV58" s="51">
        <v>0</v>
      </c>
      <c r="AW58" s="36">
        <v>0</v>
      </c>
      <c r="AX58" s="36">
        <v>0</v>
      </c>
      <c r="AY58" s="51">
        <f t="shared" si="20"/>
        <v>0</v>
      </c>
      <c r="AZ58" s="51">
        <v>1500</v>
      </c>
      <c r="BA58" s="51">
        <v>0</v>
      </c>
      <c r="BB58" s="51">
        <f t="shared" si="21"/>
        <v>1500</v>
      </c>
      <c r="BC58" s="51">
        <f t="shared" si="22"/>
        <v>0</v>
      </c>
      <c r="BD58" s="51" t="e">
        <f t="shared" si="23"/>
        <v>#DIV/0!</v>
      </c>
      <c r="BE58" s="52">
        <v>0</v>
      </c>
      <c r="BF58" s="37">
        <v>0</v>
      </c>
      <c r="BG58" s="37">
        <v>0</v>
      </c>
      <c r="BH58" s="37">
        <f t="shared" si="24"/>
        <v>0</v>
      </c>
      <c r="BI58" s="52">
        <v>750</v>
      </c>
      <c r="BJ58" s="37">
        <v>0</v>
      </c>
      <c r="BK58" s="52">
        <f t="shared" si="25"/>
        <v>750</v>
      </c>
      <c r="BL58" s="52">
        <f t="shared" si="26"/>
        <v>0</v>
      </c>
      <c r="BM58" s="52" t="e">
        <f t="shared" si="27"/>
        <v>#DIV/0!</v>
      </c>
      <c r="BN58" s="53">
        <v>0</v>
      </c>
      <c r="BO58" s="38">
        <v>0</v>
      </c>
      <c r="BP58" s="38">
        <v>0</v>
      </c>
      <c r="BQ58" s="53">
        <f t="shared" si="28"/>
        <v>0</v>
      </c>
      <c r="BR58" s="53">
        <v>2450</v>
      </c>
      <c r="BS58" s="38">
        <v>0</v>
      </c>
      <c r="BT58" s="53">
        <f t="shared" si="29"/>
        <v>2450</v>
      </c>
      <c r="BU58" s="53">
        <f t="shared" si="30"/>
        <v>0</v>
      </c>
      <c r="BV58" s="53" t="e">
        <f t="shared" si="31"/>
        <v>#DIV/0!</v>
      </c>
      <c r="BW58" s="54">
        <v>0</v>
      </c>
      <c r="BX58" s="39">
        <v>0</v>
      </c>
      <c r="BY58" s="39">
        <v>0</v>
      </c>
      <c r="BZ58" s="54">
        <f t="shared" si="32"/>
        <v>0</v>
      </c>
      <c r="CA58" s="54">
        <v>750</v>
      </c>
      <c r="CB58" s="54">
        <v>0</v>
      </c>
      <c r="CC58" s="54">
        <f t="shared" si="33"/>
        <v>750</v>
      </c>
      <c r="CD58" s="54">
        <f t="shared" si="34"/>
        <v>0</v>
      </c>
      <c r="CE58" s="54" t="e">
        <f t="shared" si="35"/>
        <v>#DIV/0!</v>
      </c>
      <c r="CF58" s="55">
        <v>0</v>
      </c>
      <c r="CG58" s="55">
        <v>0</v>
      </c>
      <c r="CH58" s="55">
        <v>0</v>
      </c>
      <c r="CI58" s="55">
        <f t="shared" si="36"/>
        <v>0</v>
      </c>
      <c r="CJ58" s="55">
        <v>730</v>
      </c>
      <c r="CK58" s="55">
        <v>0</v>
      </c>
      <c r="CL58" s="55">
        <f t="shared" si="37"/>
        <v>730</v>
      </c>
      <c r="CM58" s="55">
        <f t="shared" si="38"/>
        <v>0</v>
      </c>
      <c r="CN58" s="55" t="e">
        <f t="shared" si="39"/>
        <v>#DIV/0!</v>
      </c>
      <c r="CO58" s="56">
        <v>0</v>
      </c>
      <c r="CP58" s="56">
        <v>0</v>
      </c>
      <c r="CQ58" s="56">
        <v>0</v>
      </c>
      <c r="CR58" s="56">
        <f t="shared" si="40"/>
        <v>0</v>
      </c>
      <c r="CS58" s="56">
        <v>730</v>
      </c>
      <c r="CT58" s="56">
        <v>0</v>
      </c>
      <c r="CU58" s="56">
        <f t="shared" si="41"/>
        <v>730</v>
      </c>
      <c r="CV58" s="56">
        <f t="shared" si="42"/>
        <v>0</v>
      </c>
      <c r="CW58" s="56" t="e">
        <f t="shared" si="43"/>
        <v>#DIV/0!</v>
      </c>
      <c r="CX58" s="57">
        <v>0</v>
      </c>
      <c r="CY58" s="57">
        <v>0</v>
      </c>
      <c r="CZ58" s="57">
        <v>0</v>
      </c>
      <c r="DA58" s="57">
        <f t="shared" si="44"/>
        <v>0</v>
      </c>
      <c r="DB58" s="57">
        <v>600</v>
      </c>
      <c r="DC58" s="57">
        <v>0</v>
      </c>
      <c r="DD58" s="57">
        <f t="shared" si="45"/>
        <v>600</v>
      </c>
      <c r="DE58" s="57">
        <f t="shared" si="46"/>
        <v>0</v>
      </c>
      <c r="DF58" s="57" t="e">
        <f t="shared" si="47"/>
        <v>#DIV/0!</v>
      </c>
    </row>
    <row r="59" spans="1:110" ht="14.25" customHeight="1">
      <c r="A59" s="43"/>
      <c r="B59" s="44"/>
      <c r="C59" s="45">
        <v>0</v>
      </c>
      <c r="D59" s="30">
        <v>0</v>
      </c>
      <c r="E59" s="30">
        <v>0</v>
      </c>
      <c r="F59" s="45">
        <f t="shared" si="0"/>
        <v>0</v>
      </c>
      <c r="G59" s="45">
        <v>900</v>
      </c>
      <c r="H59" s="30">
        <v>0</v>
      </c>
      <c r="I59" s="45">
        <f t="shared" si="1"/>
        <v>900</v>
      </c>
      <c r="J59" s="45">
        <f t="shared" si="2"/>
        <v>0</v>
      </c>
      <c r="K59" s="46" t="e">
        <f t="shared" si="3"/>
        <v>#DIV/0!</v>
      </c>
      <c r="L59" s="47">
        <v>0</v>
      </c>
      <c r="M59" s="32">
        <v>0</v>
      </c>
      <c r="N59" s="32">
        <v>0</v>
      </c>
      <c r="O59" s="47">
        <f t="shared" si="4"/>
        <v>0</v>
      </c>
      <c r="P59" s="47">
        <v>1800</v>
      </c>
      <c r="Q59" s="47">
        <v>0</v>
      </c>
      <c r="R59" s="47">
        <f t="shared" si="5"/>
        <v>1800</v>
      </c>
      <c r="S59" s="47">
        <f t="shared" si="6"/>
        <v>0</v>
      </c>
      <c r="T59" s="47" t="e">
        <f t="shared" si="7"/>
        <v>#DIV/0!</v>
      </c>
      <c r="U59" s="48">
        <v>0</v>
      </c>
      <c r="V59" s="48">
        <v>0</v>
      </c>
      <c r="W59" s="48">
        <v>0</v>
      </c>
      <c r="X59" s="48">
        <f t="shared" si="8"/>
        <v>0</v>
      </c>
      <c r="Y59" s="48">
        <v>910</v>
      </c>
      <c r="Z59" s="33">
        <v>0</v>
      </c>
      <c r="AA59" s="48">
        <f t="shared" si="9"/>
        <v>910</v>
      </c>
      <c r="AB59" s="48">
        <f t="shared" si="10"/>
        <v>0</v>
      </c>
      <c r="AC59" s="48" t="e">
        <f t="shared" si="11"/>
        <v>#DIV/0!</v>
      </c>
      <c r="AD59" s="49">
        <v>0</v>
      </c>
      <c r="AE59" s="49">
        <v>15</v>
      </c>
      <c r="AF59" s="49">
        <v>0</v>
      </c>
      <c r="AG59" s="49">
        <f t="shared" si="12"/>
        <v>15</v>
      </c>
      <c r="AH59" s="49">
        <v>1200</v>
      </c>
      <c r="AI59" s="49">
        <v>40</v>
      </c>
      <c r="AJ59" s="49">
        <f t="shared" si="13"/>
        <v>1160</v>
      </c>
      <c r="AK59" s="49">
        <f t="shared" si="14"/>
        <v>17400</v>
      </c>
      <c r="AL59" s="49">
        <f t="shared" si="15"/>
        <v>0</v>
      </c>
      <c r="AM59" s="50">
        <v>0</v>
      </c>
      <c r="AN59" s="50">
        <v>0</v>
      </c>
      <c r="AO59" s="50">
        <v>0</v>
      </c>
      <c r="AP59" s="50">
        <f t="shared" si="16"/>
        <v>0</v>
      </c>
      <c r="AQ59" s="50">
        <v>600</v>
      </c>
      <c r="AR59" s="50">
        <v>0</v>
      </c>
      <c r="AS59" s="50">
        <f t="shared" si="17"/>
        <v>600</v>
      </c>
      <c r="AT59" s="50">
        <f t="shared" si="18"/>
        <v>0</v>
      </c>
      <c r="AU59" s="50" t="e">
        <f t="shared" si="19"/>
        <v>#DIV/0!</v>
      </c>
      <c r="AV59" s="51">
        <v>0</v>
      </c>
      <c r="AW59" s="36">
        <v>0</v>
      </c>
      <c r="AX59" s="36">
        <v>0</v>
      </c>
      <c r="AY59" s="51">
        <f t="shared" si="20"/>
        <v>0</v>
      </c>
      <c r="AZ59" s="51">
        <v>1500</v>
      </c>
      <c r="BA59" s="51">
        <v>0</v>
      </c>
      <c r="BB59" s="51">
        <f t="shared" si="21"/>
        <v>1500</v>
      </c>
      <c r="BC59" s="51">
        <f t="shared" si="22"/>
        <v>0</v>
      </c>
      <c r="BD59" s="51" t="e">
        <f t="shared" si="23"/>
        <v>#DIV/0!</v>
      </c>
      <c r="BE59" s="52">
        <v>0</v>
      </c>
      <c r="BF59" s="37">
        <v>0</v>
      </c>
      <c r="BG59" s="37">
        <v>0</v>
      </c>
      <c r="BH59" s="37">
        <f t="shared" si="24"/>
        <v>0</v>
      </c>
      <c r="BI59" s="52">
        <v>750</v>
      </c>
      <c r="BJ59" s="37">
        <v>0</v>
      </c>
      <c r="BK59" s="52">
        <f t="shared" si="25"/>
        <v>750</v>
      </c>
      <c r="BL59" s="52">
        <f t="shared" si="26"/>
        <v>0</v>
      </c>
      <c r="BM59" s="52" t="e">
        <f t="shared" si="27"/>
        <v>#DIV/0!</v>
      </c>
      <c r="BN59" s="53">
        <v>0</v>
      </c>
      <c r="BO59" s="38">
        <v>0</v>
      </c>
      <c r="BP59" s="38">
        <v>0</v>
      </c>
      <c r="BQ59" s="53">
        <f t="shared" si="28"/>
        <v>0</v>
      </c>
      <c r="BR59" s="53">
        <v>2450</v>
      </c>
      <c r="BS59" s="38">
        <v>0</v>
      </c>
      <c r="BT59" s="53">
        <f t="shared" si="29"/>
        <v>2450</v>
      </c>
      <c r="BU59" s="53">
        <f t="shared" si="30"/>
        <v>0</v>
      </c>
      <c r="BV59" s="53" t="e">
        <f t="shared" si="31"/>
        <v>#DIV/0!</v>
      </c>
      <c r="BW59" s="54">
        <v>0</v>
      </c>
      <c r="BX59" s="39">
        <v>0</v>
      </c>
      <c r="BY59" s="39">
        <v>0</v>
      </c>
      <c r="BZ59" s="54">
        <f t="shared" si="32"/>
        <v>0</v>
      </c>
      <c r="CA59" s="54">
        <v>750</v>
      </c>
      <c r="CB59" s="54">
        <v>0</v>
      </c>
      <c r="CC59" s="54">
        <f t="shared" si="33"/>
        <v>750</v>
      </c>
      <c r="CD59" s="54">
        <f t="shared" si="34"/>
        <v>0</v>
      </c>
      <c r="CE59" s="54" t="e">
        <f t="shared" si="35"/>
        <v>#DIV/0!</v>
      </c>
      <c r="CF59" s="55">
        <v>0</v>
      </c>
      <c r="CG59" s="55">
        <v>0</v>
      </c>
      <c r="CH59" s="55">
        <v>0</v>
      </c>
      <c r="CI59" s="55">
        <f t="shared" si="36"/>
        <v>0</v>
      </c>
      <c r="CJ59" s="55">
        <v>730</v>
      </c>
      <c r="CK59" s="55">
        <v>0</v>
      </c>
      <c r="CL59" s="55">
        <f t="shared" si="37"/>
        <v>730</v>
      </c>
      <c r="CM59" s="55">
        <f t="shared" si="38"/>
        <v>0</v>
      </c>
      <c r="CN59" s="55" t="e">
        <f t="shared" si="39"/>
        <v>#DIV/0!</v>
      </c>
      <c r="CO59" s="56">
        <v>0</v>
      </c>
      <c r="CP59" s="56">
        <v>0</v>
      </c>
      <c r="CQ59" s="56">
        <v>0</v>
      </c>
      <c r="CR59" s="56">
        <f t="shared" si="40"/>
        <v>0</v>
      </c>
      <c r="CS59" s="56">
        <v>730</v>
      </c>
      <c r="CT59" s="56">
        <v>0</v>
      </c>
      <c r="CU59" s="56">
        <f t="shared" si="41"/>
        <v>730</v>
      </c>
      <c r="CV59" s="56">
        <f t="shared" si="42"/>
        <v>0</v>
      </c>
      <c r="CW59" s="56" t="e">
        <f t="shared" si="43"/>
        <v>#DIV/0!</v>
      </c>
      <c r="CX59" s="57">
        <v>0</v>
      </c>
      <c r="CY59" s="57">
        <v>0</v>
      </c>
      <c r="CZ59" s="57">
        <v>0</v>
      </c>
      <c r="DA59" s="57">
        <f t="shared" si="44"/>
        <v>0</v>
      </c>
      <c r="DB59" s="57">
        <v>600</v>
      </c>
      <c r="DC59" s="57">
        <v>0</v>
      </c>
      <c r="DD59" s="57">
        <f t="shared" si="45"/>
        <v>600</v>
      </c>
      <c r="DE59" s="57">
        <f t="shared" si="46"/>
        <v>0</v>
      </c>
      <c r="DF59" s="57" t="e">
        <f t="shared" si="47"/>
        <v>#DIV/0!</v>
      </c>
    </row>
    <row r="60" spans="1:110" ht="14.25" customHeight="1">
      <c r="A60" s="43"/>
      <c r="B60" s="44"/>
      <c r="C60" s="45">
        <v>0</v>
      </c>
      <c r="D60" s="30">
        <v>0</v>
      </c>
      <c r="E60" s="30">
        <v>0</v>
      </c>
      <c r="F60" s="45">
        <f t="shared" si="0"/>
        <v>0</v>
      </c>
      <c r="G60" s="45">
        <v>900</v>
      </c>
      <c r="H60" s="30">
        <v>0</v>
      </c>
      <c r="I60" s="45">
        <f t="shared" si="1"/>
        <v>900</v>
      </c>
      <c r="J60" s="45">
        <f t="shared" si="2"/>
        <v>0</v>
      </c>
      <c r="K60" s="46" t="e">
        <f t="shared" si="3"/>
        <v>#DIV/0!</v>
      </c>
      <c r="L60" s="47">
        <v>0</v>
      </c>
      <c r="M60" s="32">
        <v>0</v>
      </c>
      <c r="N60" s="32">
        <v>0</v>
      </c>
      <c r="O60" s="47">
        <f t="shared" si="4"/>
        <v>0</v>
      </c>
      <c r="P60" s="47">
        <v>1800</v>
      </c>
      <c r="Q60" s="47">
        <v>0</v>
      </c>
      <c r="R60" s="47">
        <f t="shared" si="5"/>
        <v>1800</v>
      </c>
      <c r="S60" s="47">
        <f t="shared" si="6"/>
        <v>0</v>
      </c>
      <c r="T60" s="47" t="e">
        <f t="shared" si="7"/>
        <v>#DIV/0!</v>
      </c>
      <c r="U60" s="48">
        <v>0</v>
      </c>
      <c r="V60" s="48">
        <v>0</v>
      </c>
      <c r="W60" s="48">
        <v>0</v>
      </c>
      <c r="X60" s="48">
        <f t="shared" si="8"/>
        <v>0</v>
      </c>
      <c r="Y60" s="48">
        <v>910</v>
      </c>
      <c r="Z60" s="33">
        <v>0</v>
      </c>
      <c r="AA60" s="48">
        <f t="shared" si="9"/>
        <v>910</v>
      </c>
      <c r="AB60" s="48">
        <f t="shared" si="10"/>
        <v>0</v>
      </c>
      <c r="AC60" s="48" t="e">
        <f t="shared" si="11"/>
        <v>#DIV/0!</v>
      </c>
      <c r="AD60" s="49">
        <v>0</v>
      </c>
      <c r="AE60" s="49">
        <v>0</v>
      </c>
      <c r="AF60" s="49">
        <v>0</v>
      </c>
      <c r="AG60" s="49">
        <f t="shared" si="12"/>
        <v>0</v>
      </c>
      <c r="AH60" s="49">
        <v>1200</v>
      </c>
      <c r="AI60" s="49">
        <v>0</v>
      </c>
      <c r="AJ60" s="49">
        <f t="shared" si="13"/>
        <v>1200</v>
      </c>
      <c r="AK60" s="49">
        <f t="shared" si="14"/>
        <v>0</v>
      </c>
      <c r="AL60" s="49" t="e">
        <f t="shared" si="15"/>
        <v>#DIV/0!</v>
      </c>
      <c r="AM60" s="50">
        <v>0</v>
      </c>
      <c r="AN60" s="50">
        <v>0</v>
      </c>
      <c r="AO60" s="50">
        <v>0</v>
      </c>
      <c r="AP60" s="50">
        <f t="shared" si="16"/>
        <v>0</v>
      </c>
      <c r="AQ60" s="50">
        <v>600</v>
      </c>
      <c r="AR60" s="50">
        <v>0</v>
      </c>
      <c r="AS60" s="50">
        <f t="shared" si="17"/>
        <v>600</v>
      </c>
      <c r="AT60" s="50">
        <f t="shared" si="18"/>
        <v>0</v>
      </c>
      <c r="AU60" s="50" t="e">
        <f t="shared" si="19"/>
        <v>#DIV/0!</v>
      </c>
      <c r="AV60" s="51">
        <v>0</v>
      </c>
      <c r="AW60" s="36">
        <v>0</v>
      </c>
      <c r="AX60" s="36">
        <v>0</v>
      </c>
      <c r="AY60" s="51">
        <f t="shared" si="20"/>
        <v>0</v>
      </c>
      <c r="AZ60" s="51">
        <v>1500</v>
      </c>
      <c r="BA60" s="51">
        <v>0</v>
      </c>
      <c r="BB60" s="51">
        <f t="shared" si="21"/>
        <v>1500</v>
      </c>
      <c r="BC60" s="51">
        <f t="shared" si="22"/>
        <v>0</v>
      </c>
      <c r="BD60" s="51" t="e">
        <f t="shared" si="23"/>
        <v>#DIV/0!</v>
      </c>
      <c r="BE60" s="52">
        <v>0</v>
      </c>
      <c r="BF60" s="37">
        <v>0</v>
      </c>
      <c r="BG60" s="37">
        <v>0</v>
      </c>
      <c r="BH60" s="37">
        <f t="shared" si="24"/>
        <v>0</v>
      </c>
      <c r="BI60" s="52">
        <v>750</v>
      </c>
      <c r="BJ60" s="37">
        <v>0</v>
      </c>
      <c r="BK60" s="52">
        <f t="shared" si="25"/>
        <v>750</v>
      </c>
      <c r="BL60" s="52">
        <f t="shared" si="26"/>
        <v>0</v>
      </c>
      <c r="BM60" s="52" t="e">
        <f t="shared" si="27"/>
        <v>#DIV/0!</v>
      </c>
      <c r="BN60" s="53">
        <v>0</v>
      </c>
      <c r="BO60" s="38">
        <v>0</v>
      </c>
      <c r="BP60" s="38">
        <v>0</v>
      </c>
      <c r="BQ60" s="53">
        <f t="shared" si="28"/>
        <v>0</v>
      </c>
      <c r="BR60" s="53">
        <v>2450</v>
      </c>
      <c r="BS60" s="38">
        <v>0</v>
      </c>
      <c r="BT60" s="53">
        <f t="shared" si="29"/>
        <v>2450</v>
      </c>
      <c r="BU60" s="53">
        <f t="shared" si="30"/>
        <v>0</v>
      </c>
      <c r="BV60" s="53" t="e">
        <f t="shared" si="31"/>
        <v>#DIV/0!</v>
      </c>
      <c r="BW60" s="54">
        <v>0</v>
      </c>
      <c r="BX60" s="39">
        <v>0</v>
      </c>
      <c r="BY60" s="39">
        <v>0</v>
      </c>
      <c r="BZ60" s="54">
        <f t="shared" si="32"/>
        <v>0</v>
      </c>
      <c r="CA60" s="54">
        <v>750</v>
      </c>
      <c r="CB60" s="54">
        <v>0</v>
      </c>
      <c r="CC60" s="54">
        <f t="shared" si="33"/>
        <v>750</v>
      </c>
      <c r="CD60" s="54">
        <f t="shared" si="34"/>
        <v>0</v>
      </c>
      <c r="CE60" s="54" t="e">
        <f t="shared" si="35"/>
        <v>#DIV/0!</v>
      </c>
      <c r="CF60" s="55">
        <v>0</v>
      </c>
      <c r="CG60" s="55">
        <v>0</v>
      </c>
      <c r="CH60" s="55">
        <v>0</v>
      </c>
      <c r="CI60" s="55">
        <f t="shared" si="36"/>
        <v>0</v>
      </c>
      <c r="CJ60" s="55">
        <v>730</v>
      </c>
      <c r="CK60" s="55">
        <v>0</v>
      </c>
      <c r="CL60" s="55">
        <f t="shared" si="37"/>
        <v>730</v>
      </c>
      <c r="CM60" s="55">
        <f t="shared" si="38"/>
        <v>0</v>
      </c>
      <c r="CN60" s="55" t="e">
        <f t="shared" si="39"/>
        <v>#DIV/0!</v>
      </c>
      <c r="CO60" s="56">
        <v>0</v>
      </c>
      <c r="CP60" s="56">
        <v>0</v>
      </c>
      <c r="CQ60" s="56">
        <v>0</v>
      </c>
      <c r="CR60" s="56">
        <f t="shared" si="40"/>
        <v>0</v>
      </c>
      <c r="CS60" s="56">
        <v>730</v>
      </c>
      <c r="CT60" s="56">
        <v>0</v>
      </c>
      <c r="CU60" s="56">
        <f t="shared" si="41"/>
        <v>730</v>
      </c>
      <c r="CV60" s="56">
        <f t="shared" si="42"/>
        <v>0</v>
      </c>
      <c r="CW60" s="56" t="e">
        <f t="shared" si="43"/>
        <v>#DIV/0!</v>
      </c>
      <c r="CX60" s="57">
        <v>0</v>
      </c>
      <c r="CY60" s="57">
        <v>0</v>
      </c>
      <c r="CZ60" s="57">
        <v>0</v>
      </c>
      <c r="DA60" s="57">
        <f t="shared" si="44"/>
        <v>0</v>
      </c>
      <c r="DB60" s="57">
        <v>600</v>
      </c>
      <c r="DC60" s="57">
        <v>0</v>
      </c>
      <c r="DD60" s="57">
        <f t="shared" si="45"/>
        <v>600</v>
      </c>
      <c r="DE60" s="57">
        <f t="shared" si="46"/>
        <v>0</v>
      </c>
      <c r="DF60" s="57" t="e">
        <f t="shared" si="47"/>
        <v>#DIV/0!</v>
      </c>
    </row>
    <row r="61" spans="1:110" ht="14.25" customHeight="1">
      <c r="A61" s="43"/>
      <c r="B61" s="44"/>
      <c r="C61" s="45">
        <v>0</v>
      </c>
      <c r="D61" s="30">
        <v>0</v>
      </c>
      <c r="E61" s="30">
        <v>0</v>
      </c>
      <c r="F61" s="45">
        <f t="shared" si="0"/>
        <v>0</v>
      </c>
      <c r="G61" s="45">
        <v>900</v>
      </c>
      <c r="H61" s="30">
        <v>0</v>
      </c>
      <c r="I61" s="45">
        <f t="shared" si="1"/>
        <v>900</v>
      </c>
      <c r="J61" s="45">
        <f t="shared" si="2"/>
        <v>0</v>
      </c>
      <c r="K61" s="46" t="e">
        <f t="shared" si="3"/>
        <v>#DIV/0!</v>
      </c>
      <c r="L61" s="47">
        <v>0</v>
      </c>
      <c r="M61" s="32">
        <v>0</v>
      </c>
      <c r="N61" s="32">
        <v>0</v>
      </c>
      <c r="O61" s="47">
        <f t="shared" si="4"/>
        <v>0</v>
      </c>
      <c r="P61" s="47">
        <v>1800</v>
      </c>
      <c r="Q61" s="47">
        <v>0</v>
      </c>
      <c r="R61" s="47">
        <f t="shared" si="5"/>
        <v>1800</v>
      </c>
      <c r="S61" s="47">
        <f t="shared" si="6"/>
        <v>0</v>
      </c>
      <c r="T61" s="47" t="e">
        <f t="shared" si="7"/>
        <v>#DIV/0!</v>
      </c>
      <c r="U61" s="48">
        <v>0</v>
      </c>
      <c r="V61" s="48">
        <v>0</v>
      </c>
      <c r="W61" s="48">
        <v>0</v>
      </c>
      <c r="X61" s="48">
        <f t="shared" si="8"/>
        <v>0</v>
      </c>
      <c r="Y61" s="48">
        <v>910</v>
      </c>
      <c r="Z61" s="33">
        <v>0</v>
      </c>
      <c r="AA61" s="48">
        <f t="shared" si="9"/>
        <v>910</v>
      </c>
      <c r="AB61" s="48">
        <f t="shared" si="10"/>
        <v>0</v>
      </c>
      <c r="AC61" s="48" t="e">
        <f t="shared" si="11"/>
        <v>#DIV/0!</v>
      </c>
      <c r="AD61" s="49">
        <v>0</v>
      </c>
      <c r="AE61" s="49">
        <v>0</v>
      </c>
      <c r="AF61" s="49">
        <v>0</v>
      </c>
      <c r="AG61" s="49">
        <f t="shared" si="12"/>
        <v>0</v>
      </c>
      <c r="AH61" s="49">
        <v>1200</v>
      </c>
      <c r="AI61" s="49">
        <v>0</v>
      </c>
      <c r="AJ61" s="49">
        <f t="shared" si="13"/>
        <v>1200</v>
      </c>
      <c r="AK61" s="49">
        <f t="shared" si="14"/>
        <v>0</v>
      </c>
      <c r="AL61" s="49" t="e">
        <f t="shared" si="15"/>
        <v>#DIV/0!</v>
      </c>
      <c r="AM61" s="50">
        <v>0</v>
      </c>
      <c r="AN61" s="50">
        <v>0</v>
      </c>
      <c r="AO61" s="50">
        <v>0</v>
      </c>
      <c r="AP61" s="50">
        <f t="shared" si="16"/>
        <v>0</v>
      </c>
      <c r="AQ61" s="50">
        <v>600</v>
      </c>
      <c r="AR61" s="50">
        <v>0</v>
      </c>
      <c r="AS61" s="50">
        <f t="shared" si="17"/>
        <v>600</v>
      </c>
      <c r="AT61" s="50">
        <f t="shared" si="18"/>
        <v>0</v>
      </c>
      <c r="AU61" s="50" t="e">
        <f t="shared" si="19"/>
        <v>#DIV/0!</v>
      </c>
      <c r="AV61" s="51">
        <v>0</v>
      </c>
      <c r="AW61" s="36">
        <v>0</v>
      </c>
      <c r="AX61" s="36">
        <v>0</v>
      </c>
      <c r="AY61" s="51">
        <f t="shared" si="20"/>
        <v>0</v>
      </c>
      <c r="AZ61" s="51">
        <v>1500</v>
      </c>
      <c r="BA61" s="51">
        <v>0</v>
      </c>
      <c r="BB61" s="51">
        <f t="shared" si="21"/>
        <v>1500</v>
      </c>
      <c r="BC61" s="51">
        <f t="shared" si="22"/>
        <v>0</v>
      </c>
      <c r="BD61" s="51" t="e">
        <f t="shared" si="23"/>
        <v>#DIV/0!</v>
      </c>
      <c r="BE61" s="52">
        <v>0</v>
      </c>
      <c r="BF61" s="37">
        <v>0</v>
      </c>
      <c r="BG61" s="37">
        <v>0</v>
      </c>
      <c r="BH61" s="37">
        <f t="shared" si="24"/>
        <v>0</v>
      </c>
      <c r="BI61" s="52">
        <v>750</v>
      </c>
      <c r="BJ61" s="37">
        <v>0</v>
      </c>
      <c r="BK61" s="52">
        <f t="shared" si="25"/>
        <v>750</v>
      </c>
      <c r="BL61" s="52">
        <f t="shared" si="26"/>
        <v>0</v>
      </c>
      <c r="BM61" s="52" t="e">
        <f t="shared" si="27"/>
        <v>#DIV/0!</v>
      </c>
      <c r="BN61" s="53">
        <v>0</v>
      </c>
      <c r="BO61" s="38">
        <v>0</v>
      </c>
      <c r="BP61" s="38">
        <v>0</v>
      </c>
      <c r="BQ61" s="53">
        <f t="shared" si="28"/>
        <v>0</v>
      </c>
      <c r="BR61" s="53">
        <v>2450</v>
      </c>
      <c r="BS61" s="38">
        <v>0</v>
      </c>
      <c r="BT61" s="53">
        <f t="shared" si="29"/>
        <v>2450</v>
      </c>
      <c r="BU61" s="53">
        <f t="shared" si="30"/>
        <v>0</v>
      </c>
      <c r="BV61" s="53" t="e">
        <f t="shared" si="31"/>
        <v>#DIV/0!</v>
      </c>
      <c r="BW61" s="54">
        <v>0</v>
      </c>
      <c r="BX61" s="39">
        <v>0</v>
      </c>
      <c r="BY61" s="39">
        <v>0</v>
      </c>
      <c r="BZ61" s="54">
        <f t="shared" si="32"/>
        <v>0</v>
      </c>
      <c r="CA61" s="54">
        <v>750</v>
      </c>
      <c r="CB61" s="54">
        <v>0</v>
      </c>
      <c r="CC61" s="54">
        <f t="shared" si="33"/>
        <v>750</v>
      </c>
      <c r="CD61" s="54">
        <f t="shared" si="34"/>
        <v>0</v>
      </c>
      <c r="CE61" s="54" t="e">
        <f t="shared" si="35"/>
        <v>#DIV/0!</v>
      </c>
      <c r="CF61" s="55">
        <v>0</v>
      </c>
      <c r="CG61" s="55">
        <v>0</v>
      </c>
      <c r="CH61" s="55">
        <v>0</v>
      </c>
      <c r="CI61" s="55">
        <f t="shared" si="36"/>
        <v>0</v>
      </c>
      <c r="CJ61" s="55">
        <v>730</v>
      </c>
      <c r="CK61" s="55">
        <v>0</v>
      </c>
      <c r="CL61" s="55">
        <f t="shared" si="37"/>
        <v>730</v>
      </c>
      <c r="CM61" s="55">
        <f t="shared" si="38"/>
        <v>0</v>
      </c>
      <c r="CN61" s="55" t="e">
        <f t="shared" si="39"/>
        <v>#DIV/0!</v>
      </c>
      <c r="CO61" s="56">
        <v>0</v>
      </c>
      <c r="CP61" s="56">
        <v>0</v>
      </c>
      <c r="CQ61" s="56">
        <v>0</v>
      </c>
      <c r="CR61" s="56">
        <f t="shared" si="40"/>
        <v>0</v>
      </c>
      <c r="CS61" s="56">
        <v>730</v>
      </c>
      <c r="CT61" s="56">
        <v>0</v>
      </c>
      <c r="CU61" s="56">
        <f t="shared" si="41"/>
        <v>730</v>
      </c>
      <c r="CV61" s="56">
        <f t="shared" si="42"/>
        <v>0</v>
      </c>
      <c r="CW61" s="56" t="e">
        <f t="shared" si="43"/>
        <v>#DIV/0!</v>
      </c>
      <c r="CX61" s="57">
        <v>0</v>
      </c>
      <c r="CY61" s="57">
        <v>0</v>
      </c>
      <c r="CZ61" s="57">
        <v>0</v>
      </c>
      <c r="DA61" s="57">
        <f t="shared" si="44"/>
        <v>0</v>
      </c>
      <c r="DB61" s="57">
        <v>600</v>
      </c>
      <c r="DC61" s="57">
        <v>0</v>
      </c>
      <c r="DD61" s="57">
        <f t="shared" si="45"/>
        <v>600</v>
      </c>
      <c r="DE61" s="57">
        <f t="shared" si="46"/>
        <v>0</v>
      </c>
      <c r="DF61" s="57" t="e">
        <f t="shared" si="47"/>
        <v>#DIV/0!</v>
      </c>
    </row>
    <row r="62" spans="1:110" ht="14.25" customHeight="1">
      <c r="A62" s="43"/>
      <c r="B62" s="44"/>
      <c r="C62" s="45">
        <v>0</v>
      </c>
      <c r="D62" s="30">
        <v>0</v>
      </c>
      <c r="E62" s="30">
        <v>0</v>
      </c>
      <c r="F62" s="45">
        <f t="shared" si="0"/>
        <v>0</v>
      </c>
      <c r="G62" s="45">
        <v>900</v>
      </c>
      <c r="H62" s="30">
        <v>0</v>
      </c>
      <c r="I62" s="45">
        <f t="shared" si="1"/>
        <v>900</v>
      </c>
      <c r="J62" s="45">
        <f t="shared" si="2"/>
        <v>0</v>
      </c>
      <c r="K62" s="46" t="e">
        <f t="shared" si="3"/>
        <v>#DIV/0!</v>
      </c>
      <c r="L62" s="47">
        <v>0</v>
      </c>
      <c r="M62" s="32">
        <v>0</v>
      </c>
      <c r="N62" s="32">
        <v>0</v>
      </c>
      <c r="O62" s="47">
        <f t="shared" si="4"/>
        <v>0</v>
      </c>
      <c r="P62" s="47">
        <v>1800</v>
      </c>
      <c r="Q62" s="47">
        <v>0</v>
      </c>
      <c r="R62" s="47">
        <f t="shared" si="5"/>
        <v>1800</v>
      </c>
      <c r="S62" s="47">
        <f t="shared" si="6"/>
        <v>0</v>
      </c>
      <c r="T62" s="47" t="e">
        <f t="shared" si="7"/>
        <v>#DIV/0!</v>
      </c>
      <c r="U62" s="48">
        <v>0</v>
      </c>
      <c r="V62" s="48">
        <v>0</v>
      </c>
      <c r="W62" s="48">
        <v>0</v>
      </c>
      <c r="X62" s="48">
        <f t="shared" si="8"/>
        <v>0</v>
      </c>
      <c r="Y62" s="48">
        <v>910</v>
      </c>
      <c r="Z62" s="33">
        <v>0</v>
      </c>
      <c r="AA62" s="48">
        <f t="shared" si="9"/>
        <v>910</v>
      </c>
      <c r="AB62" s="48">
        <f t="shared" si="10"/>
        <v>0</v>
      </c>
      <c r="AC62" s="48" t="e">
        <f t="shared" si="11"/>
        <v>#DIV/0!</v>
      </c>
      <c r="AD62" s="49">
        <v>0</v>
      </c>
      <c r="AE62" s="49">
        <v>0</v>
      </c>
      <c r="AF62" s="49">
        <v>0</v>
      </c>
      <c r="AG62" s="49">
        <f t="shared" si="12"/>
        <v>0</v>
      </c>
      <c r="AH62" s="49">
        <v>1200</v>
      </c>
      <c r="AI62" s="49">
        <v>0</v>
      </c>
      <c r="AJ62" s="49">
        <f t="shared" si="13"/>
        <v>1200</v>
      </c>
      <c r="AK62" s="49">
        <f t="shared" si="14"/>
        <v>0</v>
      </c>
      <c r="AL62" s="49" t="e">
        <f t="shared" si="15"/>
        <v>#DIV/0!</v>
      </c>
      <c r="AM62" s="50">
        <v>0</v>
      </c>
      <c r="AN62" s="50">
        <v>0</v>
      </c>
      <c r="AO62" s="50">
        <v>0</v>
      </c>
      <c r="AP62" s="50">
        <f t="shared" si="16"/>
        <v>0</v>
      </c>
      <c r="AQ62" s="50">
        <v>600</v>
      </c>
      <c r="AR62" s="50">
        <v>0</v>
      </c>
      <c r="AS62" s="50">
        <f t="shared" si="17"/>
        <v>600</v>
      </c>
      <c r="AT62" s="50">
        <f t="shared" si="18"/>
        <v>0</v>
      </c>
      <c r="AU62" s="50" t="e">
        <f t="shared" si="19"/>
        <v>#DIV/0!</v>
      </c>
      <c r="AV62" s="51">
        <v>0</v>
      </c>
      <c r="AW62" s="36">
        <v>0</v>
      </c>
      <c r="AX62" s="36">
        <v>0</v>
      </c>
      <c r="AY62" s="51">
        <f t="shared" si="20"/>
        <v>0</v>
      </c>
      <c r="AZ62" s="51">
        <v>1500</v>
      </c>
      <c r="BA62" s="51">
        <v>0</v>
      </c>
      <c r="BB62" s="51">
        <f t="shared" si="21"/>
        <v>1500</v>
      </c>
      <c r="BC62" s="51">
        <f t="shared" si="22"/>
        <v>0</v>
      </c>
      <c r="BD62" s="51" t="e">
        <f t="shared" si="23"/>
        <v>#DIV/0!</v>
      </c>
      <c r="BE62" s="52">
        <v>0</v>
      </c>
      <c r="BF62" s="37">
        <v>0</v>
      </c>
      <c r="BG62" s="37">
        <v>0</v>
      </c>
      <c r="BH62" s="37">
        <f t="shared" si="24"/>
        <v>0</v>
      </c>
      <c r="BI62" s="52">
        <v>750</v>
      </c>
      <c r="BJ62" s="37">
        <v>0</v>
      </c>
      <c r="BK62" s="52">
        <f t="shared" si="25"/>
        <v>750</v>
      </c>
      <c r="BL62" s="52">
        <f t="shared" si="26"/>
        <v>0</v>
      </c>
      <c r="BM62" s="52" t="e">
        <f t="shared" si="27"/>
        <v>#DIV/0!</v>
      </c>
      <c r="BN62" s="53">
        <v>0</v>
      </c>
      <c r="BO62" s="38">
        <v>0</v>
      </c>
      <c r="BP62" s="38">
        <v>0</v>
      </c>
      <c r="BQ62" s="53">
        <f t="shared" si="28"/>
        <v>0</v>
      </c>
      <c r="BR62" s="53">
        <v>2450</v>
      </c>
      <c r="BS62" s="38">
        <v>0</v>
      </c>
      <c r="BT62" s="53">
        <f t="shared" si="29"/>
        <v>2450</v>
      </c>
      <c r="BU62" s="53">
        <f t="shared" si="30"/>
        <v>0</v>
      </c>
      <c r="BV62" s="53" t="e">
        <f t="shared" si="31"/>
        <v>#DIV/0!</v>
      </c>
      <c r="BW62" s="54">
        <v>0</v>
      </c>
      <c r="BX62" s="39">
        <v>0</v>
      </c>
      <c r="BY62" s="39">
        <v>0</v>
      </c>
      <c r="BZ62" s="54">
        <f t="shared" si="32"/>
        <v>0</v>
      </c>
      <c r="CA62" s="54">
        <v>750</v>
      </c>
      <c r="CB62" s="54">
        <v>0</v>
      </c>
      <c r="CC62" s="54">
        <f t="shared" si="33"/>
        <v>750</v>
      </c>
      <c r="CD62" s="54">
        <f t="shared" si="34"/>
        <v>0</v>
      </c>
      <c r="CE62" s="54" t="e">
        <f t="shared" si="35"/>
        <v>#DIV/0!</v>
      </c>
      <c r="CF62" s="55">
        <v>0</v>
      </c>
      <c r="CG62" s="55">
        <v>0</v>
      </c>
      <c r="CH62" s="55">
        <v>0</v>
      </c>
      <c r="CI62" s="55">
        <f t="shared" si="36"/>
        <v>0</v>
      </c>
      <c r="CJ62" s="55">
        <v>730</v>
      </c>
      <c r="CK62" s="55">
        <v>0</v>
      </c>
      <c r="CL62" s="55">
        <f t="shared" si="37"/>
        <v>730</v>
      </c>
      <c r="CM62" s="55">
        <f t="shared" si="38"/>
        <v>0</v>
      </c>
      <c r="CN62" s="55" t="e">
        <f t="shared" si="39"/>
        <v>#DIV/0!</v>
      </c>
      <c r="CO62" s="56">
        <v>0</v>
      </c>
      <c r="CP62" s="56">
        <v>0</v>
      </c>
      <c r="CQ62" s="56">
        <v>0</v>
      </c>
      <c r="CR62" s="56">
        <f t="shared" si="40"/>
        <v>0</v>
      </c>
      <c r="CS62" s="56">
        <v>730</v>
      </c>
      <c r="CT62" s="56">
        <v>0</v>
      </c>
      <c r="CU62" s="56">
        <f t="shared" si="41"/>
        <v>730</v>
      </c>
      <c r="CV62" s="56">
        <f t="shared" si="42"/>
        <v>0</v>
      </c>
      <c r="CW62" s="56" t="e">
        <f t="shared" si="43"/>
        <v>#DIV/0!</v>
      </c>
      <c r="CX62" s="57">
        <v>0</v>
      </c>
      <c r="CY62" s="57">
        <v>0</v>
      </c>
      <c r="CZ62" s="57">
        <v>0</v>
      </c>
      <c r="DA62" s="57">
        <f t="shared" si="44"/>
        <v>0</v>
      </c>
      <c r="DB62" s="57">
        <v>600</v>
      </c>
      <c r="DC62" s="57">
        <v>0</v>
      </c>
      <c r="DD62" s="57">
        <f t="shared" si="45"/>
        <v>600</v>
      </c>
      <c r="DE62" s="57">
        <f t="shared" si="46"/>
        <v>0</v>
      </c>
      <c r="DF62" s="57" t="e">
        <f t="shared" si="47"/>
        <v>#DIV/0!</v>
      </c>
    </row>
    <row r="63" spans="1:110" ht="14.25" customHeight="1">
      <c r="A63" s="43"/>
      <c r="B63" s="44"/>
      <c r="C63" s="45">
        <v>0</v>
      </c>
      <c r="D63" s="30">
        <v>0</v>
      </c>
      <c r="E63" s="30">
        <v>0</v>
      </c>
      <c r="F63" s="45">
        <f t="shared" si="0"/>
        <v>0</v>
      </c>
      <c r="G63" s="45">
        <v>900</v>
      </c>
      <c r="H63" s="30">
        <v>0</v>
      </c>
      <c r="I63" s="45">
        <f t="shared" si="1"/>
        <v>900</v>
      </c>
      <c r="J63" s="45">
        <f t="shared" si="2"/>
        <v>0</v>
      </c>
      <c r="K63" s="46" t="e">
        <f t="shared" si="3"/>
        <v>#DIV/0!</v>
      </c>
      <c r="L63" s="47">
        <v>0</v>
      </c>
      <c r="M63" s="32">
        <v>0</v>
      </c>
      <c r="N63" s="32">
        <v>0</v>
      </c>
      <c r="O63" s="47">
        <f t="shared" si="4"/>
        <v>0</v>
      </c>
      <c r="P63" s="47">
        <v>1800</v>
      </c>
      <c r="Q63" s="47">
        <v>0</v>
      </c>
      <c r="R63" s="47">
        <f t="shared" si="5"/>
        <v>1800</v>
      </c>
      <c r="S63" s="47">
        <f t="shared" si="6"/>
        <v>0</v>
      </c>
      <c r="T63" s="47" t="e">
        <f t="shared" si="7"/>
        <v>#DIV/0!</v>
      </c>
      <c r="U63" s="48">
        <v>0</v>
      </c>
      <c r="V63" s="48">
        <v>0</v>
      </c>
      <c r="W63" s="48">
        <v>0</v>
      </c>
      <c r="X63" s="48">
        <f t="shared" si="8"/>
        <v>0</v>
      </c>
      <c r="Y63" s="48">
        <v>910</v>
      </c>
      <c r="Z63" s="33">
        <v>0</v>
      </c>
      <c r="AA63" s="48">
        <f t="shared" si="9"/>
        <v>910</v>
      </c>
      <c r="AB63" s="48">
        <f t="shared" si="10"/>
        <v>0</v>
      </c>
      <c r="AC63" s="48" t="e">
        <f t="shared" si="11"/>
        <v>#DIV/0!</v>
      </c>
      <c r="AD63" s="49">
        <v>0</v>
      </c>
      <c r="AE63" s="49">
        <v>0</v>
      </c>
      <c r="AF63" s="49">
        <v>0</v>
      </c>
      <c r="AG63" s="49">
        <f t="shared" si="12"/>
        <v>0</v>
      </c>
      <c r="AH63" s="49">
        <v>1200</v>
      </c>
      <c r="AI63" s="49">
        <v>0</v>
      </c>
      <c r="AJ63" s="49">
        <f t="shared" si="13"/>
        <v>1200</v>
      </c>
      <c r="AK63" s="49">
        <f t="shared" si="14"/>
        <v>0</v>
      </c>
      <c r="AL63" s="49" t="e">
        <f t="shared" si="15"/>
        <v>#DIV/0!</v>
      </c>
      <c r="AM63" s="50">
        <v>0</v>
      </c>
      <c r="AN63" s="50">
        <v>0</v>
      </c>
      <c r="AO63" s="50">
        <v>0</v>
      </c>
      <c r="AP63" s="50">
        <f t="shared" si="16"/>
        <v>0</v>
      </c>
      <c r="AQ63" s="50">
        <v>600</v>
      </c>
      <c r="AR63" s="50">
        <v>0</v>
      </c>
      <c r="AS63" s="50">
        <f t="shared" si="17"/>
        <v>600</v>
      </c>
      <c r="AT63" s="50">
        <f t="shared" si="18"/>
        <v>0</v>
      </c>
      <c r="AU63" s="50" t="e">
        <f t="shared" si="19"/>
        <v>#DIV/0!</v>
      </c>
      <c r="AV63" s="51">
        <v>0</v>
      </c>
      <c r="AW63" s="36">
        <v>0</v>
      </c>
      <c r="AX63" s="36">
        <v>0</v>
      </c>
      <c r="AY63" s="51">
        <f t="shared" si="20"/>
        <v>0</v>
      </c>
      <c r="AZ63" s="51">
        <v>1500</v>
      </c>
      <c r="BA63" s="51">
        <v>0</v>
      </c>
      <c r="BB63" s="51">
        <f t="shared" si="21"/>
        <v>1500</v>
      </c>
      <c r="BC63" s="51">
        <f t="shared" si="22"/>
        <v>0</v>
      </c>
      <c r="BD63" s="51" t="e">
        <f t="shared" si="23"/>
        <v>#DIV/0!</v>
      </c>
      <c r="BE63" s="52">
        <v>0</v>
      </c>
      <c r="BF63" s="37">
        <v>0</v>
      </c>
      <c r="BG63" s="37">
        <v>0</v>
      </c>
      <c r="BH63" s="37">
        <f t="shared" si="24"/>
        <v>0</v>
      </c>
      <c r="BI63" s="52">
        <v>750</v>
      </c>
      <c r="BJ63" s="37">
        <v>0</v>
      </c>
      <c r="BK63" s="52">
        <f t="shared" si="25"/>
        <v>750</v>
      </c>
      <c r="BL63" s="52">
        <f t="shared" si="26"/>
        <v>0</v>
      </c>
      <c r="BM63" s="52" t="e">
        <f t="shared" si="27"/>
        <v>#DIV/0!</v>
      </c>
      <c r="BN63" s="53">
        <v>0</v>
      </c>
      <c r="BO63" s="38">
        <v>0</v>
      </c>
      <c r="BP63" s="38">
        <v>0</v>
      </c>
      <c r="BQ63" s="53">
        <f t="shared" si="28"/>
        <v>0</v>
      </c>
      <c r="BR63" s="53">
        <v>2450</v>
      </c>
      <c r="BS63" s="38">
        <v>0</v>
      </c>
      <c r="BT63" s="53">
        <f t="shared" si="29"/>
        <v>2450</v>
      </c>
      <c r="BU63" s="53">
        <f t="shared" si="30"/>
        <v>0</v>
      </c>
      <c r="BV63" s="53" t="e">
        <f t="shared" si="31"/>
        <v>#DIV/0!</v>
      </c>
      <c r="BW63" s="54">
        <v>0</v>
      </c>
      <c r="BX63" s="39">
        <v>0</v>
      </c>
      <c r="BY63" s="39">
        <v>0</v>
      </c>
      <c r="BZ63" s="54">
        <f t="shared" si="32"/>
        <v>0</v>
      </c>
      <c r="CA63" s="54">
        <v>750</v>
      </c>
      <c r="CB63" s="54">
        <v>0</v>
      </c>
      <c r="CC63" s="54">
        <f t="shared" si="33"/>
        <v>750</v>
      </c>
      <c r="CD63" s="54">
        <f t="shared" si="34"/>
        <v>0</v>
      </c>
      <c r="CE63" s="54" t="e">
        <f t="shared" si="35"/>
        <v>#DIV/0!</v>
      </c>
      <c r="CF63" s="55">
        <v>0</v>
      </c>
      <c r="CG63" s="55">
        <v>0</v>
      </c>
      <c r="CH63" s="55">
        <v>0</v>
      </c>
      <c r="CI63" s="55">
        <f t="shared" si="36"/>
        <v>0</v>
      </c>
      <c r="CJ63" s="55">
        <v>730</v>
      </c>
      <c r="CK63" s="55">
        <v>0</v>
      </c>
      <c r="CL63" s="55">
        <f t="shared" si="37"/>
        <v>730</v>
      </c>
      <c r="CM63" s="55">
        <f t="shared" si="38"/>
        <v>0</v>
      </c>
      <c r="CN63" s="55" t="e">
        <f t="shared" si="39"/>
        <v>#DIV/0!</v>
      </c>
      <c r="CO63" s="56">
        <v>0</v>
      </c>
      <c r="CP63" s="56">
        <v>0</v>
      </c>
      <c r="CQ63" s="56">
        <v>0</v>
      </c>
      <c r="CR63" s="56">
        <f t="shared" si="40"/>
        <v>0</v>
      </c>
      <c r="CS63" s="56">
        <v>730</v>
      </c>
      <c r="CT63" s="56">
        <v>0</v>
      </c>
      <c r="CU63" s="56">
        <f t="shared" si="41"/>
        <v>730</v>
      </c>
      <c r="CV63" s="56">
        <f t="shared" si="42"/>
        <v>0</v>
      </c>
      <c r="CW63" s="56" t="e">
        <f t="shared" si="43"/>
        <v>#DIV/0!</v>
      </c>
      <c r="CX63" s="57">
        <v>0</v>
      </c>
      <c r="CY63" s="57">
        <v>0</v>
      </c>
      <c r="CZ63" s="57">
        <v>0</v>
      </c>
      <c r="DA63" s="57">
        <f t="shared" si="44"/>
        <v>0</v>
      </c>
      <c r="DB63" s="57">
        <v>600</v>
      </c>
      <c r="DC63" s="57">
        <v>0</v>
      </c>
      <c r="DD63" s="57">
        <f t="shared" si="45"/>
        <v>600</v>
      </c>
      <c r="DE63" s="57">
        <f t="shared" si="46"/>
        <v>0</v>
      </c>
      <c r="DF63" s="57" t="e">
        <f t="shared" si="47"/>
        <v>#DIV/0!</v>
      </c>
    </row>
    <row r="64" spans="1:110" ht="14.25" customHeight="1">
      <c r="A64" s="43"/>
      <c r="B64" s="44"/>
      <c r="C64" s="45">
        <v>0</v>
      </c>
      <c r="D64" s="30">
        <v>0</v>
      </c>
      <c r="E64" s="30">
        <v>0</v>
      </c>
      <c r="F64" s="45">
        <f t="shared" si="0"/>
        <v>0</v>
      </c>
      <c r="G64" s="45">
        <v>900</v>
      </c>
      <c r="H64" s="30">
        <v>0</v>
      </c>
      <c r="I64" s="45">
        <f t="shared" si="1"/>
        <v>900</v>
      </c>
      <c r="J64" s="45">
        <f t="shared" si="2"/>
        <v>0</v>
      </c>
      <c r="K64" s="46" t="e">
        <f t="shared" si="3"/>
        <v>#DIV/0!</v>
      </c>
      <c r="L64" s="47">
        <v>0</v>
      </c>
      <c r="M64" s="32">
        <v>0</v>
      </c>
      <c r="N64" s="32">
        <v>0</v>
      </c>
      <c r="O64" s="47">
        <f t="shared" si="4"/>
        <v>0</v>
      </c>
      <c r="P64" s="47">
        <v>1800</v>
      </c>
      <c r="Q64" s="47">
        <v>0</v>
      </c>
      <c r="R64" s="47">
        <f t="shared" si="5"/>
        <v>1800</v>
      </c>
      <c r="S64" s="47">
        <f t="shared" si="6"/>
        <v>0</v>
      </c>
      <c r="T64" s="47" t="e">
        <f t="shared" si="7"/>
        <v>#DIV/0!</v>
      </c>
      <c r="U64" s="48">
        <v>0</v>
      </c>
      <c r="V64" s="48">
        <v>0</v>
      </c>
      <c r="W64" s="48">
        <v>0</v>
      </c>
      <c r="X64" s="48">
        <f t="shared" si="8"/>
        <v>0</v>
      </c>
      <c r="Y64" s="48">
        <v>910</v>
      </c>
      <c r="Z64" s="33">
        <v>0</v>
      </c>
      <c r="AA64" s="48">
        <f t="shared" si="9"/>
        <v>910</v>
      </c>
      <c r="AB64" s="48">
        <f t="shared" si="10"/>
        <v>0</v>
      </c>
      <c r="AC64" s="48" t="e">
        <f t="shared" si="11"/>
        <v>#DIV/0!</v>
      </c>
      <c r="AD64" s="49">
        <v>0</v>
      </c>
      <c r="AE64" s="49">
        <v>0</v>
      </c>
      <c r="AF64" s="49">
        <v>0</v>
      </c>
      <c r="AG64" s="49">
        <f t="shared" si="12"/>
        <v>0</v>
      </c>
      <c r="AH64" s="49">
        <v>1200</v>
      </c>
      <c r="AI64" s="49">
        <v>0</v>
      </c>
      <c r="AJ64" s="49">
        <f t="shared" si="13"/>
        <v>1200</v>
      </c>
      <c r="AK64" s="49">
        <f t="shared" si="14"/>
        <v>0</v>
      </c>
      <c r="AL64" s="49" t="e">
        <f t="shared" si="15"/>
        <v>#DIV/0!</v>
      </c>
      <c r="AM64" s="50">
        <v>0</v>
      </c>
      <c r="AN64" s="50">
        <v>0</v>
      </c>
      <c r="AO64" s="50">
        <v>0</v>
      </c>
      <c r="AP64" s="50">
        <f t="shared" si="16"/>
        <v>0</v>
      </c>
      <c r="AQ64" s="50">
        <v>600</v>
      </c>
      <c r="AR64" s="50">
        <v>0</v>
      </c>
      <c r="AS64" s="50">
        <f t="shared" si="17"/>
        <v>600</v>
      </c>
      <c r="AT64" s="50">
        <f t="shared" si="18"/>
        <v>0</v>
      </c>
      <c r="AU64" s="50" t="e">
        <f t="shared" si="19"/>
        <v>#DIV/0!</v>
      </c>
      <c r="AV64" s="51">
        <v>0</v>
      </c>
      <c r="AW64" s="36">
        <v>0</v>
      </c>
      <c r="AX64" s="36">
        <v>0</v>
      </c>
      <c r="AY64" s="51">
        <f t="shared" si="20"/>
        <v>0</v>
      </c>
      <c r="AZ64" s="51">
        <v>1500</v>
      </c>
      <c r="BA64" s="51">
        <v>0</v>
      </c>
      <c r="BB64" s="51">
        <f t="shared" si="21"/>
        <v>1500</v>
      </c>
      <c r="BC64" s="51">
        <f t="shared" si="22"/>
        <v>0</v>
      </c>
      <c r="BD64" s="51" t="e">
        <f t="shared" si="23"/>
        <v>#DIV/0!</v>
      </c>
      <c r="BE64" s="52">
        <v>0</v>
      </c>
      <c r="BF64" s="37">
        <v>0</v>
      </c>
      <c r="BG64" s="37">
        <v>0</v>
      </c>
      <c r="BH64" s="37">
        <f t="shared" si="24"/>
        <v>0</v>
      </c>
      <c r="BI64" s="52">
        <v>750</v>
      </c>
      <c r="BJ64" s="37">
        <v>0</v>
      </c>
      <c r="BK64" s="52">
        <f t="shared" si="25"/>
        <v>750</v>
      </c>
      <c r="BL64" s="52">
        <f t="shared" si="26"/>
        <v>0</v>
      </c>
      <c r="BM64" s="52" t="e">
        <f t="shared" si="27"/>
        <v>#DIV/0!</v>
      </c>
      <c r="BN64" s="53">
        <v>0</v>
      </c>
      <c r="BO64" s="38">
        <v>0</v>
      </c>
      <c r="BP64" s="38">
        <v>0</v>
      </c>
      <c r="BQ64" s="53">
        <f t="shared" si="28"/>
        <v>0</v>
      </c>
      <c r="BR64" s="53">
        <v>2450</v>
      </c>
      <c r="BS64" s="38">
        <v>0</v>
      </c>
      <c r="BT64" s="53">
        <f t="shared" si="29"/>
        <v>2450</v>
      </c>
      <c r="BU64" s="53">
        <f t="shared" si="30"/>
        <v>0</v>
      </c>
      <c r="BV64" s="53" t="e">
        <f t="shared" si="31"/>
        <v>#DIV/0!</v>
      </c>
      <c r="BW64" s="54">
        <v>0</v>
      </c>
      <c r="BX64" s="39">
        <v>0</v>
      </c>
      <c r="BY64" s="39">
        <v>0</v>
      </c>
      <c r="BZ64" s="54">
        <f t="shared" si="32"/>
        <v>0</v>
      </c>
      <c r="CA64" s="54">
        <v>750</v>
      </c>
      <c r="CB64" s="54">
        <v>0</v>
      </c>
      <c r="CC64" s="54">
        <f t="shared" si="33"/>
        <v>750</v>
      </c>
      <c r="CD64" s="54">
        <f t="shared" si="34"/>
        <v>0</v>
      </c>
      <c r="CE64" s="54" t="e">
        <f t="shared" si="35"/>
        <v>#DIV/0!</v>
      </c>
      <c r="CF64" s="55">
        <v>0</v>
      </c>
      <c r="CG64" s="55">
        <v>0</v>
      </c>
      <c r="CH64" s="55">
        <v>0</v>
      </c>
      <c r="CI64" s="55">
        <f t="shared" si="36"/>
        <v>0</v>
      </c>
      <c r="CJ64" s="55">
        <v>730</v>
      </c>
      <c r="CK64" s="55">
        <v>0</v>
      </c>
      <c r="CL64" s="55">
        <f t="shared" si="37"/>
        <v>730</v>
      </c>
      <c r="CM64" s="55">
        <f t="shared" si="38"/>
        <v>0</v>
      </c>
      <c r="CN64" s="55" t="e">
        <f t="shared" si="39"/>
        <v>#DIV/0!</v>
      </c>
      <c r="CO64" s="56">
        <v>0</v>
      </c>
      <c r="CP64" s="56">
        <v>0</v>
      </c>
      <c r="CQ64" s="56">
        <v>0</v>
      </c>
      <c r="CR64" s="56">
        <f t="shared" si="40"/>
        <v>0</v>
      </c>
      <c r="CS64" s="56">
        <v>730</v>
      </c>
      <c r="CT64" s="56">
        <v>0</v>
      </c>
      <c r="CU64" s="56">
        <f t="shared" si="41"/>
        <v>730</v>
      </c>
      <c r="CV64" s="56">
        <f t="shared" si="42"/>
        <v>0</v>
      </c>
      <c r="CW64" s="56" t="e">
        <f t="shared" si="43"/>
        <v>#DIV/0!</v>
      </c>
      <c r="CX64" s="57">
        <v>0</v>
      </c>
      <c r="CY64" s="57">
        <v>0</v>
      </c>
      <c r="CZ64" s="57">
        <v>0</v>
      </c>
      <c r="DA64" s="57">
        <f t="shared" si="44"/>
        <v>0</v>
      </c>
      <c r="DB64" s="57">
        <v>600</v>
      </c>
      <c r="DC64" s="57">
        <v>0</v>
      </c>
      <c r="DD64" s="57">
        <f t="shared" si="45"/>
        <v>600</v>
      </c>
      <c r="DE64" s="57">
        <f t="shared" si="46"/>
        <v>0</v>
      </c>
      <c r="DF64" s="57" t="e">
        <f t="shared" si="47"/>
        <v>#DIV/0!</v>
      </c>
    </row>
    <row r="65" spans="1:110" ht="14.25" customHeight="1">
      <c r="A65" s="43"/>
      <c r="B65" s="44"/>
      <c r="C65" s="45">
        <v>0</v>
      </c>
      <c r="D65" s="30">
        <v>0</v>
      </c>
      <c r="E65" s="30">
        <v>0</v>
      </c>
      <c r="F65" s="45">
        <f t="shared" si="0"/>
        <v>0</v>
      </c>
      <c r="G65" s="45">
        <v>900</v>
      </c>
      <c r="H65" s="30">
        <v>0</v>
      </c>
      <c r="I65" s="45">
        <f t="shared" si="1"/>
        <v>900</v>
      </c>
      <c r="J65" s="45">
        <f t="shared" si="2"/>
        <v>0</v>
      </c>
      <c r="K65" s="46" t="e">
        <f t="shared" si="3"/>
        <v>#DIV/0!</v>
      </c>
      <c r="L65" s="47">
        <v>0</v>
      </c>
      <c r="M65" s="32">
        <v>0</v>
      </c>
      <c r="N65" s="32">
        <v>0</v>
      </c>
      <c r="O65" s="47">
        <f t="shared" si="4"/>
        <v>0</v>
      </c>
      <c r="P65" s="47">
        <v>1800</v>
      </c>
      <c r="Q65" s="47">
        <v>0</v>
      </c>
      <c r="R65" s="47">
        <f t="shared" si="5"/>
        <v>1800</v>
      </c>
      <c r="S65" s="47">
        <f t="shared" si="6"/>
        <v>0</v>
      </c>
      <c r="T65" s="47" t="e">
        <f t="shared" si="7"/>
        <v>#DIV/0!</v>
      </c>
      <c r="U65" s="48">
        <v>0</v>
      </c>
      <c r="V65" s="48">
        <v>0</v>
      </c>
      <c r="W65" s="48">
        <v>0</v>
      </c>
      <c r="X65" s="48">
        <f t="shared" si="8"/>
        <v>0</v>
      </c>
      <c r="Y65" s="48">
        <v>910</v>
      </c>
      <c r="Z65" s="33">
        <v>0</v>
      </c>
      <c r="AA65" s="48">
        <f t="shared" si="9"/>
        <v>910</v>
      </c>
      <c r="AB65" s="48">
        <f t="shared" si="10"/>
        <v>0</v>
      </c>
      <c r="AC65" s="48" t="e">
        <f t="shared" si="11"/>
        <v>#DIV/0!</v>
      </c>
      <c r="AD65" s="49">
        <v>0</v>
      </c>
      <c r="AE65" s="49">
        <v>0</v>
      </c>
      <c r="AF65" s="49">
        <v>0</v>
      </c>
      <c r="AG65" s="49">
        <f t="shared" si="12"/>
        <v>0</v>
      </c>
      <c r="AH65" s="49">
        <v>1200</v>
      </c>
      <c r="AI65" s="49">
        <v>0</v>
      </c>
      <c r="AJ65" s="49">
        <f t="shared" si="13"/>
        <v>1200</v>
      </c>
      <c r="AK65" s="49">
        <f t="shared" si="14"/>
        <v>0</v>
      </c>
      <c r="AL65" s="49" t="e">
        <f t="shared" si="15"/>
        <v>#DIV/0!</v>
      </c>
      <c r="AM65" s="50">
        <v>0</v>
      </c>
      <c r="AN65" s="50">
        <v>0</v>
      </c>
      <c r="AO65" s="50">
        <v>0</v>
      </c>
      <c r="AP65" s="50">
        <f t="shared" si="16"/>
        <v>0</v>
      </c>
      <c r="AQ65" s="50">
        <v>600</v>
      </c>
      <c r="AR65" s="50">
        <v>0</v>
      </c>
      <c r="AS65" s="50">
        <f t="shared" si="17"/>
        <v>600</v>
      </c>
      <c r="AT65" s="50">
        <f t="shared" si="18"/>
        <v>0</v>
      </c>
      <c r="AU65" s="50" t="e">
        <f t="shared" si="19"/>
        <v>#DIV/0!</v>
      </c>
      <c r="AV65" s="51">
        <v>0</v>
      </c>
      <c r="AW65" s="36">
        <v>0</v>
      </c>
      <c r="AX65" s="36">
        <v>0</v>
      </c>
      <c r="AY65" s="51">
        <f t="shared" si="20"/>
        <v>0</v>
      </c>
      <c r="AZ65" s="51">
        <v>1500</v>
      </c>
      <c r="BA65" s="51">
        <v>0</v>
      </c>
      <c r="BB65" s="51">
        <f t="shared" si="21"/>
        <v>1500</v>
      </c>
      <c r="BC65" s="51">
        <f t="shared" si="22"/>
        <v>0</v>
      </c>
      <c r="BD65" s="51" t="e">
        <f t="shared" si="23"/>
        <v>#DIV/0!</v>
      </c>
      <c r="BE65" s="52">
        <v>0</v>
      </c>
      <c r="BF65" s="37">
        <v>0</v>
      </c>
      <c r="BG65" s="37">
        <v>0</v>
      </c>
      <c r="BH65" s="37">
        <f t="shared" si="24"/>
        <v>0</v>
      </c>
      <c r="BI65" s="52">
        <v>750</v>
      </c>
      <c r="BJ65" s="37">
        <v>0</v>
      </c>
      <c r="BK65" s="52">
        <f t="shared" si="25"/>
        <v>750</v>
      </c>
      <c r="BL65" s="52">
        <f t="shared" si="26"/>
        <v>0</v>
      </c>
      <c r="BM65" s="52" t="e">
        <f t="shared" si="27"/>
        <v>#DIV/0!</v>
      </c>
      <c r="BN65" s="53">
        <v>0</v>
      </c>
      <c r="BO65" s="38">
        <v>0</v>
      </c>
      <c r="BP65" s="38">
        <v>0</v>
      </c>
      <c r="BQ65" s="53">
        <f t="shared" si="28"/>
        <v>0</v>
      </c>
      <c r="BR65" s="53">
        <v>2450</v>
      </c>
      <c r="BS65" s="38">
        <v>0</v>
      </c>
      <c r="BT65" s="53">
        <f t="shared" si="29"/>
        <v>2450</v>
      </c>
      <c r="BU65" s="53">
        <f t="shared" si="30"/>
        <v>0</v>
      </c>
      <c r="BV65" s="53" t="e">
        <f t="shared" si="31"/>
        <v>#DIV/0!</v>
      </c>
      <c r="BW65" s="54">
        <v>0</v>
      </c>
      <c r="BX65" s="39">
        <v>0</v>
      </c>
      <c r="BY65" s="39">
        <v>0</v>
      </c>
      <c r="BZ65" s="54">
        <f t="shared" si="32"/>
        <v>0</v>
      </c>
      <c r="CA65" s="54">
        <v>750</v>
      </c>
      <c r="CB65" s="54">
        <v>0</v>
      </c>
      <c r="CC65" s="54">
        <f t="shared" si="33"/>
        <v>750</v>
      </c>
      <c r="CD65" s="54">
        <f t="shared" si="34"/>
        <v>0</v>
      </c>
      <c r="CE65" s="54" t="e">
        <f t="shared" si="35"/>
        <v>#DIV/0!</v>
      </c>
      <c r="CF65" s="55">
        <v>0</v>
      </c>
      <c r="CG65" s="55">
        <v>0</v>
      </c>
      <c r="CH65" s="55">
        <v>0</v>
      </c>
      <c r="CI65" s="55">
        <f t="shared" si="36"/>
        <v>0</v>
      </c>
      <c r="CJ65" s="55">
        <v>730</v>
      </c>
      <c r="CK65" s="55">
        <v>0</v>
      </c>
      <c r="CL65" s="55">
        <f t="shared" si="37"/>
        <v>730</v>
      </c>
      <c r="CM65" s="55">
        <f t="shared" si="38"/>
        <v>0</v>
      </c>
      <c r="CN65" s="55" t="e">
        <f t="shared" si="39"/>
        <v>#DIV/0!</v>
      </c>
      <c r="CO65" s="56">
        <v>0</v>
      </c>
      <c r="CP65" s="56">
        <v>0</v>
      </c>
      <c r="CQ65" s="56">
        <v>0</v>
      </c>
      <c r="CR65" s="56">
        <f t="shared" si="40"/>
        <v>0</v>
      </c>
      <c r="CS65" s="56">
        <v>730</v>
      </c>
      <c r="CT65" s="56">
        <v>0</v>
      </c>
      <c r="CU65" s="56">
        <f t="shared" si="41"/>
        <v>730</v>
      </c>
      <c r="CV65" s="56">
        <f t="shared" si="42"/>
        <v>0</v>
      </c>
      <c r="CW65" s="56" t="e">
        <f t="shared" si="43"/>
        <v>#DIV/0!</v>
      </c>
      <c r="CX65" s="57">
        <v>0</v>
      </c>
      <c r="CY65" s="57">
        <v>0</v>
      </c>
      <c r="CZ65" s="57">
        <v>0</v>
      </c>
      <c r="DA65" s="57">
        <f t="shared" si="44"/>
        <v>0</v>
      </c>
      <c r="DB65" s="57">
        <v>600</v>
      </c>
      <c r="DC65" s="57">
        <v>0</v>
      </c>
      <c r="DD65" s="57">
        <f t="shared" si="45"/>
        <v>600</v>
      </c>
      <c r="DE65" s="57">
        <f t="shared" si="46"/>
        <v>0</v>
      </c>
      <c r="DF65" s="57" t="e">
        <f t="shared" si="47"/>
        <v>#DIV/0!</v>
      </c>
    </row>
    <row r="66" spans="1:110" ht="14.25" customHeight="1">
      <c r="A66" s="43"/>
      <c r="B66" s="44"/>
      <c r="C66" s="45">
        <v>0</v>
      </c>
      <c r="D66" s="30">
        <v>0</v>
      </c>
      <c r="E66" s="30">
        <v>0</v>
      </c>
      <c r="F66" s="45">
        <f t="shared" si="0"/>
        <v>0</v>
      </c>
      <c r="G66" s="45">
        <v>900</v>
      </c>
      <c r="H66" s="30">
        <v>0</v>
      </c>
      <c r="I66" s="45">
        <f t="shared" si="1"/>
        <v>900</v>
      </c>
      <c r="J66" s="45">
        <f t="shared" si="2"/>
        <v>0</v>
      </c>
      <c r="K66" s="46" t="e">
        <f t="shared" si="3"/>
        <v>#DIV/0!</v>
      </c>
      <c r="L66" s="47">
        <v>0</v>
      </c>
      <c r="M66" s="32">
        <v>0</v>
      </c>
      <c r="N66" s="32">
        <v>0</v>
      </c>
      <c r="O66" s="47">
        <f t="shared" si="4"/>
        <v>0</v>
      </c>
      <c r="P66" s="47">
        <v>1800</v>
      </c>
      <c r="Q66" s="47">
        <v>0</v>
      </c>
      <c r="R66" s="47">
        <f t="shared" si="5"/>
        <v>1800</v>
      </c>
      <c r="S66" s="47">
        <f t="shared" si="6"/>
        <v>0</v>
      </c>
      <c r="T66" s="47" t="e">
        <f t="shared" si="7"/>
        <v>#DIV/0!</v>
      </c>
      <c r="U66" s="48">
        <v>0</v>
      </c>
      <c r="V66" s="48">
        <v>0</v>
      </c>
      <c r="W66" s="48">
        <v>0</v>
      </c>
      <c r="X66" s="48">
        <f t="shared" si="8"/>
        <v>0</v>
      </c>
      <c r="Y66" s="48">
        <v>910</v>
      </c>
      <c r="Z66" s="33">
        <v>0</v>
      </c>
      <c r="AA66" s="48">
        <f t="shared" si="9"/>
        <v>910</v>
      </c>
      <c r="AB66" s="48">
        <f t="shared" si="10"/>
        <v>0</v>
      </c>
      <c r="AC66" s="48" t="e">
        <f t="shared" si="11"/>
        <v>#DIV/0!</v>
      </c>
      <c r="AD66" s="49">
        <v>0</v>
      </c>
      <c r="AE66" s="49">
        <v>0</v>
      </c>
      <c r="AF66" s="49">
        <v>0</v>
      </c>
      <c r="AG66" s="49">
        <f t="shared" si="12"/>
        <v>0</v>
      </c>
      <c r="AH66" s="49">
        <v>1200</v>
      </c>
      <c r="AI66" s="49">
        <v>0</v>
      </c>
      <c r="AJ66" s="49">
        <f t="shared" si="13"/>
        <v>1200</v>
      </c>
      <c r="AK66" s="49">
        <f t="shared" si="14"/>
        <v>0</v>
      </c>
      <c r="AL66" s="49" t="e">
        <f t="shared" si="15"/>
        <v>#DIV/0!</v>
      </c>
      <c r="AM66" s="50">
        <v>0</v>
      </c>
      <c r="AN66" s="50">
        <v>0</v>
      </c>
      <c r="AO66" s="50">
        <v>0</v>
      </c>
      <c r="AP66" s="50">
        <f t="shared" si="16"/>
        <v>0</v>
      </c>
      <c r="AQ66" s="50">
        <v>600</v>
      </c>
      <c r="AR66" s="50">
        <v>0</v>
      </c>
      <c r="AS66" s="50">
        <f t="shared" si="17"/>
        <v>600</v>
      </c>
      <c r="AT66" s="50">
        <f t="shared" si="18"/>
        <v>0</v>
      </c>
      <c r="AU66" s="50" t="e">
        <f t="shared" si="19"/>
        <v>#DIV/0!</v>
      </c>
      <c r="AV66" s="51">
        <v>0</v>
      </c>
      <c r="AW66" s="36">
        <v>0</v>
      </c>
      <c r="AX66" s="36">
        <v>0</v>
      </c>
      <c r="AY66" s="51">
        <f t="shared" si="20"/>
        <v>0</v>
      </c>
      <c r="AZ66" s="51">
        <v>1500</v>
      </c>
      <c r="BA66" s="51">
        <v>0</v>
      </c>
      <c r="BB66" s="51">
        <f t="shared" si="21"/>
        <v>1500</v>
      </c>
      <c r="BC66" s="51">
        <f t="shared" si="22"/>
        <v>0</v>
      </c>
      <c r="BD66" s="51" t="e">
        <f t="shared" si="23"/>
        <v>#DIV/0!</v>
      </c>
      <c r="BE66" s="52">
        <v>0</v>
      </c>
      <c r="BF66" s="37">
        <v>0</v>
      </c>
      <c r="BG66" s="37">
        <v>0</v>
      </c>
      <c r="BH66" s="37">
        <f t="shared" si="24"/>
        <v>0</v>
      </c>
      <c r="BI66" s="52">
        <v>750</v>
      </c>
      <c r="BJ66" s="37">
        <v>0</v>
      </c>
      <c r="BK66" s="52">
        <f t="shared" si="25"/>
        <v>750</v>
      </c>
      <c r="BL66" s="52">
        <f t="shared" si="26"/>
        <v>0</v>
      </c>
      <c r="BM66" s="52" t="e">
        <f t="shared" si="27"/>
        <v>#DIV/0!</v>
      </c>
      <c r="BN66" s="53">
        <v>0</v>
      </c>
      <c r="BO66" s="38">
        <v>0</v>
      </c>
      <c r="BP66" s="38">
        <v>0</v>
      </c>
      <c r="BQ66" s="53">
        <f t="shared" si="28"/>
        <v>0</v>
      </c>
      <c r="BR66" s="53">
        <v>2450</v>
      </c>
      <c r="BS66" s="38">
        <v>0</v>
      </c>
      <c r="BT66" s="53">
        <f t="shared" si="29"/>
        <v>2450</v>
      </c>
      <c r="BU66" s="53">
        <f t="shared" si="30"/>
        <v>0</v>
      </c>
      <c r="BV66" s="53" t="e">
        <f t="shared" si="31"/>
        <v>#DIV/0!</v>
      </c>
      <c r="BW66" s="54">
        <v>0</v>
      </c>
      <c r="BX66" s="39">
        <v>0</v>
      </c>
      <c r="BY66" s="39">
        <v>0</v>
      </c>
      <c r="BZ66" s="54">
        <f t="shared" si="32"/>
        <v>0</v>
      </c>
      <c r="CA66" s="54">
        <v>750</v>
      </c>
      <c r="CB66" s="54">
        <v>0</v>
      </c>
      <c r="CC66" s="54">
        <f t="shared" si="33"/>
        <v>750</v>
      </c>
      <c r="CD66" s="54">
        <f t="shared" si="34"/>
        <v>0</v>
      </c>
      <c r="CE66" s="54" t="e">
        <f t="shared" si="35"/>
        <v>#DIV/0!</v>
      </c>
      <c r="CF66" s="55">
        <v>0</v>
      </c>
      <c r="CG66" s="55">
        <v>0</v>
      </c>
      <c r="CH66" s="55">
        <v>0</v>
      </c>
      <c r="CI66" s="55">
        <f t="shared" si="36"/>
        <v>0</v>
      </c>
      <c r="CJ66" s="55">
        <v>730</v>
      </c>
      <c r="CK66" s="55">
        <v>0</v>
      </c>
      <c r="CL66" s="55">
        <f t="shared" si="37"/>
        <v>730</v>
      </c>
      <c r="CM66" s="55">
        <f t="shared" si="38"/>
        <v>0</v>
      </c>
      <c r="CN66" s="55" t="e">
        <f t="shared" si="39"/>
        <v>#DIV/0!</v>
      </c>
      <c r="CO66" s="56">
        <v>0</v>
      </c>
      <c r="CP66" s="56">
        <v>0</v>
      </c>
      <c r="CQ66" s="56">
        <v>0</v>
      </c>
      <c r="CR66" s="56">
        <f t="shared" si="40"/>
        <v>0</v>
      </c>
      <c r="CS66" s="56">
        <v>730</v>
      </c>
      <c r="CT66" s="56">
        <v>0</v>
      </c>
      <c r="CU66" s="56">
        <f t="shared" si="41"/>
        <v>730</v>
      </c>
      <c r="CV66" s="56">
        <f t="shared" si="42"/>
        <v>0</v>
      </c>
      <c r="CW66" s="56" t="e">
        <f t="shared" si="43"/>
        <v>#DIV/0!</v>
      </c>
      <c r="CX66" s="57">
        <v>0</v>
      </c>
      <c r="CY66" s="57">
        <v>0</v>
      </c>
      <c r="CZ66" s="57">
        <v>0</v>
      </c>
      <c r="DA66" s="57">
        <f t="shared" si="44"/>
        <v>0</v>
      </c>
      <c r="DB66" s="57">
        <v>600</v>
      </c>
      <c r="DC66" s="57">
        <v>0</v>
      </c>
      <c r="DD66" s="57">
        <f t="shared" si="45"/>
        <v>600</v>
      </c>
      <c r="DE66" s="57">
        <f t="shared" si="46"/>
        <v>0</v>
      </c>
      <c r="DF66" s="57" t="e">
        <f t="shared" si="47"/>
        <v>#DIV/0!</v>
      </c>
    </row>
    <row r="67" spans="1:110" ht="14.25" customHeight="1">
      <c r="A67" s="43"/>
      <c r="B67" s="44"/>
      <c r="C67" s="45">
        <v>0</v>
      </c>
      <c r="D67" s="30">
        <v>0</v>
      </c>
      <c r="E67" s="30">
        <v>0</v>
      </c>
      <c r="F67" s="45">
        <f t="shared" si="0"/>
        <v>0</v>
      </c>
      <c r="G67" s="45">
        <v>900</v>
      </c>
      <c r="H67" s="30">
        <v>0</v>
      </c>
      <c r="I67" s="45">
        <f t="shared" si="1"/>
        <v>900</v>
      </c>
      <c r="J67" s="45">
        <f t="shared" si="2"/>
        <v>0</v>
      </c>
      <c r="K67" s="46" t="e">
        <f t="shared" si="3"/>
        <v>#DIV/0!</v>
      </c>
      <c r="L67" s="47">
        <v>0</v>
      </c>
      <c r="M67" s="32">
        <v>0</v>
      </c>
      <c r="N67" s="32">
        <v>0</v>
      </c>
      <c r="O67" s="47">
        <f t="shared" si="4"/>
        <v>0</v>
      </c>
      <c r="P67" s="47">
        <v>1800</v>
      </c>
      <c r="Q67" s="47">
        <v>0</v>
      </c>
      <c r="R67" s="47">
        <f t="shared" si="5"/>
        <v>1800</v>
      </c>
      <c r="S67" s="47">
        <f t="shared" si="6"/>
        <v>0</v>
      </c>
      <c r="T67" s="47" t="e">
        <f t="shared" si="7"/>
        <v>#DIV/0!</v>
      </c>
      <c r="U67" s="48">
        <v>0</v>
      </c>
      <c r="V67" s="48">
        <v>0</v>
      </c>
      <c r="W67" s="48">
        <v>0</v>
      </c>
      <c r="X67" s="48">
        <f t="shared" si="8"/>
        <v>0</v>
      </c>
      <c r="Y67" s="48">
        <v>910</v>
      </c>
      <c r="Z67" s="33">
        <v>0</v>
      </c>
      <c r="AA67" s="48">
        <f t="shared" si="9"/>
        <v>910</v>
      </c>
      <c r="AB67" s="48">
        <f t="shared" si="10"/>
        <v>0</v>
      </c>
      <c r="AC67" s="48" t="e">
        <f t="shared" si="11"/>
        <v>#DIV/0!</v>
      </c>
      <c r="AD67" s="49">
        <v>0</v>
      </c>
      <c r="AE67" s="49">
        <v>0</v>
      </c>
      <c r="AF67" s="49">
        <v>0</v>
      </c>
      <c r="AG67" s="49">
        <f t="shared" si="12"/>
        <v>0</v>
      </c>
      <c r="AH67" s="49">
        <v>1200</v>
      </c>
      <c r="AI67" s="49">
        <v>0</v>
      </c>
      <c r="AJ67" s="49">
        <f t="shared" si="13"/>
        <v>1200</v>
      </c>
      <c r="AK67" s="49">
        <f t="shared" si="14"/>
        <v>0</v>
      </c>
      <c r="AL67" s="49" t="e">
        <f t="shared" si="15"/>
        <v>#DIV/0!</v>
      </c>
      <c r="AM67" s="50">
        <v>0</v>
      </c>
      <c r="AN67" s="50">
        <v>0</v>
      </c>
      <c r="AO67" s="50">
        <v>0</v>
      </c>
      <c r="AP67" s="50">
        <f t="shared" si="16"/>
        <v>0</v>
      </c>
      <c r="AQ67" s="50">
        <v>600</v>
      </c>
      <c r="AR67" s="50">
        <v>0</v>
      </c>
      <c r="AS67" s="50">
        <f t="shared" si="17"/>
        <v>600</v>
      </c>
      <c r="AT67" s="50">
        <f t="shared" si="18"/>
        <v>0</v>
      </c>
      <c r="AU67" s="50" t="e">
        <f t="shared" si="19"/>
        <v>#DIV/0!</v>
      </c>
      <c r="AV67" s="51">
        <v>0</v>
      </c>
      <c r="AW67" s="36">
        <v>0</v>
      </c>
      <c r="AX67" s="36">
        <v>0</v>
      </c>
      <c r="AY67" s="51">
        <f t="shared" si="20"/>
        <v>0</v>
      </c>
      <c r="AZ67" s="51">
        <v>1500</v>
      </c>
      <c r="BA67" s="51">
        <v>0</v>
      </c>
      <c r="BB67" s="51">
        <f t="shared" si="21"/>
        <v>1500</v>
      </c>
      <c r="BC67" s="51">
        <f t="shared" si="22"/>
        <v>0</v>
      </c>
      <c r="BD67" s="51" t="e">
        <f t="shared" si="23"/>
        <v>#DIV/0!</v>
      </c>
      <c r="BE67" s="52">
        <v>0</v>
      </c>
      <c r="BF67" s="37">
        <v>0</v>
      </c>
      <c r="BG67" s="37">
        <v>0</v>
      </c>
      <c r="BH67" s="37">
        <f t="shared" si="24"/>
        <v>0</v>
      </c>
      <c r="BI67" s="52">
        <v>750</v>
      </c>
      <c r="BJ67" s="37">
        <v>0</v>
      </c>
      <c r="BK67" s="52">
        <f t="shared" si="25"/>
        <v>750</v>
      </c>
      <c r="BL67" s="52">
        <f t="shared" si="26"/>
        <v>0</v>
      </c>
      <c r="BM67" s="52" t="e">
        <f t="shared" si="27"/>
        <v>#DIV/0!</v>
      </c>
      <c r="BN67" s="53">
        <v>0</v>
      </c>
      <c r="BO67" s="38">
        <v>0</v>
      </c>
      <c r="BP67" s="38">
        <v>0</v>
      </c>
      <c r="BQ67" s="53">
        <f t="shared" si="28"/>
        <v>0</v>
      </c>
      <c r="BR67" s="53">
        <v>2450</v>
      </c>
      <c r="BS67" s="38">
        <v>0</v>
      </c>
      <c r="BT67" s="53">
        <f t="shared" si="29"/>
        <v>2450</v>
      </c>
      <c r="BU67" s="53">
        <f t="shared" si="30"/>
        <v>0</v>
      </c>
      <c r="BV67" s="53" t="e">
        <f t="shared" si="31"/>
        <v>#DIV/0!</v>
      </c>
      <c r="BW67" s="54">
        <v>0</v>
      </c>
      <c r="BX67" s="39">
        <v>0</v>
      </c>
      <c r="BY67" s="39">
        <v>0</v>
      </c>
      <c r="BZ67" s="54">
        <f t="shared" si="32"/>
        <v>0</v>
      </c>
      <c r="CA67" s="54">
        <v>750</v>
      </c>
      <c r="CB67" s="54">
        <v>0</v>
      </c>
      <c r="CC67" s="54">
        <f t="shared" si="33"/>
        <v>750</v>
      </c>
      <c r="CD67" s="54">
        <f t="shared" si="34"/>
        <v>0</v>
      </c>
      <c r="CE67" s="54" t="e">
        <f t="shared" si="35"/>
        <v>#DIV/0!</v>
      </c>
      <c r="CF67" s="55">
        <v>0</v>
      </c>
      <c r="CG67" s="55">
        <v>0</v>
      </c>
      <c r="CH67" s="55">
        <v>0</v>
      </c>
      <c r="CI67" s="55">
        <f t="shared" si="36"/>
        <v>0</v>
      </c>
      <c r="CJ67" s="55">
        <v>730</v>
      </c>
      <c r="CK67" s="55">
        <v>0</v>
      </c>
      <c r="CL67" s="55">
        <f t="shared" si="37"/>
        <v>730</v>
      </c>
      <c r="CM67" s="55">
        <f t="shared" si="38"/>
        <v>0</v>
      </c>
      <c r="CN67" s="55" t="e">
        <f t="shared" si="39"/>
        <v>#DIV/0!</v>
      </c>
      <c r="CO67" s="56">
        <v>0</v>
      </c>
      <c r="CP67" s="56">
        <v>0</v>
      </c>
      <c r="CQ67" s="56">
        <v>0</v>
      </c>
      <c r="CR67" s="56">
        <f t="shared" si="40"/>
        <v>0</v>
      </c>
      <c r="CS67" s="56">
        <v>730</v>
      </c>
      <c r="CT67" s="56">
        <v>0</v>
      </c>
      <c r="CU67" s="56">
        <f t="shared" si="41"/>
        <v>730</v>
      </c>
      <c r="CV67" s="56">
        <f t="shared" si="42"/>
        <v>0</v>
      </c>
      <c r="CW67" s="56" t="e">
        <f t="shared" si="43"/>
        <v>#DIV/0!</v>
      </c>
      <c r="CX67" s="57">
        <v>0</v>
      </c>
      <c r="CY67" s="57">
        <v>0</v>
      </c>
      <c r="CZ67" s="57">
        <v>0</v>
      </c>
      <c r="DA67" s="57">
        <f t="shared" si="44"/>
        <v>0</v>
      </c>
      <c r="DB67" s="57">
        <v>600</v>
      </c>
      <c r="DC67" s="57">
        <v>0</v>
      </c>
      <c r="DD67" s="57">
        <f t="shared" si="45"/>
        <v>600</v>
      </c>
      <c r="DE67" s="57">
        <f t="shared" si="46"/>
        <v>0</v>
      </c>
      <c r="DF67" s="57" t="e">
        <f t="shared" si="47"/>
        <v>#DIV/0!</v>
      </c>
    </row>
    <row r="68" spans="1:110" ht="14.25" customHeight="1">
      <c r="A68" s="43"/>
      <c r="B68" s="44"/>
      <c r="C68" s="45">
        <v>0</v>
      </c>
      <c r="D68" s="30">
        <v>0</v>
      </c>
      <c r="E68" s="30">
        <v>0</v>
      </c>
      <c r="F68" s="45">
        <f t="shared" si="0"/>
        <v>0</v>
      </c>
      <c r="G68" s="45">
        <v>900</v>
      </c>
      <c r="H68" s="30">
        <v>0</v>
      </c>
      <c r="I68" s="45">
        <f t="shared" si="1"/>
        <v>900</v>
      </c>
      <c r="J68" s="45">
        <f t="shared" si="2"/>
        <v>0</v>
      </c>
      <c r="K68" s="46" t="e">
        <f t="shared" si="3"/>
        <v>#DIV/0!</v>
      </c>
      <c r="L68" s="47">
        <v>0</v>
      </c>
      <c r="M68" s="32">
        <v>0</v>
      </c>
      <c r="N68" s="32">
        <v>0</v>
      </c>
      <c r="O68" s="47">
        <f t="shared" si="4"/>
        <v>0</v>
      </c>
      <c r="P68" s="47">
        <v>1800</v>
      </c>
      <c r="Q68" s="47">
        <v>0</v>
      </c>
      <c r="R68" s="47">
        <f t="shared" si="5"/>
        <v>1800</v>
      </c>
      <c r="S68" s="47">
        <f t="shared" si="6"/>
        <v>0</v>
      </c>
      <c r="T68" s="47" t="e">
        <f t="shared" si="7"/>
        <v>#DIV/0!</v>
      </c>
      <c r="U68" s="48">
        <v>0</v>
      </c>
      <c r="V68" s="48">
        <v>0</v>
      </c>
      <c r="W68" s="48">
        <v>0</v>
      </c>
      <c r="X68" s="48">
        <f t="shared" si="8"/>
        <v>0</v>
      </c>
      <c r="Y68" s="48">
        <v>910</v>
      </c>
      <c r="Z68" s="33">
        <v>0</v>
      </c>
      <c r="AA68" s="48">
        <f t="shared" si="9"/>
        <v>910</v>
      </c>
      <c r="AB68" s="48">
        <f t="shared" si="10"/>
        <v>0</v>
      </c>
      <c r="AC68" s="48" t="e">
        <f t="shared" si="11"/>
        <v>#DIV/0!</v>
      </c>
      <c r="AD68" s="49">
        <v>0</v>
      </c>
      <c r="AE68" s="49">
        <v>0</v>
      </c>
      <c r="AF68" s="49">
        <v>0</v>
      </c>
      <c r="AG68" s="49">
        <f t="shared" si="12"/>
        <v>0</v>
      </c>
      <c r="AH68" s="49">
        <v>1200</v>
      </c>
      <c r="AI68" s="49">
        <v>0</v>
      </c>
      <c r="AJ68" s="49">
        <f t="shared" si="13"/>
        <v>1200</v>
      </c>
      <c r="AK68" s="49">
        <f t="shared" si="14"/>
        <v>0</v>
      </c>
      <c r="AL68" s="49" t="e">
        <f t="shared" si="15"/>
        <v>#DIV/0!</v>
      </c>
      <c r="AM68" s="50">
        <v>0</v>
      </c>
      <c r="AN68" s="50">
        <v>0</v>
      </c>
      <c r="AO68" s="50">
        <v>0</v>
      </c>
      <c r="AP68" s="50">
        <f t="shared" si="16"/>
        <v>0</v>
      </c>
      <c r="AQ68" s="50">
        <v>600</v>
      </c>
      <c r="AR68" s="50">
        <v>0</v>
      </c>
      <c r="AS68" s="50">
        <f t="shared" si="17"/>
        <v>600</v>
      </c>
      <c r="AT68" s="50">
        <f t="shared" si="18"/>
        <v>0</v>
      </c>
      <c r="AU68" s="50" t="e">
        <f t="shared" si="19"/>
        <v>#DIV/0!</v>
      </c>
      <c r="AV68" s="51">
        <v>0</v>
      </c>
      <c r="AW68" s="36">
        <v>0</v>
      </c>
      <c r="AX68" s="36">
        <v>0</v>
      </c>
      <c r="AY68" s="51">
        <f t="shared" si="20"/>
        <v>0</v>
      </c>
      <c r="AZ68" s="51">
        <v>1500</v>
      </c>
      <c r="BA68" s="51">
        <v>0</v>
      </c>
      <c r="BB68" s="51">
        <f t="shared" si="21"/>
        <v>1500</v>
      </c>
      <c r="BC68" s="51">
        <f t="shared" si="22"/>
        <v>0</v>
      </c>
      <c r="BD68" s="51" t="e">
        <f t="shared" si="23"/>
        <v>#DIV/0!</v>
      </c>
      <c r="BE68" s="52">
        <v>0</v>
      </c>
      <c r="BF68" s="37">
        <v>0</v>
      </c>
      <c r="BG68" s="37">
        <v>0</v>
      </c>
      <c r="BH68" s="37">
        <f t="shared" si="24"/>
        <v>0</v>
      </c>
      <c r="BI68" s="52">
        <v>750</v>
      </c>
      <c r="BJ68" s="37">
        <v>0</v>
      </c>
      <c r="BK68" s="52">
        <f t="shared" si="25"/>
        <v>750</v>
      </c>
      <c r="BL68" s="52">
        <f t="shared" si="26"/>
        <v>0</v>
      </c>
      <c r="BM68" s="52" t="e">
        <f t="shared" si="27"/>
        <v>#DIV/0!</v>
      </c>
      <c r="BN68" s="53">
        <v>0</v>
      </c>
      <c r="BO68" s="38">
        <v>0</v>
      </c>
      <c r="BP68" s="38">
        <v>0</v>
      </c>
      <c r="BQ68" s="53">
        <f t="shared" si="28"/>
        <v>0</v>
      </c>
      <c r="BR68" s="53">
        <v>2450</v>
      </c>
      <c r="BS68" s="38">
        <v>0</v>
      </c>
      <c r="BT68" s="53">
        <f t="shared" si="29"/>
        <v>2450</v>
      </c>
      <c r="BU68" s="53">
        <f t="shared" si="30"/>
        <v>0</v>
      </c>
      <c r="BV68" s="53" t="e">
        <f t="shared" si="31"/>
        <v>#DIV/0!</v>
      </c>
      <c r="BW68" s="54">
        <v>0</v>
      </c>
      <c r="BX68" s="39">
        <v>0</v>
      </c>
      <c r="BY68" s="39">
        <v>0</v>
      </c>
      <c r="BZ68" s="54">
        <f t="shared" si="32"/>
        <v>0</v>
      </c>
      <c r="CA68" s="54">
        <v>750</v>
      </c>
      <c r="CB68" s="54">
        <v>0</v>
      </c>
      <c r="CC68" s="54">
        <f t="shared" si="33"/>
        <v>750</v>
      </c>
      <c r="CD68" s="54">
        <f t="shared" si="34"/>
        <v>0</v>
      </c>
      <c r="CE68" s="54" t="e">
        <f t="shared" si="35"/>
        <v>#DIV/0!</v>
      </c>
      <c r="CF68" s="55">
        <v>0</v>
      </c>
      <c r="CG68" s="55">
        <v>0</v>
      </c>
      <c r="CH68" s="55">
        <v>0</v>
      </c>
      <c r="CI68" s="55">
        <f t="shared" si="36"/>
        <v>0</v>
      </c>
      <c r="CJ68" s="55">
        <v>730</v>
      </c>
      <c r="CK68" s="55">
        <v>0</v>
      </c>
      <c r="CL68" s="55">
        <f t="shared" si="37"/>
        <v>730</v>
      </c>
      <c r="CM68" s="55">
        <f t="shared" si="38"/>
        <v>0</v>
      </c>
      <c r="CN68" s="55" t="e">
        <f t="shared" si="39"/>
        <v>#DIV/0!</v>
      </c>
      <c r="CO68" s="56">
        <v>0</v>
      </c>
      <c r="CP68" s="56">
        <v>0</v>
      </c>
      <c r="CQ68" s="56">
        <v>0</v>
      </c>
      <c r="CR68" s="56">
        <f t="shared" si="40"/>
        <v>0</v>
      </c>
      <c r="CS68" s="56">
        <v>730</v>
      </c>
      <c r="CT68" s="56">
        <v>0</v>
      </c>
      <c r="CU68" s="56">
        <f t="shared" si="41"/>
        <v>730</v>
      </c>
      <c r="CV68" s="56">
        <f t="shared" si="42"/>
        <v>0</v>
      </c>
      <c r="CW68" s="56" t="e">
        <f t="shared" si="43"/>
        <v>#DIV/0!</v>
      </c>
      <c r="CX68" s="57">
        <v>0</v>
      </c>
      <c r="CY68" s="57">
        <v>0</v>
      </c>
      <c r="CZ68" s="57">
        <v>0</v>
      </c>
      <c r="DA68" s="57">
        <f t="shared" si="44"/>
        <v>0</v>
      </c>
      <c r="DB68" s="57">
        <v>600</v>
      </c>
      <c r="DC68" s="57">
        <v>0</v>
      </c>
      <c r="DD68" s="57">
        <f t="shared" si="45"/>
        <v>600</v>
      </c>
      <c r="DE68" s="57">
        <f t="shared" si="46"/>
        <v>0</v>
      </c>
      <c r="DF68" s="57" t="e">
        <f t="shared" si="47"/>
        <v>#DIV/0!</v>
      </c>
    </row>
    <row r="69" spans="1:110" ht="14.25" customHeight="1">
      <c r="A69" s="43"/>
      <c r="B69" s="44"/>
      <c r="C69" s="45">
        <v>0</v>
      </c>
      <c r="D69" s="30">
        <v>0</v>
      </c>
      <c r="E69" s="30">
        <v>0</v>
      </c>
      <c r="F69" s="45">
        <f t="shared" si="0"/>
        <v>0</v>
      </c>
      <c r="G69" s="45">
        <v>900</v>
      </c>
      <c r="H69" s="30">
        <v>0</v>
      </c>
      <c r="I69" s="45">
        <f t="shared" si="1"/>
        <v>900</v>
      </c>
      <c r="J69" s="45">
        <f t="shared" si="2"/>
        <v>0</v>
      </c>
      <c r="K69" s="46" t="e">
        <f t="shared" si="3"/>
        <v>#DIV/0!</v>
      </c>
      <c r="L69" s="47">
        <v>0</v>
      </c>
      <c r="M69" s="32">
        <v>0</v>
      </c>
      <c r="N69" s="32">
        <v>0</v>
      </c>
      <c r="O69" s="47">
        <f t="shared" si="4"/>
        <v>0</v>
      </c>
      <c r="P69" s="47">
        <v>1800</v>
      </c>
      <c r="Q69" s="47">
        <v>0</v>
      </c>
      <c r="R69" s="47">
        <f t="shared" si="5"/>
        <v>1800</v>
      </c>
      <c r="S69" s="47">
        <f t="shared" si="6"/>
        <v>0</v>
      </c>
      <c r="T69" s="47" t="e">
        <f t="shared" si="7"/>
        <v>#DIV/0!</v>
      </c>
      <c r="U69" s="48">
        <v>0</v>
      </c>
      <c r="V69" s="48">
        <v>0</v>
      </c>
      <c r="W69" s="48">
        <v>0</v>
      </c>
      <c r="X69" s="48">
        <f t="shared" si="8"/>
        <v>0</v>
      </c>
      <c r="Y69" s="48">
        <v>910</v>
      </c>
      <c r="Z69" s="33">
        <v>0</v>
      </c>
      <c r="AA69" s="48">
        <f t="shared" si="9"/>
        <v>910</v>
      </c>
      <c r="AB69" s="48">
        <f t="shared" si="10"/>
        <v>0</v>
      </c>
      <c r="AC69" s="48" t="e">
        <f t="shared" si="11"/>
        <v>#DIV/0!</v>
      </c>
      <c r="AD69" s="49">
        <v>0</v>
      </c>
      <c r="AE69" s="49">
        <v>0</v>
      </c>
      <c r="AF69" s="49">
        <v>0</v>
      </c>
      <c r="AG69" s="49">
        <f t="shared" si="12"/>
        <v>0</v>
      </c>
      <c r="AH69" s="49">
        <v>1200</v>
      </c>
      <c r="AI69" s="49">
        <v>0</v>
      </c>
      <c r="AJ69" s="49">
        <f t="shared" si="13"/>
        <v>1200</v>
      </c>
      <c r="AK69" s="49">
        <f t="shared" si="14"/>
        <v>0</v>
      </c>
      <c r="AL69" s="49" t="e">
        <f t="shared" si="15"/>
        <v>#DIV/0!</v>
      </c>
      <c r="AM69" s="50">
        <v>0</v>
      </c>
      <c r="AN69" s="50">
        <v>0</v>
      </c>
      <c r="AO69" s="50">
        <v>0</v>
      </c>
      <c r="AP69" s="50">
        <f t="shared" si="16"/>
        <v>0</v>
      </c>
      <c r="AQ69" s="50">
        <v>600</v>
      </c>
      <c r="AR69" s="50">
        <v>0</v>
      </c>
      <c r="AS69" s="50">
        <f t="shared" si="17"/>
        <v>600</v>
      </c>
      <c r="AT69" s="50">
        <f t="shared" si="18"/>
        <v>0</v>
      </c>
      <c r="AU69" s="50" t="e">
        <f t="shared" si="19"/>
        <v>#DIV/0!</v>
      </c>
      <c r="AV69" s="51">
        <v>0</v>
      </c>
      <c r="AW69" s="36">
        <v>0</v>
      </c>
      <c r="AX69" s="36">
        <v>0</v>
      </c>
      <c r="AY69" s="51">
        <f t="shared" si="20"/>
        <v>0</v>
      </c>
      <c r="AZ69" s="51">
        <v>1500</v>
      </c>
      <c r="BA69" s="51">
        <v>0</v>
      </c>
      <c r="BB69" s="51">
        <f t="shared" si="21"/>
        <v>1500</v>
      </c>
      <c r="BC69" s="51">
        <f t="shared" si="22"/>
        <v>0</v>
      </c>
      <c r="BD69" s="51" t="e">
        <f t="shared" si="23"/>
        <v>#DIV/0!</v>
      </c>
      <c r="BE69" s="52">
        <v>0</v>
      </c>
      <c r="BF69" s="37">
        <v>0</v>
      </c>
      <c r="BG69" s="37">
        <v>0</v>
      </c>
      <c r="BH69" s="37">
        <f t="shared" si="24"/>
        <v>0</v>
      </c>
      <c r="BI69" s="52">
        <v>750</v>
      </c>
      <c r="BJ69" s="37">
        <v>0</v>
      </c>
      <c r="BK69" s="52">
        <f t="shared" si="25"/>
        <v>750</v>
      </c>
      <c r="BL69" s="52">
        <f t="shared" si="26"/>
        <v>0</v>
      </c>
      <c r="BM69" s="52" t="e">
        <f t="shared" si="27"/>
        <v>#DIV/0!</v>
      </c>
      <c r="BN69" s="53">
        <v>0</v>
      </c>
      <c r="BO69" s="38">
        <v>0</v>
      </c>
      <c r="BP69" s="38">
        <v>0</v>
      </c>
      <c r="BQ69" s="53">
        <f t="shared" si="28"/>
        <v>0</v>
      </c>
      <c r="BR69" s="53">
        <v>2450</v>
      </c>
      <c r="BS69" s="38">
        <v>0</v>
      </c>
      <c r="BT69" s="53">
        <f t="shared" si="29"/>
        <v>2450</v>
      </c>
      <c r="BU69" s="53">
        <f t="shared" si="30"/>
        <v>0</v>
      </c>
      <c r="BV69" s="53" t="e">
        <f t="shared" si="31"/>
        <v>#DIV/0!</v>
      </c>
      <c r="BW69" s="54">
        <v>0</v>
      </c>
      <c r="BX69" s="39">
        <v>0</v>
      </c>
      <c r="BY69" s="39">
        <v>0</v>
      </c>
      <c r="BZ69" s="54">
        <f t="shared" si="32"/>
        <v>0</v>
      </c>
      <c r="CA69" s="54">
        <v>750</v>
      </c>
      <c r="CB69" s="54">
        <v>0</v>
      </c>
      <c r="CC69" s="54">
        <f t="shared" si="33"/>
        <v>750</v>
      </c>
      <c r="CD69" s="54">
        <f t="shared" si="34"/>
        <v>0</v>
      </c>
      <c r="CE69" s="54" t="e">
        <f t="shared" si="35"/>
        <v>#DIV/0!</v>
      </c>
      <c r="CF69" s="55">
        <v>0</v>
      </c>
      <c r="CG69" s="55">
        <v>0</v>
      </c>
      <c r="CH69" s="55">
        <v>0</v>
      </c>
      <c r="CI69" s="55">
        <f t="shared" si="36"/>
        <v>0</v>
      </c>
      <c r="CJ69" s="55">
        <v>730</v>
      </c>
      <c r="CK69" s="55">
        <v>0</v>
      </c>
      <c r="CL69" s="55">
        <f t="shared" si="37"/>
        <v>730</v>
      </c>
      <c r="CM69" s="55">
        <f t="shared" si="38"/>
        <v>0</v>
      </c>
      <c r="CN69" s="55" t="e">
        <f t="shared" si="39"/>
        <v>#DIV/0!</v>
      </c>
      <c r="CO69" s="56">
        <v>0</v>
      </c>
      <c r="CP69" s="56">
        <v>0</v>
      </c>
      <c r="CQ69" s="56">
        <v>0</v>
      </c>
      <c r="CR69" s="56">
        <f t="shared" si="40"/>
        <v>0</v>
      </c>
      <c r="CS69" s="56">
        <v>730</v>
      </c>
      <c r="CT69" s="56">
        <v>0</v>
      </c>
      <c r="CU69" s="56">
        <f t="shared" si="41"/>
        <v>730</v>
      </c>
      <c r="CV69" s="56">
        <f t="shared" si="42"/>
        <v>0</v>
      </c>
      <c r="CW69" s="56" t="e">
        <f t="shared" si="43"/>
        <v>#DIV/0!</v>
      </c>
      <c r="CX69" s="57">
        <v>0</v>
      </c>
      <c r="CY69" s="57">
        <v>0</v>
      </c>
      <c r="CZ69" s="57">
        <v>0</v>
      </c>
      <c r="DA69" s="57">
        <f t="shared" si="44"/>
        <v>0</v>
      </c>
      <c r="DB69" s="57">
        <v>600</v>
      </c>
      <c r="DC69" s="57">
        <v>0</v>
      </c>
      <c r="DD69" s="57">
        <f t="shared" si="45"/>
        <v>600</v>
      </c>
      <c r="DE69" s="57">
        <f t="shared" si="46"/>
        <v>0</v>
      </c>
      <c r="DF69" s="57" t="e">
        <f t="shared" si="47"/>
        <v>#DIV/0!</v>
      </c>
    </row>
    <row r="70" spans="1:110" ht="14.25" customHeight="1">
      <c r="A70" s="43"/>
      <c r="B70" s="44"/>
      <c r="C70" s="45">
        <v>0</v>
      </c>
      <c r="D70" s="30">
        <v>0</v>
      </c>
      <c r="E70" s="30">
        <v>0</v>
      </c>
      <c r="F70" s="45">
        <f t="shared" si="0"/>
        <v>0</v>
      </c>
      <c r="G70" s="45">
        <v>900</v>
      </c>
      <c r="H70" s="30">
        <v>0</v>
      </c>
      <c r="I70" s="45">
        <f t="shared" si="1"/>
        <v>900</v>
      </c>
      <c r="J70" s="45">
        <f t="shared" si="2"/>
        <v>0</v>
      </c>
      <c r="K70" s="46" t="e">
        <f t="shared" si="3"/>
        <v>#DIV/0!</v>
      </c>
      <c r="L70" s="47">
        <v>0</v>
      </c>
      <c r="M70" s="32">
        <v>0</v>
      </c>
      <c r="N70" s="32">
        <v>0</v>
      </c>
      <c r="O70" s="47">
        <f t="shared" si="4"/>
        <v>0</v>
      </c>
      <c r="P70" s="47">
        <v>1800</v>
      </c>
      <c r="Q70" s="47">
        <v>0</v>
      </c>
      <c r="R70" s="47">
        <f t="shared" si="5"/>
        <v>1800</v>
      </c>
      <c r="S70" s="47">
        <f t="shared" si="6"/>
        <v>0</v>
      </c>
      <c r="T70" s="47" t="e">
        <f t="shared" si="7"/>
        <v>#DIV/0!</v>
      </c>
      <c r="U70" s="48">
        <v>0</v>
      </c>
      <c r="V70" s="48">
        <v>0</v>
      </c>
      <c r="W70" s="48">
        <v>0</v>
      </c>
      <c r="X70" s="48">
        <f t="shared" si="8"/>
        <v>0</v>
      </c>
      <c r="Y70" s="48">
        <v>910</v>
      </c>
      <c r="Z70" s="33">
        <v>0</v>
      </c>
      <c r="AA70" s="48">
        <f t="shared" si="9"/>
        <v>910</v>
      </c>
      <c r="AB70" s="48">
        <f t="shared" si="10"/>
        <v>0</v>
      </c>
      <c r="AC70" s="48" t="e">
        <f t="shared" si="11"/>
        <v>#DIV/0!</v>
      </c>
      <c r="AD70" s="49">
        <v>0</v>
      </c>
      <c r="AE70" s="49">
        <v>0</v>
      </c>
      <c r="AF70" s="49">
        <v>0</v>
      </c>
      <c r="AG70" s="49">
        <f t="shared" si="12"/>
        <v>0</v>
      </c>
      <c r="AH70" s="49">
        <v>1200</v>
      </c>
      <c r="AI70" s="49">
        <v>0</v>
      </c>
      <c r="AJ70" s="49">
        <f t="shared" si="13"/>
        <v>1200</v>
      </c>
      <c r="AK70" s="49">
        <f t="shared" si="14"/>
        <v>0</v>
      </c>
      <c r="AL70" s="49" t="e">
        <f t="shared" si="15"/>
        <v>#DIV/0!</v>
      </c>
      <c r="AM70" s="50">
        <v>0</v>
      </c>
      <c r="AN70" s="50">
        <v>0</v>
      </c>
      <c r="AO70" s="50">
        <v>0</v>
      </c>
      <c r="AP70" s="50">
        <f t="shared" si="16"/>
        <v>0</v>
      </c>
      <c r="AQ70" s="50">
        <v>600</v>
      </c>
      <c r="AR70" s="50">
        <v>0</v>
      </c>
      <c r="AS70" s="50">
        <f t="shared" si="17"/>
        <v>600</v>
      </c>
      <c r="AT70" s="50">
        <f t="shared" si="18"/>
        <v>0</v>
      </c>
      <c r="AU70" s="50" t="e">
        <f t="shared" si="19"/>
        <v>#DIV/0!</v>
      </c>
      <c r="AV70" s="51">
        <v>0</v>
      </c>
      <c r="AW70" s="36">
        <v>0</v>
      </c>
      <c r="AX70" s="36">
        <v>0</v>
      </c>
      <c r="AY70" s="51">
        <f t="shared" si="20"/>
        <v>0</v>
      </c>
      <c r="AZ70" s="51">
        <v>1500</v>
      </c>
      <c r="BA70" s="51">
        <v>0</v>
      </c>
      <c r="BB70" s="51">
        <f t="shared" si="21"/>
        <v>1500</v>
      </c>
      <c r="BC70" s="51">
        <f t="shared" si="22"/>
        <v>0</v>
      </c>
      <c r="BD70" s="51" t="e">
        <f t="shared" si="23"/>
        <v>#DIV/0!</v>
      </c>
      <c r="BE70" s="52">
        <v>0</v>
      </c>
      <c r="BF70" s="37">
        <v>0</v>
      </c>
      <c r="BG70" s="37">
        <v>0</v>
      </c>
      <c r="BH70" s="37">
        <f t="shared" si="24"/>
        <v>0</v>
      </c>
      <c r="BI70" s="52">
        <v>750</v>
      </c>
      <c r="BJ70" s="37">
        <v>0</v>
      </c>
      <c r="BK70" s="52">
        <f t="shared" si="25"/>
        <v>750</v>
      </c>
      <c r="BL70" s="52">
        <f t="shared" si="26"/>
        <v>0</v>
      </c>
      <c r="BM70" s="52" t="e">
        <f t="shared" si="27"/>
        <v>#DIV/0!</v>
      </c>
      <c r="BN70" s="53">
        <v>0</v>
      </c>
      <c r="BO70" s="38">
        <v>0</v>
      </c>
      <c r="BP70" s="38">
        <v>0</v>
      </c>
      <c r="BQ70" s="53">
        <f t="shared" si="28"/>
        <v>0</v>
      </c>
      <c r="BR70" s="53">
        <v>2450</v>
      </c>
      <c r="BS70" s="38">
        <v>0</v>
      </c>
      <c r="BT70" s="53">
        <f t="shared" si="29"/>
        <v>2450</v>
      </c>
      <c r="BU70" s="53">
        <f t="shared" si="30"/>
        <v>0</v>
      </c>
      <c r="BV70" s="53" t="e">
        <f t="shared" si="31"/>
        <v>#DIV/0!</v>
      </c>
      <c r="BW70" s="54">
        <v>0</v>
      </c>
      <c r="BX70" s="39">
        <v>0</v>
      </c>
      <c r="BY70" s="39">
        <v>0</v>
      </c>
      <c r="BZ70" s="54">
        <f t="shared" si="32"/>
        <v>0</v>
      </c>
      <c r="CA70" s="54">
        <v>750</v>
      </c>
      <c r="CB70" s="54">
        <v>0</v>
      </c>
      <c r="CC70" s="54">
        <f t="shared" si="33"/>
        <v>750</v>
      </c>
      <c r="CD70" s="54">
        <f t="shared" si="34"/>
        <v>0</v>
      </c>
      <c r="CE70" s="54" t="e">
        <f t="shared" si="35"/>
        <v>#DIV/0!</v>
      </c>
      <c r="CF70" s="55">
        <v>0</v>
      </c>
      <c r="CG70" s="55">
        <v>0</v>
      </c>
      <c r="CH70" s="55">
        <v>0</v>
      </c>
      <c r="CI70" s="55">
        <f t="shared" si="36"/>
        <v>0</v>
      </c>
      <c r="CJ70" s="55">
        <v>730</v>
      </c>
      <c r="CK70" s="55">
        <v>0</v>
      </c>
      <c r="CL70" s="55">
        <f t="shared" si="37"/>
        <v>730</v>
      </c>
      <c r="CM70" s="55">
        <f t="shared" si="38"/>
        <v>0</v>
      </c>
      <c r="CN70" s="55" t="e">
        <f t="shared" si="39"/>
        <v>#DIV/0!</v>
      </c>
      <c r="CO70" s="56">
        <v>0</v>
      </c>
      <c r="CP70" s="56">
        <v>0</v>
      </c>
      <c r="CQ70" s="56">
        <v>0</v>
      </c>
      <c r="CR70" s="56">
        <f t="shared" si="40"/>
        <v>0</v>
      </c>
      <c r="CS70" s="56">
        <v>730</v>
      </c>
      <c r="CT70" s="56">
        <v>0</v>
      </c>
      <c r="CU70" s="56">
        <f t="shared" si="41"/>
        <v>730</v>
      </c>
      <c r="CV70" s="56">
        <f t="shared" si="42"/>
        <v>0</v>
      </c>
      <c r="CW70" s="56" t="e">
        <f t="shared" si="43"/>
        <v>#DIV/0!</v>
      </c>
      <c r="CX70" s="57">
        <v>0</v>
      </c>
      <c r="CY70" s="57">
        <v>0</v>
      </c>
      <c r="CZ70" s="57">
        <v>0</v>
      </c>
      <c r="DA70" s="57">
        <f t="shared" si="44"/>
        <v>0</v>
      </c>
      <c r="DB70" s="57">
        <v>600</v>
      </c>
      <c r="DC70" s="57">
        <v>0</v>
      </c>
      <c r="DD70" s="57">
        <f t="shared" si="45"/>
        <v>600</v>
      </c>
      <c r="DE70" s="57">
        <f t="shared" si="46"/>
        <v>0</v>
      </c>
      <c r="DF70" s="57" t="e">
        <f t="shared" si="47"/>
        <v>#DIV/0!</v>
      </c>
    </row>
    <row r="71" spans="1:110" ht="14.25" customHeight="1">
      <c r="A71" s="43"/>
      <c r="B71" s="44"/>
      <c r="C71" s="45">
        <v>0</v>
      </c>
      <c r="D71" s="30">
        <v>0</v>
      </c>
      <c r="E71" s="30">
        <v>0</v>
      </c>
      <c r="F71" s="45">
        <f t="shared" si="0"/>
        <v>0</v>
      </c>
      <c r="G71" s="45">
        <v>900</v>
      </c>
      <c r="H71" s="30">
        <v>0</v>
      </c>
      <c r="I71" s="45">
        <f t="shared" si="1"/>
        <v>900</v>
      </c>
      <c r="J71" s="45">
        <f t="shared" si="2"/>
        <v>0</v>
      </c>
      <c r="K71" s="46" t="e">
        <f t="shared" si="3"/>
        <v>#DIV/0!</v>
      </c>
      <c r="L71" s="47">
        <v>0</v>
      </c>
      <c r="M71" s="32">
        <v>0</v>
      </c>
      <c r="N71" s="32">
        <v>0</v>
      </c>
      <c r="O71" s="47">
        <f t="shared" si="4"/>
        <v>0</v>
      </c>
      <c r="P71" s="47">
        <v>1800</v>
      </c>
      <c r="Q71" s="47">
        <v>0</v>
      </c>
      <c r="R71" s="47">
        <f t="shared" si="5"/>
        <v>1800</v>
      </c>
      <c r="S71" s="47">
        <f t="shared" si="6"/>
        <v>0</v>
      </c>
      <c r="T71" s="47" t="e">
        <f t="shared" si="7"/>
        <v>#DIV/0!</v>
      </c>
      <c r="U71" s="48">
        <v>0</v>
      </c>
      <c r="V71" s="48">
        <v>0</v>
      </c>
      <c r="W71" s="48">
        <v>0</v>
      </c>
      <c r="X71" s="48">
        <f t="shared" si="8"/>
        <v>0</v>
      </c>
      <c r="Y71" s="48">
        <v>910</v>
      </c>
      <c r="Z71" s="33">
        <v>0</v>
      </c>
      <c r="AA71" s="48">
        <f t="shared" si="9"/>
        <v>910</v>
      </c>
      <c r="AB71" s="48">
        <f t="shared" si="10"/>
        <v>0</v>
      </c>
      <c r="AC71" s="48" t="e">
        <f t="shared" si="11"/>
        <v>#DIV/0!</v>
      </c>
      <c r="AD71" s="49">
        <v>0</v>
      </c>
      <c r="AE71" s="49">
        <v>0</v>
      </c>
      <c r="AF71" s="49">
        <v>0</v>
      </c>
      <c r="AG71" s="49">
        <f t="shared" si="12"/>
        <v>0</v>
      </c>
      <c r="AH71" s="49">
        <v>1200</v>
      </c>
      <c r="AI71" s="49">
        <v>0</v>
      </c>
      <c r="AJ71" s="49">
        <f t="shared" si="13"/>
        <v>1200</v>
      </c>
      <c r="AK71" s="49">
        <f t="shared" si="14"/>
        <v>0</v>
      </c>
      <c r="AL71" s="49" t="e">
        <f t="shared" si="15"/>
        <v>#DIV/0!</v>
      </c>
      <c r="AM71" s="50">
        <v>0</v>
      </c>
      <c r="AN71" s="50">
        <v>0</v>
      </c>
      <c r="AO71" s="50">
        <v>0</v>
      </c>
      <c r="AP71" s="50">
        <f t="shared" si="16"/>
        <v>0</v>
      </c>
      <c r="AQ71" s="50">
        <v>600</v>
      </c>
      <c r="AR71" s="50">
        <v>0</v>
      </c>
      <c r="AS71" s="50">
        <f t="shared" si="17"/>
        <v>600</v>
      </c>
      <c r="AT71" s="50">
        <f t="shared" si="18"/>
        <v>0</v>
      </c>
      <c r="AU71" s="50" t="e">
        <f t="shared" si="19"/>
        <v>#DIV/0!</v>
      </c>
      <c r="AV71" s="51">
        <v>0</v>
      </c>
      <c r="AW71" s="36">
        <v>0</v>
      </c>
      <c r="AX71" s="36">
        <v>0</v>
      </c>
      <c r="AY71" s="51">
        <f t="shared" si="20"/>
        <v>0</v>
      </c>
      <c r="AZ71" s="51">
        <v>1500</v>
      </c>
      <c r="BA71" s="51">
        <v>0</v>
      </c>
      <c r="BB71" s="51">
        <f t="shared" si="21"/>
        <v>1500</v>
      </c>
      <c r="BC71" s="51">
        <f t="shared" si="22"/>
        <v>0</v>
      </c>
      <c r="BD71" s="51" t="e">
        <f t="shared" si="23"/>
        <v>#DIV/0!</v>
      </c>
      <c r="BE71" s="52">
        <v>0</v>
      </c>
      <c r="BF71" s="37">
        <v>0</v>
      </c>
      <c r="BG71" s="37">
        <v>0</v>
      </c>
      <c r="BH71" s="37">
        <f t="shared" si="24"/>
        <v>0</v>
      </c>
      <c r="BI71" s="52">
        <v>750</v>
      </c>
      <c r="BJ71" s="37">
        <v>0</v>
      </c>
      <c r="BK71" s="52">
        <f t="shared" si="25"/>
        <v>750</v>
      </c>
      <c r="BL71" s="52">
        <f t="shared" si="26"/>
        <v>0</v>
      </c>
      <c r="BM71" s="52" t="e">
        <f t="shared" si="27"/>
        <v>#DIV/0!</v>
      </c>
      <c r="BN71" s="53">
        <v>0</v>
      </c>
      <c r="BO71" s="38">
        <v>0</v>
      </c>
      <c r="BP71" s="38">
        <v>0</v>
      </c>
      <c r="BQ71" s="53">
        <f t="shared" si="28"/>
        <v>0</v>
      </c>
      <c r="BR71" s="53">
        <v>2450</v>
      </c>
      <c r="BS71" s="38">
        <v>0</v>
      </c>
      <c r="BT71" s="53">
        <f t="shared" si="29"/>
        <v>2450</v>
      </c>
      <c r="BU71" s="53">
        <f t="shared" si="30"/>
        <v>0</v>
      </c>
      <c r="BV71" s="53" t="e">
        <f t="shared" si="31"/>
        <v>#DIV/0!</v>
      </c>
      <c r="BW71" s="54">
        <v>0</v>
      </c>
      <c r="BX71" s="39">
        <v>0</v>
      </c>
      <c r="BY71" s="39">
        <v>0</v>
      </c>
      <c r="BZ71" s="54">
        <f t="shared" si="32"/>
        <v>0</v>
      </c>
      <c r="CA71" s="54">
        <v>750</v>
      </c>
      <c r="CB71" s="54">
        <v>0</v>
      </c>
      <c r="CC71" s="54">
        <f t="shared" si="33"/>
        <v>750</v>
      </c>
      <c r="CD71" s="54">
        <f t="shared" si="34"/>
        <v>0</v>
      </c>
      <c r="CE71" s="54" t="e">
        <f t="shared" si="35"/>
        <v>#DIV/0!</v>
      </c>
      <c r="CF71" s="55">
        <v>0</v>
      </c>
      <c r="CG71" s="55">
        <v>0</v>
      </c>
      <c r="CH71" s="55">
        <v>0</v>
      </c>
      <c r="CI71" s="55">
        <f t="shared" si="36"/>
        <v>0</v>
      </c>
      <c r="CJ71" s="55">
        <v>730</v>
      </c>
      <c r="CK71" s="55">
        <v>0</v>
      </c>
      <c r="CL71" s="55">
        <f t="shared" si="37"/>
        <v>730</v>
      </c>
      <c r="CM71" s="55">
        <f t="shared" si="38"/>
        <v>0</v>
      </c>
      <c r="CN71" s="55" t="e">
        <f t="shared" si="39"/>
        <v>#DIV/0!</v>
      </c>
      <c r="CO71" s="56">
        <v>0</v>
      </c>
      <c r="CP71" s="56">
        <v>0</v>
      </c>
      <c r="CQ71" s="56">
        <v>0</v>
      </c>
      <c r="CR71" s="56">
        <f t="shared" si="40"/>
        <v>0</v>
      </c>
      <c r="CS71" s="56">
        <v>730</v>
      </c>
      <c r="CT71" s="56">
        <v>0</v>
      </c>
      <c r="CU71" s="56">
        <f t="shared" si="41"/>
        <v>730</v>
      </c>
      <c r="CV71" s="56">
        <f t="shared" si="42"/>
        <v>0</v>
      </c>
      <c r="CW71" s="56" t="e">
        <f t="shared" si="43"/>
        <v>#DIV/0!</v>
      </c>
      <c r="CX71" s="57">
        <v>0</v>
      </c>
      <c r="CY71" s="57">
        <v>0</v>
      </c>
      <c r="CZ71" s="57">
        <v>0</v>
      </c>
      <c r="DA71" s="57">
        <f t="shared" si="44"/>
        <v>0</v>
      </c>
      <c r="DB71" s="57">
        <v>600</v>
      </c>
      <c r="DC71" s="57">
        <v>0</v>
      </c>
      <c r="DD71" s="57">
        <f t="shared" si="45"/>
        <v>600</v>
      </c>
      <c r="DE71" s="57">
        <f t="shared" si="46"/>
        <v>0</v>
      </c>
      <c r="DF71" s="57" t="e">
        <f t="shared" si="47"/>
        <v>#DIV/0!</v>
      </c>
    </row>
    <row r="72" spans="1:110" ht="14.25" customHeight="1">
      <c r="A72" s="43"/>
      <c r="B72" s="44"/>
      <c r="C72" s="45">
        <v>0</v>
      </c>
      <c r="D72" s="30">
        <v>0</v>
      </c>
      <c r="E72" s="30">
        <v>0</v>
      </c>
      <c r="F72" s="45">
        <f t="shared" si="0"/>
        <v>0</v>
      </c>
      <c r="G72" s="45">
        <v>900</v>
      </c>
      <c r="H72" s="30">
        <v>0</v>
      </c>
      <c r="I72" s="45">
        <f t="shared" si="1"/>
        <v>900</v>
      </c>
      <c r="J72" s="45">
        <f t="shared" si="2"/>
        <v>0</v>
      </c>
      <c r="K72" s="46" t="e">
        <f t="shared" si="3"/>
        <v>#DIV/0!</v>
      </c>
      <c r="L72" s="47">
        <v>0</v>
      </c>
      <c r="M72" s="32">
        <v>0</v>
      </c>
      <c r="N72" s="32">
        <v>0</v>
      </c>
      <c r="O72" s="47">
        <f t="shared" si="4"/>
        <v>0</v>
      </c>
      <c r="P72" s="47">
        <v>1800</v>
      </c>
      <c r="Q72" s="47">
        <v>0</v>
      </c>
      <c r="R72" s="47">
        <f t="shared" si="5"/>
        <v>1800</v>
      </c>
      <c r="S72" s="47">
        <f t="shared" si="6"/>
        <v>0</v>
      </c>
      <c r="T72" s="47" t="e">
        <f t="shared" si="7"/>
        <v>#DIV/0!</v>
      </c>
      <c r="U72" s="48">
        <v>0</v>
      </c>
      <c r="V72" s="48">
        <v>0</v>
      </c>
      <c r="W72" s="48">
        <v>0</v>
      </c>
      <c r="X72" s="48">
        <f t="shared" si="8"/>
        <v>0</v>
      </c>
      <c r="Y72" s="48">
        <v>910</v>
      </c>
      <c r="Z72" s="33">
        <v>0</v>
      </c>
      <c r="AA72" s="48">
        <f t="shared" si="9"/>
        <v>910</v>
      </c>
      <c r="AB72" s="48">
        <f t="shared" si="10"/>
        <v>0</v>
      </c>
      <c r="AC72" s="48" t="e">
        <f t="shared" si="11"/>
        <v>#DIV/0!</v>
      </c>
      <c r="AD72" s="49">
        <v>0</v>
      </c>
      <c r="AE72" s="49">
        <v>0</v>
      </c>
      <c r="AF72" s="49">
        <v>0</v>
      </c>
      <c r="AG72" s="49">
        <f t="shared" si="12"/>
        <v>0</v>
      </c>
      <c r="AH72" s="49">
        <v>1200</v>
      </c>
      <c r="AI72" s="49">
        <v>0</v>
      </c>
      <c r="AJ72" s="49">
        <f t="shared" si="13"/>
        <v>1200</v>
      </c>
      <c r="AK72" s="49">
        <f t="shared" si="14"/>
        <v>0</v>
      </c>
      <c r="AL72" s="49" t="e">
        <f t="shared" si="15"/>
        <v>#DIV/0!</v>
      </c>
      <c r="AM72" s="50">
        <v>0</v>
      </c>
      <c r="AN72" s="50">
        <v>0</v>
      </c>
      <c r="AO72" s="50">
        <v>0</v>
      </c>
      <c r="AP72" s="50">
        <f t="shared" si="16"/>
        <v>0</v>
      </c>
      <c r="AQ72" s="50">
        <v>600</v>
      </c>
      <c r="AR72" s="50">
        <v>0</v>
      </c>
      <c r="AS72" s="50">
        <f t="shared" si="17"/>
        <v>600</v>
      </c>
      <c r="AT72" s="50">
        <f t="shared" si="18"/>
        <v>0</v>
      </c>
      <c r="AU72" s="50" t="e">
        <f t="shared" si="19"/>
        <v>#DIV/0!</v>
      </c>
      <c r="AV72" s="51">
        <v>0</v>
      </c>
      <c r="AW72" s="36">
        <v>0</v>
      </c>
      <c r="AX72" s="36">
        <v>0</v>
      </c>
      <c r="AY72" s="51">
        <f t="shared" si="20"/>
        <v>0</v>
      </c>
      <c r="AZ72" s="51">
        <v>1500</v>
      </c>
      <c r="BA72" s="51">
        <v>0</v>
      </c>
      <c r="BB72" s="51">
        <f t="shared" si="21"/>
        <v>1500</v>
      </c>
      <c r="BC72" s="51">
        <f t="shared" si="22"/>
        <v>0</v>
      </c>
      <c r="BD72" s="51" t="e">
        <f t="shared" si="23"/>
        <v>#DIV/0!</v>
      </c>
      <c r="BE72" s="52">
        <v>0</v>
      </c>
      <c r="BF72" s="37">
        <v>0</v>
      </c>
      <c r="BG72" s="37">
        <v>0</v>
      </c>
      <c r="BH72" s="37">
        <f t="shared" si="24"/>
        <v>0</v>
      </c>
      <c r="BI72" s="52">
        <v>750</v>
      </c>
      <c r="BJ72" s="37">
        <v>0</v>
      </c>
      <c r="BK72" s="52">
        <f t="shared" si="25"/>
        <v>750</v>
      </c>
      <c r="BL72" s="52">
        <f t="shared" si="26"/>
        <v>0</v>
      </c>
      <c r="BM72" s="52" t="e">
        <f t="shared" si="27"/>
        <v>#DIV/0!</v>
      </c>
      <c r="BN72" s="53">
        <v>0</v>
      </c>
      <c r="BO72" s="38">
        <v>0</v>
      </c>
      <c r="BP72" s="38">
        <v>0</v>
      </c>
      <c r="BQ72" s="53">
        <f t="shared" si="28"/>
        <v>0</v>
      </c>
      <c r="BR72" s="53">
        <v>2450</v>
      </c>
      <c r="BS72" s="38">
        <v>0</v>
      </c>
      <c r="BT72" s="53">
        <f t="shared" si="29"/>
        <v>2450</v>
      </c>
      <c r="BU72" s="53">
        <f t="shared" si="30"/>
        <v>0</v>
      </c>
      <c r="BV72" s="53" t="e">
        <f t="shared" si="31"/>
        <v>#DIV/0!</v>
      </c>
      <c r="BW72" s="54">
        <v>0</v>
      </c>
      <c r="BX72" s="39">
        <v>0</v>
      </c>
      <c r="BY72" s="39">
        <v>0</v>
      </c>
      <c r="BZ72" s="54">
        <f t="shared" si="32"/>
        <v>0</v>
      </c>
      <c r="CA72" s="54">
        <v>750</v>
      </c>
      <c r="CB72" s="54">
        <v>0</v>
      </c>
      <c r="CC72" s="54">
        <f t="shared" si="33"/>
        <v>750</v>
      </c>
      <c r="CD72" s="54">
        <f t="shared" si="34"/>
        <v>0</v>
      </c>
      <c r="CE72" s="54" t="e">
        <f t="shared" si="35"/>
        <v>#DIV/0!</v>
      </c>
      <c r="CF72" s="55">
        <v>0</v>
      </c>
      <c r="CG72" s="55">
        <v>0</v>
      </c>
      <c r="CH72" s="55">
        <v>0</v>
      </c>
      <c r="CI72" s="55">
        <f t="shared" si="36"/>
        <v>0</v>
      </c>
      <c r="CJ72" s="55">
        <v>730</v>
      </c>
      <c r="CK72" s="55">
        <v>0</v>
      </c>
      <c r="CL72" s="55">
        <f t="shared" si="37"/>
        <v>730</v>
      </c>
      <c r="CM72" s="55">
        <f t="shared" si="38"/>
        <v>0</v>
      </c>
      <c r="CN72" s="55" t="e">
        <f t="shared" si="39"/>
        <v>#DIV/0!</v>
      </c>
      <c r="CO72" s="56">
        <v>0</v>
      </c>
      <c r="CP72" s="56">
        <v>0</v>
      </c>
      <c r="CQ72" s="56">
        <v>0</v>
      </c>
      <c r="CR72" s="56">
        <f t="shared" si="40"/>
        <v>0</v>
      </c>
      <c r="CS72" s="56">
        <v>730</v>
      </c>
      <c r="CT72" s="56">
        <v>0</v>
      </c>
      <c r="CU72" s="56">
        <f t="shared" si="41"/>
        <v>730</v>
      </c>
      <c r="CV72" s="56">
        <f t="shared" si="42"/>
        <v>0</v>
      </c>
      <c r="CW72" s="56" t="e">
        <f t="shared" si="43"/>
        <v>#DIV/0!</v>
      </c>
      <c r="CX72" s="57">
        <v>0</v>
      </c>
      <c r="CY72" s="57">
        <v>0</v>
      </c>
      <c r="CZ72" s="57">
        <v>0</v>
      </c>
      <c r="DA72" s="57">
        <f t="shared" si="44"/>
        <v>0</v>
      </c>
      <c r="DB72" s="57">
        <v>600</v>
      </c>
      <c r="DC72" s="57">
        <v>0</v>
      </c>
      <c r="DD72" s="57">
        <f t="shared" si="45"/>
        <v>600</v>
      </c>
      <c r="DE72" s="57">
        <f t="shared" si="46"/>
        <v>0</v>
      </c>
      <c r="DF72" s="57" t="e">
        <f t="shared" si="47"/>
        <v>#DIV/0!</v>
      </c>
    </row>
    <row r="73" spans="1:110" ht="14.25" customHeight="1">
      <c r="A73" s="43"/>
      <c r="B73" s="44"/>
      <c r="C73" s="45">
        <v>0</v>
      </c>
      <c r="D73" s="30">
        <v>0</v>
      </c>
      <c r="E73" s="30">
        <v>0</v>
      </c>
      <c r="F73" s="45">
        <f t="shared" si="0"/>
        <v>0</v>
      </c>
      <c r="G73" s="45">
        <v>900</v>
      </c>
      <c r="H73" s="30">
        <v>0</v>
      </c>
      <c r="I73" s="45">
        <f t="shared" si="1"/>
        <v>900</v>
      </c>
      <c r="J73" s="45">
        <f t="shared" si="2"/>
        <v>0</v>
      </c>
      <c r="K73" s="46" t="e">
        <f t="shared" si="3"/>
        <v>#DIV/0!</v>
      </c>
      <c r="L73" s="47">
        <v>0</v>
      </c>
      <c r="M73" s="32">
        <v>0</v>
      </c>
      <c r="N73" s="32">
        <v>0</v>
      </c>
      <c r="O73" s="47">
        <f t="shared" si="4"/>
        <v>0</v>
      </c>
      <c r="P73" s="47">
        <v>1800</v>
      </c>
      <c r="Q73" s="47">
        <v>0</v>
      </c>
      <c r="R73" s="47">
        <f t="shared" si="5"/>
        <v>1800</v>
      </c>
      <c r="S73" s="47">
        <f t="shared" si="6"/>
        <v>0</v>
      </c>
      <c r="T73" s="47" t="e">
        <f t="shared" si="7"/>
        <v>#DIV/0!</v>
      </c>
      <c r="U73" s="48">
        <v>0</v>
      </c>
      <c r="V73" s="48">
        <v>0</v>
      </c>
      <c r="W73" s="48">
        <v>0</v>
      </c>
      <c r="X73" s="48">
        <f t="shared" si="8"/>
        <v>0</v>
      </c>
      <c r="Y73" s="48">
        <v>910</v>
      </c>
      <c r="Z73" s="33">
        <v>0</v>
      </c>
      <c r="AA73" s="48">
        <f t="shared" si="9"/>
        <v>910</v>
      </c>
      <c r="AB73" s="48">
        <f t="shared" si="10"/>
        <v>0</v>
      </c>
      <c r="AC73" s="48" t="e">
        <f t="shared" si="11"/>
        <v>#DIV/0!</v>
      </c>
      <c r="AD73" s="49">
        <v>0</v>
      </c>
      <c r="AE73" s="49">
        <v>0</v>
      </c>
      <c r="AF73" s="49">
        <v>0</v>
      </c>
      <c r="AG73" s="49">
        <f t="shared" si="12"/>
        <v>0</v>
      </c>
      <c r="AH73" s="49">
        <v>1200</v>
      </c>
      <c r="AI73" s="49">
        <v>0</v>
      </c>
      <c r="AJ73" s="49">
        <f t="shared" si="13"/>
        <v>1200</v>
      </c>
      <c r="AK73" s="49">
        <f t="shared" si="14"/>
        <v>0</v>
      </c>
      <c r="AL73" s="49" t="e">
        <f t="shared" si="15"/>
        <v>#DIV/0!</v>
      </c>
      <c r="AM73" s="50">
        <v>0</v>
      </c>
      <c r="AN73" s="50">
        <v>0</v>
      </c>
      <c r="AO73" s="50">
        <v>0</v>
      </c>
      <c r="AP73" s="50">
        <f t="shared" si="16"/>
        <v>0</v>
      </c>
      <c r="AQ73" s="50">
        <v>600</v>
      </c>
      <c r="AR73" s="50">
        <v>0</v>
      </c>
      <c r="AS73" s="50">
        <f t="shared" si="17"/>
        <v>600</v>
      </c>
      <c r="AT73" s="50">
        <f t="shared" si="18"/>
        <v>0</v>
      </c>
      <c r="AU73" s="50" t="e">
        <f t="shared" si="19"/>
        <v>#DIV/0!</v>
      </c>
      <c r="AV73" s="51">
        <v>0</v>
      </c>
      <c r="AW73" s="36">
        <v>0</v>
      </c>
      <c r="AX73" s="36">
        <v>0</v>
      </c>
      <c r="AY73" s="51">
        <f t="shared" si="20"/>
        <v>0</v>
      </c>
      <c r="AZ73" s="51">
        <v>1500</v>
      </c>
      <c r="BA73" s="51">
        <v>0</v>
      </c>
      <c r="BB73" s="51">
        <f t="shared" si="21"/>
        <v>1500</v>
      </c>
      <c r="BC73" s="51">
        <f t="shared" si="22"/>
        <v>0</v>
      </c>
      <c r="BD73" s="51" t="e">
        <f t="shared" si="23"/>
        <v>#DIV/0!</v>
      </c>
      <c r="BE73" s="52">
        <v>0</v>
      </c>
      <c r="BF73" s="37">
        <v>0</v>
      </c>
      <c r="BG73" s="37">
        <v>0</v>
      </c>
      <c r="BH73" s="37">
        <f t="shared" si="24"/>
        <v>0</v>
      </c>
      <c r="BI73" s="52">
        <v>750</v>
      </c>
      <c r="BJ73" s="37">
        <v>0</v>
      </c>
      <c r="BK73" s="52">
        <f t="shared" si="25"/>
        <v>750</v>
      </c>
      <c r="BL73" s="52">
        <f t="shared" si="26"/>
        <v>0</v>
      </c>
      <c r="BM73" s="52" t="e">
        <f t="shared" si="27"/>
        <v>#DIV/0!</v>
      </c>
      <c r="BN73" s="53">
        <v>0</v>
      </c>
      <c r="BO73" s="38">
        <v>0</v>
      </c>
      <c r="BP73" s="38">
        <v>0</v>
      </c>
      <c r="BQ73" s="53">
        <f t="shared" si="28"/>
        <v>0</v>
      </c>
      <c r="BR73" s="53">
        <v>2450</v>
      </c>
      <c r="BS73" s="38">
        <v>0</v>
      </c>
      <c r="BT73" s="53">
        <f t="shared" si="29"/>
        <v>2450</v>
      </c>
      <c r="BU73" s="53">
        <f t="shared" si="30"/>
        <v>0</v>
      </c>
      <c r="BV73" s="53" t="e">
        <f t="shared" si="31"/>
        <v>#DIV/0!</v>
      </c>
      <c r="BW73" s="54">
        <v>0</v>
      </c>
      <c r="BX73" s="39">
        <v>0</v>
      </c>
      <c r="BY73" s="39">
        <v>0</v>
      </c>
      <c r="BZ73" s="54">
        <f t="shared" si="32"/>
        <v>0</v>
      </c>
      <c r="CA73" s="54">
        <v>750</v>
      </c>
      <c r="CB73" s="54">
        <v>0</v>
      </c>
      <c r="CC73" s="54">
        <f t="shared" si="33"/>
        <v>750</v>
      </c>
      <c r="CD73" s="54">
        <f t="shared" si="34"/>
        <v>0</v>
      </c>
      <c r="CE73" s="54" t="e">
        <f t="shared" si="35"/>
        <v>#DIV/0!</v>
      </c>
      <c r="CF73" s="55">
        <v>0</v>
      </c>
      <c r="CG73" s="55">
        <v>0</v>
      </c>
      <c r="CH73" s="55">
        <v>0</v>
      </c>
      <c r="CI73" s="55">
        <f t="shared" si="36"/>
        <v>0</v>
      </c>
      <c r="CJ73" s="55">
        <v>730</v>
      </c>
      <c r="CK73" s="55">
        <v>0</v>
      </c>
      <c r="CL73" s="55">
        <f t="shared" si="37"/>
        <v>730</v>
      </c>
      <c r="CM73" s="55">
        <f t="shared" si="38"/>
        <v>0</v>
      </c>
      <c r="CN73" s="55" t="e">
        <f t="shared" si="39"/>
        <v>#DIV/0!</v>
      </c>
      <c r="CO73" s="56">
        <v>0</v>
      </c>
      <c r="CP73" s="56">
        <v>0</v>
      </c>
      <c r="CQ73" s="56">
        <v>0</v>
      </c>
      <c r="CR73" s="56">
        <f t="shared" si="40"/>
        <v>0</v>
      </c>
      <c r="CS73" s="56">
        <v>730</v>
      </c>
      <c r="CT73" s="56">
        <v>0</v>
      </c>
      <c r="CU73" s="56">
        <f t="shared" si="41"/>
        <v>730</v>
      </c>
      <c r="CV73" s="56">
        <f t="shared" si="42"/>
        <v>0</v>
      </c>
      <c r="CW73" s="56" t="e">
        <f t="shared" si="43"/>
        <v>#DIV/0!</v>
      </c>
      <c r="CX73" s="57">
        <v>0</v>
      </c>
      <c r="CY73" s="57">
        <v>0</v>
      </c>
      <c r="CZ73" s="57">
        <v>0</v>
      </c>
      <c r="DA73" s="57">
        <f t="shared" si="44"/>
        <v>0</v>
      </c>
      <c r="DB73" s="57">
        <v>600</v>
      </c>
      <c r="DC73" s="57">
        <v>0</v>
      </c>
      <c r="DD73" s="57">
        <f t="shared" si="45"/>
        <v>600</v>
      </c>
      <c r="DE73" s="57">
        <f t="shared" si="46"/>
        <v>0</v>
      </c>
      <c r="DF73" s="57" t="e">
        <f t="shared" si="47"/>
        <v>#DIV/0!</v>
      </c>
    </row>
    <row r="74" spans="1:110" ht="14.25" customHeight="1">
      <c r="A74" s="43"/>
      <c r="B74" s="44"/>
      <c r="C74" s="45">
        <v>0</v>
      </c>
      <c r="D74" s="30">
        <v>0</v>
      </c>
      <c r="E74" s="30">
        <v>0</v>
      </c>
      <c r="F74" s="45">
        <f t="shared" si="0"/>
        <v>0</v>
      </c>
      <c r="G74" s="45">
        <v>900</v>
      </c>
      <c r="H74" s="30">
        <v>0</v>
      </c>
      <c r="I74" s="45">
        <f t="shared" si="1"/>
        <v>900</v>
      </c>
      <c r="J74" s="45">
        <f t="shared" si="2"/>
        <v>0</v>
      </c>
      <c r="K74" s="46" t="e">
        <f t="shared" si="3"/>
        <v>#DIV/0!</v>
      </c>
      <c r="L74" s="47">
        <v>0</v>
      </c>
      <c r="M74" s="32">
        <v>0</v>
      </c>
      <c r="N74" s="32">
        <v>0</v>
      </c>
      <c r="O74" s="47">
        <f t="shared" si="4"/>
        <v>0</v>
      </c>
      <c r="P74" s="47">
        <v>1800</v>
      </c>
      <c r="Q74" s="47">
        <v>0</v>
      </c>
      <c r="R74" s="47">
        <f t="shared" si="5"/>
        <v>1800</v>
      </c>
      <c r="S74" s="47">
        <f t="shared" si="6"/>
        <v>0</v>
      </c>
      <c r="T74" s="47" t="e">
        <f t="shared" si="7"/>
        <v>#DIV/0!</v>
      </c>
      <c r="U74" s="48">
        <v>0</v>
      </c>
      <c r="V74" s="48">
        <v>0</v>
      </c>
      <c r="W74" s="48">
        <v>0</v>
      </c>
      <c r="X74" s="48">
        <f t="shared" si="8"/>
        <v>0</v>
      </c>
      <c r="Y74" s="48">
        <v>910</v>
      </c>
      <c r="Z74" s="33">
        <v>0</v>
      </c>
      <c r="AA74" s="48">
        <f t="shared" si="9"/>
        <v>910</v>
      </c>
      <c r="AB74" s="48">
        <f t="shared" si="10"/>
        <v>0</v>
      </c>
      <c r="AC74" s="48" t="e">
        <f t="shared" si="11"/>
        <v>#DIV/0!</v>
      </c>
      <c r="AD74" s="49">
        <v>0</v>
      </c>
      <c r="AE74" s="49">
        <v>0</v>
      </c>
      <c r="AF74" s="49">
        <v>0</v>
      </c>
      <c r="AG74" s="49">
        <f t="shared" si="12"/>
        <v>0</v>
      </c>
      <c r="AH74" s="49">
        <v>1200</v>
      </c>
      <c r="AI74" s="49">
        <v>0</v>
      </c>
      <c r="AJ74" s="49">
        <f t="shared" si="13"/>
        <v>1200</v>
      </c>
      <c r="AK74" s="49">
        <f t="shared" si="14"/>
        <v>0</v>
      </c>
      <c r="AL74" s="49" t="e">
        <f t="shared" si="15"/>
        <v>#DIV/0!</v>
      </c>
      <c r="AM74" s="50">
        <v>0</v>
      </c>
      <c r="AN74" s="50">
        <v>0</v>
      </c>
      <c r="AO74" s="50">
        <v>0</v>
      </c>
      <c r="AP74" s="50">
        <f t="shared" si="16"/>
        <v>0</v>
      </c>
      <c r="AQ74" s="50">
        <v>600</v>
      </c>
      <c r="AR74" s="50">
        <v>0</v>
      </c>
      <c r="AS74" s="50">
        <f t="shared" si="17"/>
        <v>600</v>
      </c>
      <c r="AT74" s="50">
        <f t="shared" si="18"/>
        <v>0</v>
      </c>
      <c r="AU74" s="50" t="e">
        <f t="shared" si="19"/>
        <v>#DIV/0!</v>
      </c>
      <c r="AV74" s="51">
        <v>0</v>
      </c>
      <c r="AW74" s="36">
        <v>0</v>
      </c>
      <c r="AX74" s="36">
        <v>0</v>
      </c>
      <c r="AY74" s="51">
        <f t="shared" si="20"/>
        <v>0</v>
      </c>
      <c r="AZ74" s="51">
        <v>1500</v>
      </c>
      <c r="BA74" s="51">
        <v>0</v>
      </c>
      <c r="BB74" s="51">
        <f t="shared" si="21"/>
        <v>1500</v>
      </c>
      <c r="BC74" s="51">
        <f t="shared" si="22"/>
        <v>0</v>
      </c>
      <c r="BD74" s="51" t="e">
        <f t="shared" si="23"/>
        <v>#DIV/0!</v>
      </c>
      <c r="BE74" s="52">
        <v>0</v>
      </c>
      <c r="BF74" s="37">
        <v>0</v>
      </c>
      <c r="BG74" s="37">
        <v>0</v>
      </c>
      <c r="BH74" s="37">
        <f t="shared" si="24"/>
        <v>0</v>
      </c>
      <c r="BI74" s="52">
        <v>750</v>
      </c>
      <c r="BJ74" s="37">
        <v>0</v>
      </c>
      <c r="BK74" s="52">
        <f t="shared" si="25"/>
        <v>750</v>
      </c>
      <c r="BL74" s="52">
        <f t="shared" si="26"/>
        <v>0</v>
      </c>
      <c r="BM74" s="52" t="e">
        <f t="shared" si="27"/>
        <v>#DIV/0!</v>
      </c>
      <c r="BN74" s="53">
        <v>0</v>
      </c>
      <c r="BO74" s="38">
        <v>0</v>
      </c>
      <c r="BP74" s="38">
        <v>0</v>
      </c>
      <c r="BQ74" s="53">
        <f t="shared" si="28"/>
        <v>0</v>
      </c>
      <c r="BR74" s="53">
        <v>2450</v>
      </c>
      <c r="BS74" s="38">
        <v>0</v>
      </c>
      <c r="BT74" s="53">
        <f t="shared" si="29"/>
        <v>2450</v>
      </c>
      <c r="BU74" s="53">
        <f t="shared" si="30"/>
        <v>0</v>
      </c>
      <c r="BV74" s="53" t="e">
        <f t="shared" si="31"/>
        <v>#DIV/0!</v>
      </c>
      <c r="BW74" s="54">
        <v>0</v>
      </c>
      <c r="BX74" s="39">
        <v>0</v>
      </c>
      <c r="BY74" s="39">
        <v>0</v>
      </c>
      <c r="BZ74" s="54">
        <f t="shared" si="32"/>
        <v>0</v>
      </c>
      <c r="CA74" s="54">
        <v>750</v>
      </c>
      <c r="CB74" s="54">
        <v>0</v>
      </c>
      <c r="CC74" s="54">
        <f t="shared" si="33"/>
        <v>750</v>
      </c>
      <c r="CD74" s="54">
        <f t="shared" si="34"/>
        <v>0</v>
      </c>
      <c r="CE74" s="54" t="e">
        <f t="shared" si="35"/>
        <v>#DIV/0!</v>
      </c>
      <c r="CF74" s="55">
        <v>0</v>
      </c>
      <c r="CG74" s="55">
        <v>0</v>
      </c>
      <c r="CH74" s="55">
        <v>0</v>
      </c>
      <c r="CI74" s="55">
        <f t="shared" si="36"/>
        <v>0</v>
      </c>
      <c r="CJ74" s="55">
        <v>730</v>
      </c>
      <c r="CK74" s="55">
        <v>0</v>
      </c>
      <c r="CL74" s="55">
        <f t="shared" si="37"/>
        <v>730</v>
      </c>
      <c r="CM74" s="55">
        <f t="shared" si="38"/>
        <v>0</v>
      </c>
      <c r="CN74" s="55" t="e">
        <f t="shared" si="39"/>
        <v>#DIV/0!</v>
      </c>
      <c r="CO74" s="56">
        <v>0</v>
      </c>
      <c r="CP74" s="56">
        <v>0</v>
      </c>
      <c r="CQ74" s="56">
        <v>0</v>
      </c>
      <c r="CR74" s="56">
        <f t="shared" si="40"/>
        <v>0</v>
      </c>
      <c r="CS74" s="56">
        <v>730</v>
      </c>
      <c r="CT74" s="56">
        <v>0</v>
      </c>
      <c r="CU74" s="56">
        <f t="shared" si="41"/>
        <v>730</v>
      </c>
      <c r="CV74" s="56">
        <f t="shared" si="42"/>
        <v>0</v>
      </c>
      <c r="CW74" s="56" t="e">
        <f t="shared" si="43"/>
        <v>#DIV/0!</v>
      </c>
      <c r="CX74" s="57">
        <v>0</v>
      </c>
      <c r="CY74" s="57">
        <v>0</v>
      </c>
      <c r="CZ74" s="57">
        <v>0</v>
      </c>
      <c r="DA74" s="57">
        <f t="shared" si="44"/>
        <v>0</v>
      </c>
      <c r="DB74" s="57">
        <v>600</v>
      </c>
      <c r="DC74" s="57">
        <v>0</v>
      </c>
      <c r="DD74" s="57">
        <f t="shared" si="45"/>
        <v>600</v>
      </c>
      <c r="DE74" s="57">
        <f t="shared" si="46"/>
        <v>0</v>
      </c>
      <c r="DF74" s="57" t="e">
        <f t="shared" si="47"/>
        <v>#DIV/0!</v>
      </c>
    </row>
    <row r="75" spans="1:110" ht="14.25" customHeight="1">
      <c r="A75" s="43"/>
      <c r="B75" s="44"/>
      <c r="C75" s="45">
        <v>0</v>
      </c>
      <c r="D75" s="30">
        <v>0</v>
      </c>
      <c r="E75" s="30">
        <v>0</v>
      </c>
      <c r="F75" s="45">
        <f t="shared" si="0"/>
        <v>0</v>
      </c>
      <c r="G75" s="45">
        <v>900</v>
      </c>
      <c r="H75" s="30">
        <v>0</v>
      </c>
      <c r="I75" s="45">
        <f t="shared" si="1"/>
        <v>900</v>
      </c>
      <c r="J75" s="45">
        <f t="shared" si="2"/>
        <v>0</v>
      </c>
      <c r="K75" s="46" t="e">
        <f t="shared" si="3"/>
        <v>#DIV/0!</v>
      </c>
      <c r="L75" s="47">
        <v>0</v>
      </c>
      <c r="M75" s="32">
        <v>0</v>
      </c>
      <c r="N75" s="32">
        <v>0</v>
      </c>
      <c r="O75" s="47">
        <f t="shared" si="4"/>
        <v>0</v>
      </c>
      <c r="P75" s="47">
        <v>1800</v>
      </c>
      <c r="Q75" s="47">
        <v>0</v>
      </c>
      <c r="R75" s="47">
        <f t="shared" si="5"/>
        <v>1800</v>
      </c>
      <c r="S75" s="47">
        <f t="shared" si="6"/>
        <v>0</v>
      </c>
      <c r="T75" s="47" t="e">
        <f t="shared" si="7"/>
        <v>#DIV/0!</v>
      </c>
      <c r="U75" s="48">
        <v>0</v>
      </c>
      <c r="V75" s="48">
        <v>0</v>
      </c>
      <c r="W75" s="48">
        <v>0</v>
      </c>
      <c r="X75" s="48">
        <f t="shared" si="8"/>
        <v>0</v>
      </c>
      <c r="Y75" s="48">
        <v>910</v>
      </c>
      <c r="Z75" s="33">
        <v>0</v>
      </c>
      <c r="AA75" s="48">
        <f t="shared" si="9"/>
        <v>910</v>
      </c>
      <c r="AB75" s="48">
        <f t="shared" si="10"/>
        <v>0</v>
      </c>
      <c r="AC75" s="48" t="e">
        <f t="shared" si="11"/>
        <v>#DIV/0!</v>
      </c>
      <c r="AD75" s="49">
        <v>0</v>
      </c>
      <c r="AE75" s="49">
        <v>0</v>
      </c>
      <c r="AF75" s="49">
        <v>0</v>
      </c>
      <c r="AG75" s="49">
        <f t="shared" si="12"/>
        <v>0</v>
      </c>
      <c r="AH75" s="49">
        <v>1200</v>
      </c>
      <c r="AI75" s="49">
        <v>0</v>
      </c>
      <c r="AJ75" s="49">
        <f t="shared" si="13"/>
        <v>1200</v>
      </c>
      <c r="AK75" s="49">
        <f t="shared" si="14"/>
        <v>0</v>
      </c>
      <c r="AL75" s="49" t="e">
        <f t="shared" si="15"/>
        <v>#DIV/0!</v>
      </c>
      <c r="AM75" s="50">
        <v>0</v>
      </c>
      <c r="AN75" s="50">
        <v>0</v>
      </c>
      <c r="AO75" s="50">
        <v>0</v>
      </c>
      <c r="AP75" s="50">
        <f t="shared" si="16"/>
        <v>0</v>
      </c>
      <c r="AQ75" s="50">
        <v>600</v>
      </c>
      <c r="AR75" s="50">
        <v>0</v>
      </c>
      <c r="AS75" s="50">
        <f t="shared" si="17"/>
        <v>600</v>
      </c>
      <c r="AT75" s="50">
        <f t="shared" si="18"/>
        <v>0</v>
      </c>
      <c r="AU75" s="50" t="e">
        <f t="shared" si="19"/>
        <v>#DIV/0!</v>
      </c>
      <c r="AV75" s="51">
        <v>0</v>
      </c>
      <c r="AW75" s="36">
        <v>0</v>
      </c>
      <c r="AX75" s="36">
        <v>0</v>
      </c>
      <c r="AY75" s="51">
        <f t="shared" si="20"/>
        <v>0</v>
      </c>
      <c r="AZ75" s="51">
        <v>1500</v>
      </c>
      <c r="BA75" s="51">
        <v>0</v>
      </c>
      <c r="BB75" s="51">
        <f t="shared" si="21"/>
        <v>1500</v>
      </c>
      <c r="BC75" s="51">
        <f t="shared" si="22"/>
        <v>0</v>
      </c>
      <c r="BD75" s="51" t="e">
        <f t="shared" si="23"/>
        <v>#DIV/0!</v>
      </c>
      <c r="BE75" s="52">
        <v>0</v>
      </c>
      <c r="BF75" s="37">
        <v>0</v>
      </c>
      <c r="BG75" s="37">
        <v>0</v>
      </c>
      <c r="BH75" s="37">
        <f t="shared" si="24"/>
        <v>0</v>
      </c>
      <c r="BI75" s="52">
        <v>750</v>
      </c>
      <c r="BJ75" s="37">
        <v>0</v>
      </c>
      <c r="BK75" s="52">
        <f t="shared" si="25"/>
        <v>750</v>
      </c>
      <c r="BL75" s="52">
        <f t="shared" si="26"/>
        <v>0</v>
      </c>
      <c r="BM75" s="52" t="e">
        <f t="shared" si="27"/>
        <v>#DIV/0!</v>
      </c>
      <c r="BN75" s="53">
        <v>0</v>
      </c>
      <c r="BO75" s="38">
        <v>0</v>
      </c>
      <c r="BP75" s="38">
        <v>0</v>
      </c>
      <c r="BQ75" s="53">
        <f t="shared" si="28"/>
        <v>0</v>
      </c>
      <c r="BR75" s="53">
        <v>2450</v>
      </c>
      <c r="BS75" s="38">
        <v>0</v>
      </c>
      <c r="BT75" s="53">
        <f t="shared" si="29"/>
        <v>2450</v>
      </c>
      <c r="BU75" s="53">
        <f t="shared" si="30"/>
        <v>0</v>
      </c>
      <c r="BV75" s="53" t="e">
        <f t="shared" si="31"/>
        <v>#DIV/0!</v>
      </c>
      <c r="BW75" s="54">
        <v>0</v>
      </c>
      <c r="BX75" s="39">
        <v>0</v>
      </c>
      <c r="BY75" s="39">
        <v>0</v>
      </c>
      <c r="BZ75" s="54">
        <f t="shared" si="32"/>
        <v>0</v>
      </c>
      <c r="CA75" s="54">
        <v>750</v>
      </c>
      <c r="CB75" s="54">
        <v>0</v>
      </c>
      <c r="CC75" s="54">
        <f t="shared" si="33"/>
        <v>750</v>
      </c>
      <c r="CD75" s="54">
        <f t="shared" si="34"/>
        <v>0</v>
      </c>
      <c r="CE75" s="54" t="e">
        <f t="shared" si="35"/>
        <v>#DIV/0!</v>
      </c>
      <c r="CF75" s="55">
        <v>0</v>
      </c>
      <c r="CG75" s="55">
        <v>0</v>
      </c>
      <c r="CH75" s="55">
        <v>0</v>
      </c>
      <c r="CI75" s="55">
        <f t="shared" si="36"/>
        <v>0</v>
      </c>
      <c r="CJ75" s="55">
        <v>730</v>
      </c>
      <c r="CK75" s="55">
        <v>0</v>
      </c>
      <c r="CL75" s="55">
        <f t="shared" si="37"/>
        <v>730</v>
      </c>
      <c r="CM75" s="55">
        <f t="shared" si="38"/>
        <v>0</v>
      </c>
      <c r="CN75" s="55" t="e">
        <f t="shared" si="39"/>
        <v>#DIV/0!</v>
      </c>
      <c r="CO75" s="56">
        <v>0</v>
      </c>
      <c r="CP75" s="56">
        <v>0</v>
      </c>
      <c r="CQ75" s="56">
        <v>0</v>
      </c>
      <c r="CR75" s="56">
        <f t="shared" si="40"/>
        <v>0</v>
      </c>
      <c r="CS75" s="56">
        <v>730</v>
      </c>
      <c r="CT75" s="56">
        <v>0</v>
      </c>
      <c r="CU75" s="56">
        <f t="shared" si="41"/>
        <v>730</v>
      </c>
      <c r="CV75" s="56">
        <f t="shared" si="42"/>
        <v>0</v>
      </c>
      <c r="CW75" s="56" t="e">
        <f t="shared" si="43"/>
        <v>#DIV/0!</v>
      </c>
      <c r="CX75" s="57">
        <v>0</v>
      </c>
      <c r="CY75" s="57">
        <v>0</v>
      </c>
      <c r="CZ75" s="57">
        <v>0</v>
      </c>
      <c r="DA75" s="57">
        <f t="shared" si="44"/>
        <v>0</v>
      </c>
      <c r="DB75" s="57">
        <v>600</v>
      </c>
      <c r="DC75" s="57">
        <v>0</v>
      </c>
      <c r="DD75" s="57">
        <f t="shared" si="45"/>
        <v>600</v>
      </c>
      <c r="DE75" s="57">
        <f t="shared" si="46"/>
        <v>0</v>
      </c>
      <c r="DF75" s="57" t="e">
        <f t="shared" si="47"/>
        <v>#DIV/0!</v>
      </c>
    </row>
    <row r="76" spans="1:110" ht="14.25" customHeight="1">
      <c r="A76" s="43"/>
      <c r="B76" s="44"/>
      <c r="C76" s="45">
        <v>0</v>
      </c>
      <c r="D76" s="30">
        <v>0</v>
      </c>
      <c r="E76" s="30">
        <v>0</v>
      </c>
      <c r="F76" s="45">
        <f t="shared" si="0"/>
        <v>0</v>
      </c>
      <c r="G76" s="45">
        <v>900</v>
      </c>
      <c r="H76" s="30">
        <v>0</v>
      </c>
      <c r="I76" s="45">
        <f t="shared" si="1"/>
        <v>900</v>
      </c>
      <c r="J76" s="45">
        <f t="shared" si="2"/>
        <v>0</v>
      </c>
      <c r="K76" s="46" t="e">
        <f t="shared" si="3"/>
        <v>#DIV/0!</v>
      </c>
      <c r="L76" s="47">
        <v>0</v>
      </c>
      <c r="M76" s="32">
        <v>0</v>
      </c>
      <c r="N76" s="32">
        <v>0</v>
      </c>
      <c r="O76" s="47">
        <f t="shared" si="4"/>
        <v>0</v>
      </c>
      <c r="P76" s="47">
        <v>1800</v>
      </c>
      <c r="Q76" s="47">
        <v>0</v>
      </c>
      <c r="R76" s="47">
        <f t="shared" si="5"/>
        <v>1800</v>
      </c>
      <c r="S76" s="47">
        <f t="shared" si="6"/>
        <v>0</v>
      </c>
      <c r="T76" s="47" t="e">
        <f t="shared" si="7"/>
        <v>#DIV/0!</v>
      </c>
      <c r="U76" s="48">
        <v>0</v>
      </c>
      <c r="V76" s="48">
        <v>0</v>
      </c>
      <c r="W76" s="48">
        <v>0</v>
      </c>
      <c r="X76" s="48">
        <f t="shared" si="8"/>
        <v>0</v>
      </c>
      <c r="Y76" s="48">
        <v>910</v>
      </c>
      <c r="Z76" s="33">
        <v>0</v>
      </c>
      <c r="AA76" s="48">
        <f t="shared" si="9"/>
        <v>910</v>
      </c>
      <c r="AB76" s="48">
        <f t="shared" si="10"/>
        <v>0</v>
      </c>
      <c r="AC76" s="48" t="e">
        <f t="shared" si="11"/>
        <v>#DIV/0!</v>
      </c>
      <c r="AD76" s="49">
        <v>0</v>
      </c>
      <c r="AE76" s="49">
        <v>0</v>
      </c>
      <c r="AF76" s="49">
        <v>0</v>
      </c>
      <c r="AG76" s="49">
        <f t="shared" si="12"/>
        <v>0</v>
      </c>
      <c r="AH76" s="49">
        <v>1200</v>
      </c>
      <c r="AI76" s="49">
        <v>0</v>
      </c>
      <c r="AJ76" s="49">
        <f t="shared" si="13"/>
        <v>1200</v>
      </c>
      <c r="AK76" s="49">
        <f t="shared" si="14"/>
        <v>0</v>
      </c>
      <c r="AL76" s="49" t="e">
        <f t="shared" si="15"/>
        <v>#DIV/0!</v>
      </c>
      <c r="AM76" s="50">
        <v>0</v>
      </c>
      <c r="AN76" s="50">
        <v>0</v>
      </c>
      <c r="AO76" s="50">
        <v>0</v>
      </c>
      <c r="AP76" s="50">
        <f t="shared" si="16"/>
        <v>0</v>
      </c>
      <c r="AQ76" s="50">
        <v>600</v>
      </c>
      <c r="AR76" s="50">
        <v>0</v>
      </c>
      <c r="AS76" s="50">
        <f t="shared" si="17"/>
        <v>600</v>
      </c>
      <c r="AT76" s="50">
        <f t="shared" si="18"/>
        <v>0</v>
      </c>
      <c r="AU76" s="50" t="e">
        <f t="shared" si="19"/>
        <v>#DIV/0!</v>
      </c>
      <c r="AV76" s="51">
        <v>0</v>
      </c>
      <c r="AW76" s="36">
        <v>0</v>
      </c>
      <c r="AX76" s="36">
        <v>0</v>
      </c>
      <c r="AY76" s="51">
        <f t="shared" si="20"/>
        <v>0</v>
      </c>
      <c r="AZ76" s="51">
        <v>1500</v>
      </c>
      <c r="BA76" s="51">
        <v>0</v>
      </c>
      <c r="BB76" s="51">
        <f t="shared" si="21"/>
        <v>1500</v>
      </c>
      <c r="BC76" s="51">
        <f t="shared" si="22"/>
        <v>0</v>
      </c>
      <c r="BD76" s="51" t="e">
        <f t="shared" si="23"/>
        <v>#DIV/0!</v>
      </c>
      <c r="BE76" s="52">
        <v>0</v>
      </c>
      <c r="BF76" s="37">
        <v>0</v>
      </c>
      <c r="BG76" s="37">
        <v>0</v>
      </c>
      <c r="BH76" s="37">
        <f t="shared" si="24"/>
        <v>0</v>
      </c>
      <c r="BI76" s="52">
        <v>750</v>
      </c>
      <c r="BJ76" s="37">
        <v>0</v>
      </c>
      <c r="BK76" s="52">
        <f t="shared" si="25"/>
        <v>750</v>
      </c>
      <c r="BL76" s="52">
        <f t="shared" si="26"/>
        <v>0</v>
      </c>
      <c r="BM76" s="52" t="e">
        <f t="shared" si="27"/>
        <v>#DIV/0!</v>
      </c>
      <c r="BN76" s="53">
        <v>0</v>
      </c>
      <c r="BO76" s="38">
        <v>0</v>
      </c>
      <c r="BP76" s="38">
        <v>0</v>
      </c>
      <c r="BQ76" s="53">
        <f t="shared" si="28"/>
        <v>0</v>
      </c>
      <c r="BR76" s="53">
        <v>2450</v>
      </c>
      <c r="BS76" s="38">
        <v>0</v>
      </c>
      <c r="BT76" s="53">
        <f t="shared" si="29"/>
        <v>2450</v>
      </c>
      <c r="BU76" s="53">
        <f t="shared" si="30"/>
        <v>0</v>
      </c>
      <c r="BV76" s="53" t="e">
        <f t="shared" si="31"/>
        <v>#DIV/0!</v>
      </c>
      <c r="BW76" s="54">
        <v>0</v>
      </c>
      <c r="BX76" s="39">
        <v>0</v>
      </c>
      <c r="BY76" s="39">
        <v>0</v>
      </c>
      <c r="BZ76" s="54">
        <f t="shared" si="32"/>
        <v>0</v>
      </c>
      <c r="CA76" s="54">
        <v>750</v>
      </c>
      <c r="CB76" s="54">
        <v>0</v>
      </c>
      <c r="CC76" s="54">
        <f t="shared" si="33"/>
        <v>750</v>
      </c>
      <c r="CD76" s="54">
        <f t="shared" si="34"/>
        <v>0</v>
      </c>
      <c r="CE76" s="54" t="e">
        <f t="shared" si="35"/>
        <v>#DIV/0!</v>
      </c>
      <c r="CF76" s="55">
        <v>0</v>
      </c>
      <c r="CG76" s="55">
        <v>0</v>
      </c>
      <c r="CH76" s="55">
        <v>0</v>
      </c>
      <c r="CI76" s="55">
        <f t="shared" si="36"/>
        <v>0</v>
      </c>
      <c r="CJ76" s="55">
        <v>730</v>
      </c>
      <c r="CK76" s="55">
        <v>0</v>
      </c>
      <c r="CL76" s="55">
        <f t="shared" si="37"/>
        <v>730</v>
      </c>
      <c r="CM76" s="55">
        <f t="shared" si="38"/>
        <v>0</v>
      </c>
      <c r="CN76" s="55" t="e">
        <f t="shared" si="39"/>
        <v>#DIV/0!</v>
      </c>
      <c r="CO76" s="56">
        <v>0</v>
      </c>
      <c r="CP76" s="56">
        <v>0</v>
      </c>
      <c r="CQ76" s="56">
        <v>0</v>
      </c>
      <c r="CR76" s="56">
        <f t="shared" si="40"/>
        <v>0</v>
      </c>
      <c r="CS76" s="56">
        <v>730</v>
      </c>
      <c r="CT76" s="56">
        <v>0</v>
      </c>
      <c r="CU76" s="56">
        <f t="shared" si="41"/>
        <v>730</v>
      </c>
      <c r="CV76" s="56">
        <f t="shared" si="42"/>
        <v>0</v>
      </c>
      <c r="CW76" s="56" t="e">
        <f t="shared" si="43"/>
        <v>#DIV/0!</v>
      </c>
      <c r="CX76" s="57">
        <v>0</v>
      </c>
      <c r="CY76" s="57">
        <v>0</v>
      </c>
      <c r="CZ76" s="57">
        <v>0</v>
      </c>
      <c r="DA76" s="57">
        <f t="shared" si="44"/>
        <v>0</v>
      </c>
      <c r="DB76" s="57">
        <v>600</v>
      </c>
      <c r="DC76" s="57">
        <v>0</v>
      </c>
      <c r="DD76" s="57">
        <f t="shared" si="45"/>
        <v>600</v>
      </c>
      <c r="DE76" s="57">
        <f t="shared" si="46"/>
        <v>0</v>
      </c>
      <c r="DF76" s="57" t="e">
        <f t="shared" si="47"/>
        <v>#DIV/0!</v>
      </c>
    </row>
    <row r="77" spans="1:110" ht="14.25" customHeight="1">
      <c r="A77" s="43"/>
      <c r="B77" s="44"/>
      <c r="C77" s="45">
        <v>0</v>
      </c>
      <c r="D77" s="30">
        <v>0</v>
      </c>
      <c r="E77" s="30">
        <v>0</v>
      </c>
      <c r="F77" s="45">
        <f t="shared" si="0"/>
        <v>0</v>
      </c>
      <c r="G77" s="45">
        <v>900</v>
      </c>
      <c r="H77" s="30">
        <v>0</v>
      </c>
      <c r="I77" s="45">
        <f t="shared" si="1"/>
        <v>900</v>
      </c>
      <c r="J77" s="45">
        <f t="shared" si="2"/>
        <v>0</v>
      </c>
      <c r="K77" s="46" t="e">
        <f t="shared" si="3"/>
        <v>#DIV/0!</v>
      </c>
      <c r="L77" s="47">
        <v>0</v>
      </c>
      <c r="M77" s="32">
        <v>0</v>
      </c>
      <c r="N77" s="32">
        <v>0</v>
      </c>
      <c r="O77" s="47">
        <f t="shared" si="4"/>
        <v>0</v>
      </c>
      <c r="P77" s="47">
        <v>1800</v>
      </c>
      <c r="Q77" s="47">
        <v>0</v>
      </c>
      <c r="R77" s="47">
        <f t="shared" si="5"/>
        <v>1800</v>
      </c>
      <c r="S77" s="47">
        <f t="shared" si="6"/>
        <v>0</v>
      </c>
      <c r="T77" s="47" t="e">
        <f t="shared" si="7"/>
        <v>#DIV/0!</v>
      </c>
      <c r="U77" s="48">
        <v>0</v>
      </c>
      <c r="V77" s="48">
        <v>0</v>
      </c>
      <c r="W77" s="48">
        <v>0</v>
      </c>
      <c r="X77" s="48">
        <f t="shared" si="8"/>
        <v>0</v>
      </c>
      <c r="Y77" s="48">
        <v>910</v>
      </c>
      <c r="Z77" s="33">
        <v>0</v>
      </c>
      <c r="AA77" s="48">
        <f t="shared" si="9"/>
        <v>910</v>
      </c>
      <c r="AB77" s="48">
        <f t="shared" si="10"/>
        <v>0</v>
      </c>
      <c r="AC77" s="48" t="e">
        <f t="shared" si="11"/>
        <v>#DIV/0!</v>
      </c>
      <c r="AD77" s="49">
        <v>0</v>
      </c>
      <c r="AE77" s="49">
        <v>0</v>
      </c>
      <c r="AF77" s="49">
        <v>0</v>
      </c>
      <c r="AG77" s="49">
        <f t="shared" si="12"/>
        <v>0</v>
      </c>
      <c r="AH77" s="49">
        <v>1200</v>
      </c>
      <c r="AI77" s="49">
        <v>0</v>
      </c>
      <c r="AJ77" s="49">
        <f t="shared" si="13"/>
        <v>1200</v>
      </c>
      <c r="AK77" s="49">
        <f t="shared" si="14"/>
        <v>0</v>
      </c>
      <c r="AL77" s="49" t="e">
        <f t="shared" si="15"/>
        <v>#DIV/0!</v>
      </c>
      <c r="AM77" s="50">
        <v>0</v>
      </c>
      <c r="AN77" s="50">
        <v>0</v>
      </c>
      <c r="AO77" s="50">
        <v>0</v>
      </c>
      <c r="AP77" s="50">
        <f t="shared" si="16"/>
        <v>0</v>
      </c>
      <c r="AQ77" s="50">
        <v>600</v>
      </c>
      <c r="AR77" s="50">
        <v>0</v>
      </c>
      <c r="AS77" s="50">
        <f t="shared" si="17"/>
        <v>600</v>
      </c>
      <c r="AT77" s="50">
        <f t="shared" si="18"/>
        <v>0</v>
      </c>
      <c r="AU77" s="50" t="e">
        <f t="shared" si="19"/>
        <v>#DIV/0!</v>
      </c>
      <c r="AV77" s="51">
        <v>0</v>
      </c>
      <c r="AW77" s="36">
        <v>0</v>
      </c>
      <c r="AX77" s="36">
        <v>0</v>
      </c>
      <c r="AY77" s="51">
        <f t="shared" si="20"/>
        <v>0</v>
      </c>
      <c r="AZ77" s="51">
        <v>1500</v>
      </c>
      <c r="BA77" s="51">
        <v>0</v>
      </c>
      <c r="BB77" s="51">
        <f t="shared" si="21"/>
        <v>1500</v>
      </c>
      <c r="BC77" s="51">
        <f t="shared" si="22"/>
        <v>0</v>
      </c>
      <c r="BD77" s="51" t="e">
        <f t="shared" si="23"/>
        <v>#DIV/0!</v>
      </c>
      <c r="BE77" s="52">
        <v>0</v>
      </c>
      <c r="BF77" s="37">
        <v>0</v>
      </c>
      <c r="BG77" s="37">
        <v>0</v>
      </c>
      <c r="BH77" s="37">
        <f t="shared" si="24"/>
        <v>0</v>
      </c>
      <c r="BI77" s="52">
        <v>750</v>
      </c>
      <c r="BJ77" s="37">
        <v>0</v>
      </c>
      <c r="BK77" s="52">
        <f t="shared" si="25"/>
        <v>750</v>
      </c>
      <c r="BL77" s="52">
        <f t="shared" si="26"/>
        <v>0</v>
      </c>
      <c r="BM77" s="52" t="e">
        <f t="shared" si="27"/>
        <v>#DIV/0!</v>
      </c>
      <c r="BN77" s="53">
        <v>0</v>
      </c>
      <c r="BO77" s="38">
        <v>0</v>
      </c>
      <c r="BP77" s="38">
        <v>0</v>
      </c>
      <c r="BQ77" s="53">
        <f t="shared" si="28"/>
        <v>0</v>
      </c>
      <c r="BR77" s="53">
        <v>2450</v>
      </c>
      <c r="BS77" s="38">
        <v>0</v>
      </c>
      <c r="BT77" s="53">
        <f t="shared" si="29"/>
        <v>2450</v>
      </c>
      <c r="BU77" s="53">
        <f t="shared" si="30"/>
        <v>0</v>
      </c>
      <c r="BV77" s="53" t="e">
        <f t="shared" si="31"/>
        <v>#DIV/0!</v>
      </c>
      <c r="BW77" s="54">
        <v>0</v>
      </c>
      <c r="BX77" s="39">
        <v>0</v>
      </c>
      <c r="BY77" s="39">
        <v>0</v>
      </c>
      <c r="BZ77" s="54">
        <f t="shared" si="32"/>
        <v>0</v>
      </c>
      <c r="CA77" s="54">
        <v>750</v>
      </c>
      <c r="CB77" s="54">
        <v>0</v>
      </c>
      <c r="CC77" s="54">
        <f t="shared" si="33"/>
        <v>750</v>
      </c>
      <c r="CD77" s="54">
        <f t="shared" si="34"/>
        <v>0</v>
      </c>
      <c r="CE77" s="54" t="e">
        <f t="shared" si="35"/>
        <v>#DIV/0!</v>
      </c>
      <c r="CF77" s="55">
        <v>0</v>
      </c>
      <c r="CG77" s="55">
        <v>0</v>
      </c>
      <c r="CH77" s="55">
        <v>0</v>
      </c>
      <c r="CI77" s="55">
        <f t="shared" si="36"/>
        <v>0</v>
      </c>
      <c r="CJ77" s="55">
        <v>730</v>
      </c>
      <c r="CK77" s="55">
        <v>0</v>
      </c>
      <c r="CL77" s="55">
        <f t="shared" si="37"/>
        <v>730</v>
      </c>
      <c r="CM77" s="55">
        <f t="shared" si="38"/>
        <v>0</v>
      </c>
      <c r="CN77" s="55" t="e">
        <f t="shared" si="39"/>
        <v>#DIV/0!</v>
      </c>
      <c r="CO77" s="56">
        <v>0</v>
      </c>
      <c r="CP77" s="56">
        <v>0</v>
      </c>
      <c r="CQ77" s="56">
        <v>0</v>
      </c>
      <c r="CR77" s="56">
        <f t="shared" si="40"/>
        <v>0</v>
      </c>
      <c r="CS77" s="56">
        <v>730</v>
      </c>
      <c r="CT77" s="56">
        <v>0</v>
      </c>
      <c r="CU77" s="56">
        <f t="shared" si="41"/>
        <v>730</v>
      </c>
      <c r="CV77" s="56">
        <f t="shared" si="42"/>
        <v>0</v>
      </c>
      <c r="CW77" s="56" t="e">
        <f t="shared" si="43"/>
        <v>#DIV/0!</v>
      </c>
      <c r="CX77" s="57">
        <v>0</v>
      </c>
      <c r="CY77" s="57">
        <v>0</v>
      </c>
      <c r="CZ77" s="57">
        <v>0</v>
      </c>
      <c r="DA77" s="57">
        <f t="shared" si="44"/>
        <v>0</v>
      </c>
      <c r="DB77" s="57">
        <v>600</v>
      </c>
      <c r="DC77" s="57">
        <v>0</v>
      </c>
      <c r="DD77" s="57">
        <f t="shared" si="45"/>
        <v>600</v>
      </c>
      <c r="DE77" s="57">
        <f t="shared" si="46"/>
        <v>0</v>
      </c>
      <c r="DF77" s="57" t="e">
        <f t="shared" si="47"/>
        <v>#DIV/0!</v>
      </c>
    </row>
    <row r="78" spans="1:110" ht="14.25" customHeight="1">
      <c r="A78" s="43"/>
      <c r="B78" s="44"/>
      <c r="C78" s="45">
        <v>0</v>
      </c>
      <c r="D78" s="30">
        <v>0</v>
      </c>
      <c r="E78" s="30">
        <v>0</v>
      </c>
      <c r="F78" s="45">
        <f t="shared" si="0"/>
        <v>0</v>
      </c>
      <c r="G78" s="45">
        <v>900</v>
      </c>
      <c r="H78" s="30">
        <v>0</v>
      </c>
      <c r="I78" s="45">
        <f t="shared" si="1"/>
        <v>900</v>
      </c>
      <c r="J78" s="45">
        <f t="shared" si="2"/>
        <v>0</v>
      </c>
      <c r="K78" s="46" t="e">
        <f t="shared" si="3"/>
        <v>#DIV/0!</v>
      </c>
      <c r="L78" s="47">
        <v>0</v>
      </c>
      <c r="M78" s="32">
        <v>0</v>
      </c>
      <c r="N78" s="32">
        <v>0</v>
      </c>
      <c r="O78" s="47">
        <f t="shared" si="4"/>
        <v>0</v>
      </c>
      <c r="P78" s="47">
        <v>1800</v>
      </c>
      <c r="Q78" s="47">
        <v>0</v>
      </c>
      <c r="R78" s="47">
        <f t="shared" si="5"/>
        <v>1800</v>
      </c>
      <c r="S78" s="47">
        <f t="shared" si="6"/>
        <v>0</v>
      </c>
      <c r="T78" s="47" t="e">
        <f t="shared" si="7"/>
        <v>#DIV/0!</v>
      </c>
      <c r="U78" s="48">
        <v>0</v>
      </c>
      <c r="V78" s="48">
        <v>0</v>
      </c>
      <c r="W78" s="48">
        <v>0</v>
      </c>
      <c r="X78" s="48">
        <f t="shared" si="8"/>
        <v>0</v>
      </c>
      <c r="Y78" s="48">
        <v>910</v>
      </c>
      <c r="Z78" s="33">
        <v>0</v>
      </c>
      <c r="AA78" s="48">
        <f t="shared" si="9"/>
        <v>910</v>
      </c>
      <c r="AB78" s="48">
        <f t="shared" si="10"/>
        <v>0</v>
      </c>
      <c r="AC78" s="48" t="e">
        <f t="shared" si="11"/>
        <v>#DIV/0!</v>
      </c>
      <c r="AD78" s="49">
        <v>0</v>
      </c>
      <c r="AE78" s="49">
        <v>0</v>
      </c>
      <c r="AF78" s="49">
        <v>0</v>
      </c>
      <c r="AG78" s="49">
        <f t="shared" si="12"/>
        <v>0</v>
      </c>
      <c r="AH78" s="49">
        <v>1200</v>
      </c>
      <c r="AI78" s="49">
        <v>0</v>
      </c>
      <c r="AJ78" s="49">
        <f t="shared" si="13"/>
        <v>1200</v>
      </c>
      <c r="AK78" s="49">
        <f t="shared" si="14"/>
        <v>0</v>
      </c>
      <c r="AL78" s="49" t="e">
        <f t="shared" si="15"/>
        <v>#DIV/0!</v>
      </c>
      <c r="AM78" s="50">
        <v>0</v>
      </c>
      <c r="AN78" s="50">
        <v>0</v>
      </c>
      <c r="AO78" s="50">
        <v>0</v>
      </c>
      <c r="AP78" s="50">
        <f t="shared" si="16"/>
        <v>0</v>
      </c>
      <c r="AQ78" s="50">
        <v>600</v>
      </c>
      <c r="AR78" s="50">
        <v>0</v>
      </c>
      <c r="AS78" s="50">
        <f t="shared" si="17"/>
        <v>600</v>
      </c>
      <c r="AT78" s="50">
        <f t="shared" si="18"/>
        <v>0</v>
      </c>
      <c r="AU78" s="50" t="e">
        <f t="shared" si="19"/>
        <v>#DIV/0!</v>
      </c>
      <c r="AV78" s="51">
        <v>0</v>
      </c>
      <c r="AW78" s="36">
        <v>0</v>
      </c>
      <c r="AX78" s="36">
        <v>0</v>
      </c>
      <c r="AY78" s="51">
        <f t="shared" si="20"/>
        <v>0</v>
      </c>
      <c r="AZ78" s="51">
        <v>1500</v>
      </c>
      <c r="BA78" s="51">
        <v>0</v>
      </c>
      <c r="BB78" s="51">
        <f t="shared" si="21"/>
        <v>1500</v>
      </c>
      <c r="BC78" s="51">
        <f t="shared" si="22"/>
        <v>0</v>
      </c>
      <c r="BD78" s="51" t="e">
        <f t="shared" si="23"/>
        <v>#DIV/0!</v>
      </c>
      <c r="BE78" s="52">
        <v>0</v>
      </c>
      <c r="BF78" s="37">
        <v>0</v>
      </c>
      <c r="BG78" s="37">
        <v>0</v>
      </c>
      <c r="BH78" s="37">
        <f t="shared" si="24"/>
        <v>0</v>
      </c>
      <c r="BI78" s="52">
        <v>750</v>
      </c>
      <c r="BJ78" s="37">
        <v>0</v>
      </c>
      <c r="BK78" s="52">
        <f t="shared" si="25"/>
        <v>750</v>
      </c>
      <c r="BL78" s="52">
        <f t="shared" si="26"/>
        <v>0</v>
      </c>
      <c r="BM78" s="52" t="e">
        <f t="shared" si="27"/>
        <v>#DIV/0!</v>
      </c>
      <c r="BN78" s="53">
        <v>0</v>
      </c>
      <c r="BO78" s="38">
        <v>0</v>
      </c>
      <c r="BP78" s="38">
        <v>0</v>
      </c>
      <c r="BQ78" s="53">
        <f t="shared" si="28"/>
        <v>0</v>
      </c>
      <c r="BR78" s="53">
        <v>2450</v>
      </c>
      <c r="BS78" s="38">
        <v>0</v>
      </c>
      <c r="BT78" s="53">
        <f t="shared" si="29"/>
        <v>2450</v>
      </c>
      <c r="BU78" s="53">
        <f t="shared" si="30"/>
        <v>0</v>
      </c>
      <c r="BV78" s="53" t="e">
        <f t="shared" si="31"/>
        <v>#DIV/0!</v>
      </c>
      <c r="BW78" s="54">
        <v>0</v>
      </c>
      <c r="BX78" s="39">
        <v>0</v>
      </c>
      <c r="BY78" s="39">
        <v>0</v>
      </c>
      <c r="BZ78" s="54">
        <f t="shared" si="32"/>
        <v>0</v>
      </c>
      <c r="CA78" s="54">
        <v>750</v>
      </c>
      <c r="CB78" s="54">
        <v>0</v>
      </c>
      <c r="CC78" s="54">
        <f t="shared" si="33"/>
        <v>750</v>
      </c>
      <c r="CD78" s="54">
        <f t="shared" si="34"/>
        <v>0</v>
      </c>
      <c r="CE78" s="54" t="e">
        <f t="shared" si="35"/>
        <v>#DIV/0!</v>
      </c>
      <c r="CF78" s="55">
        <v>0</v>
      </c>
      <c r="CG78" s="55">
        <v>0</v>
      </c>
      <c r="CH78" s="55">
        <v>0</v>
      </c>
      <c r="CI78" s="55">
        <f t="shared" si="36"/>
        <v>0</v>
      </c>
      <c r="CJ78" s="55">
        <v>730</v>
      </c>
      <c r="CK78" s="55">
        <v>0</v>
      </c>
      <c r="CL78" s="55">
        <f t="shared" si="37"/>
        <v>730</v>
      </c>
      <c r="CM78" s="55">
        <f t="shared" si="38"/>
        <v>0</v>
      </c>
      <c r="CN78" s="55" t="e">
        <f t="shared" si="39"/>
        <v>#DIV/0!</v>
      </c>
      <c r="CO78" s="56">
        <v>0</v>
      </c>
      <c r="CP78" s="56">
        <v>0</v>
      </c>
      <c r="CQ78" s="56">
        <v>0</v>
      </c>
      <c r="CR78" s="56">
        <f t="shared" si="40"/>
        <v>0</v>
      </c>
      <c r="CS78" s="56">
        <v>730</v>
      </c>
      <c r="CT78" s="56">
        <v>0</v>
      </c>
      <c r="CU78" s="56">
        <f t="shared" si="41"/>
        <v>730</v>
      </c>
      <c r="CV78" s="56">
        <f t="shared" si="42"/>
        <v>0</v>
      </c>
      <c r="CW78" s="56" t="e">
        <f t="shared" si="43"/>
        <v>#DIV/0!</v>
      </c>
      <c r="CX78" s="57">
        <v>0</v>
      </c>
      <c r="CY78" s="57">
        <v>0</v>
      </c>
      <c r="CZ78" s="57">
        <v>0</v>
      </c>
      <c r="DA78" s="57">
        <f t="shared" si="44"/>
        <v>0</v>
      </c>
      <c r="DB78" s="57">
        <v>600</v>
      </c>
      <c r="DC78" s="57">
        <v>0</v>
      </c>
      <c r="DD78" s="57">
        <f t="shared" si="45"/>
        <v>600</v>
      </c>
      <c r="DE78" s="57">
        <f t="shared" si="46"/>
        <v>0</v>
      </c>
      <c r="DF78" s="57" t="e">
        <f t="shared" si="47"/>
        <v>#DIV/0!</v>
      </c>
    </row>
    <row r="79" spans="1:110" ht="14.25" customHeight="1">
      <c r="A79" s="43"/>
      <c r="B79" s="44"/>
      <c r="C79" s="45">
        <v>0</v>
      </c>
      <c r="D79" s="30">
        <v>0</v>
      </c>
      <c r="E79" s="30">
        <v>0</v>
      </c>
      <c r="F79" s="45">
        <f t="shared" si="0"/>
        <v>0</v>
      </c>
      <c r="G79" s="45">
        <v>900</v>
      </c>
      <c r="H79" s="30">
        <v>0</v>
      </c>
      <c r="I79" s="45">
        <f t="shared" si="1"/>
        <v>900</v>
      </c>
      <c r="J79" s="45">
        <f t="shared" si="2"/>
        <v>0</v>
      </c>
      <c r="K79" s="46" t="e">
        <f t="shared" si="3"/>
        <v>#DIV/0!</v>
      </c>
      <c r="L79" s="47">
        <v>0</v>
      </c>
      <c r="M79" s="32">
        <v>0</v>
      </c>
      <c r="N79" s="32">
        <v>0</v>
      </c>
      <c r="O79" s="47">
        <f t="shared" si="4"/>
        <v>0</v>
      </c>
      <c r="P79" s="47">
        <v>1800</v>
      </c>
      <c r="Q79" s="47">
        <v>0</v>
      </c>
      <c r="R79" s="47">
        <f t="shared" si="5"/>
        <v>1800</v>
      </c>
      <c r="S79" s="47">
        <f t="shared" si="6"/>
        <v>0</v>
      </c>
      <c r="T79" s="47" t="e">
        <f t="shared" si="7"/>
        <v>#DIV/0!</v>
      </c>
      <c r="U79" s="48">
        <v>0</v>
      </c>
      <c r="V79" s="48">
        <v>0</v>
      </c>
      <c r="W79" s="48">
        <v>0</v>
      </c>
      <c r="X79" s="48">
        <f t="shared" si="8"/>
        <v>0</v>
      </c>
      <c r="Y79" s="48">
        <v>910</v>
      </c>
      <c r="Z79" s="33">
        <v>0</v>
      </c>
      <c r="AA79" s="48">
        <f t="shared" si="9"/>
        <v>910</v>
      </c>
      <c r="AB79" s="48">
        <f t="shared" si="10"/>
        <v>0</v>
      </c>
      <c r="AC79" s="48" t="e">
        <f t="shared" si="11"/>
        <v>#DIV/0!</v>
      </c>
      <c r="AD79" s="49">
        <v>0</v>
      </c>
      <c r="AE79" s="49">
        <v>0</v>
      </c>
      <c r="AF79" s="49">
        <v>0</v>
      </c>
      <c r="AG79" s="49">
        <f t="shared" si="12"/>
        <v>0</v>
      </c>
      <c r="AH79" s="49">
        <v>1200</v>
      </c>
      <c r="AI79" s="49">
        <v>0</v>
      </c>
      <c r="AJ79" s="49">
        <f t="shared" si="13"/>
        <v>1200</v>
      </c>
      <c r="AK79" s="49">
        <f t="shared" si="14"/>
        <v>0</v>
      </c>
      <c r="AL79" s="49" t="e">
        <f t="shared" si="15"/>
        <v>#DIV/0!</v>
      </c>
      <c r="AM79" s="50">
        <v>0</v>
      </c>
      <c r="AN79" s="50">
        <v>0</v>
      </c>
      <c r="AO79" s="50">
        <v>0</v>
      </c>
      <c r="AP79" s="50">
        <f t="shared" si="16"/>
        <v>0</v>
      </c>
      <c r="AQ79" s="50">
        <v>600</v>
      </c>
      <c r="AR79" s="50">
        <v>0</v>
      </c>
      <c r="AS79" s="50">
        <f t="shared" si="17"/>
        <v>600</v>
      </c>
      <c r="AT79" s="50">
        <f t="shared" si="18"/>
        <v>0</v>
      </c>
      <c r="AU79" s="50" t="e">
        <f t="shared" si="19"/>
        <v>#DIV/0!</v>
      </c>
      <c r="AV79" s="51">
        <v>0</v>
      </c>
      <c r="AW79" s="36">
        <v>0</v>
      </c>
      <c r="AX79" s="36">
        <v>0</v>
      </c>
      <c r="AY79" s="51">
        <f t="shared" si="20"/>
        <v>0</v>
      </c>
      <c r="AZ79" s="51">
        <v>1500</v>
      </c>
      <c r="BA79" s="51">
        <v>0</v>
      </c>
      <c r="BB79" s="51">
        <f t="shared" si="21"/>
        <v>1500</v>
      </c>
      <c r="BC79" s="51">
        <f t="shared" si="22"/>
        <v>0</v>
      </c>
      <c r="BD79" s="51" t="e">
        <f t="shared" si="23"/>
        <v>#DIV/0!</v>
      </c>
      <c r="BE79" s="52">
        <v>0</v>
      </c>
      <c r="BF79" s="37">
        <v>0</v>
      </c>
      <c r="BG79" s="37">
        <v>0</v>
      </c>
      <c r="BH79" s="37">
        <f t="shared" si="24"/>
        <v>0</v>
      </c>
      <c r="BI79" s="52">
        <v>750</v>
      </c>
      <c r="BJ79" s="37">
        <v>0</v>
      </c>
      <c r="BK79" s="52">
        <f t="shared" si="25"/>
        <v>750</v>
      </c>
      <c r="BL79" s="52">
        <f t="shared" si="26"/>
        <v>0</v>
      </c>
      <c r="BM79" s="52" t="e">
        <f t="shared" si="27"/>
        <v>#DIV/0!</v>
      </c>
      <c r="BN79" s="53">
        <v>0</v>
      </c>
      <c r="BO79" s="38">
        <v>0</v>
      </c>
      <c r="BP79" s="38">
        <v>0</v>
      </c>
      <c r="BQ79" s="53">
        <f t="shared" si="28"/>
        <v>0</v>
      </c>
      <c r="BR79" s="53">
        <v>2450</v>
      </c>
      <c r="BS79" s="38">
        <v>0</v>
      </c>
      <c r="BT79" s="53">
        <f t="shared" si="29"/>
        <v>2450</v>
      </c>
      <c r="BU79" s="53">
        <f t="shared" si="30"/>
        <v>0</v>
      </c>
      <c r="BV79" s="53" t="e">
        <f t="shared" si="31"/>
        <v>#DIV/0!</v>
      </c>
      <c r="BW79" s="54">
        <v>0</v>
      </c>
      <c r="BX79" s="39">
        <v>0</v>
      </c>
      <c r="BY79" s="39">
        <v>0</v>
      </c>
      <c r="BZ79" s="54">
        <f t="shared" si="32"/>
        <v>0</v>
      </c>
      <c r="CA79" s="54">
        <v>750</v>
      </c>
      <c r="CB79" s="54">
        <v>0</v>
      </c>
      <c r="CC79" s="54">
        <f t="shared" si="33"/>
        <v>750</v>
      </c>
      <c r="CD79" s="54">
        <f t="shared" si="34"/>
        <v>0</v>
      </c>
      <c r="CE79" s="54" t="e">
        <f t="shared" si="35"/>
        <v>#DIV/0!</v>
      </c>
      <c r="CF79" s="55">
        <v>0</v>
      </c>
      <c r="CG79" s="55">
        <v>0</v>
      </c>
      <c r="CH79" s="55">
        <v>0</v>
      </c>
      <c r="CI79" s="55">
        <f t="shared" si="36"/>
        <v>0</v>
      </c>
      <c r="CJ79" s="55">
        <v>730</v>
      </c>
      <c r="CK79" s="55">
        <v>0</v>
      </c>
      <c r="CL79" s="55">
        <f t="shared" si="37"/>
        <v>730</v>
      </c>
      <c r="CM79" s="55">
        <f t="shared" si="38"/>
        <v>0</v>
      </c>
      <c r="CN79" s="55" t="e">
        <f t="shared" si="39"/>
        <v>#DIV/0!</v>
      </c>
      <c r="CO79" s="56">
        <v>0</v>
      </c>
      <c r="CP79" s="56">
        <v>0</v>
      </c>
      <c r="CQ79" s="56">
        <v>0</v>
      </c>
      <c r="CR79" s="56">
        <f t="shared" si="40"/>
        <v>0</v>
      </c>
      <c r="CS79" s="56">
        <v>730</v>
      </c>
      <c r="CT79" s="56">
        <v>0</v>
      </c>
      <c r="CU79" s="56">
        <f t="shared" si="41"/>
        <v>730</v>
      </c>
      <c r="CV79" s="56">
        <f t="shared" si="42"/>
        <v>0</v>
      </c>
      <c r="CW79" s="56" t="e">
        <f t="shared" si="43"/>
        <v>#DIV/0!</v>
      </c>
      <c r="CX79" s="57">
        <v>0</v>
      </c>
      <c r="CY79" s="57">
        <v>0</v>
      </c>
      <c r="CZ79" s="57">
        <v>0</v>
      </c>
      <c r="DA79" s="57">
        <f t="shared" si="44"/>
        <v>0</v>
      </c>
      <c r="DB79" s="57">
        <v>600</v>
      </c>
      <c r="DC79" s="57">
        <v>0</v>
      </c>
      <c r="DD79" s="57">
        <f t="shared" si="45"/>
        <v>600</v>
      </c>
      <c r="DE79" s="57">
        <f t="shared" si="46"/>
        <v>0</v>
      </c>
      <c r="DF79" s="57" t="e">
        <f t="shared" si="47"/>
        <v>#DIV/0!</v>
      </c>
    </row>
    <row r="80" spans="1:110" ht="14.25" customHeight="1">
      <c r="A80" s="43"/>
      <c r="B80" s="44"/>
      <c r="C80" s="45">
        <v>0</v>
      </c>
      <c r="D80" s="30">
        <v>0</v>
      </c>
      <c r="E80" s="30">
        <v>0</v>
      </c>
      <c r="F80" s="45">
        <f t="shared" si="0"/>
        <v>0</v>
      </c>
      <c r="G80" s="45">
        <v>900</v>
      </c>
      <c r="H80" s="30">
        <v>0</v>
      </c>
      <c r="I80" s="45">
        <f t="shared" si="1"/>
        <v>900</v>
      </c>
      <c r="J80" s="45">
        <f t="shared" si="2"/>
        <v>0</v>
      </c>
      <c r="K80" s="46" t="e">
        <f t="shared" si="3"/>
        <v>#DIV/0!</v>
      </c>
      <c r="L80" s="47">
        <v>0</v>
      </c>
      <c r="M80" s="32">
        <v>0</v>
      </c>
      <c r="N80" s="32">
        <v>0</v>
      </c>
      <c r="O80" s="47">
        <f t="shared" si="4"/>
        <v>0</v>
      </c>
      <c r="P80" s="47">
        <v>1800</v>
      </c>
      <c r="Q80" s="47">
        <v>0</v>
      </c>
      <c r="R80" s="47">
        <f t="shared" si="5"/>
        <v>1800</v>
      </c>
      <c r="S80" s="47">
        <f t="shared" si="6"/>
        <v>0</v>
      </c>
      <c r="T80" s="47" t="e">
        <f t="shared" si="7"/>
        <v>#DIV/0!</v>
      </c>
      <c r="U80" s="48">
        <v>0</v>
      </c>
      <c r="V80" s="48">
        <v>0</v>
      </c>
      <c r="W80" s="48">
        <v>0</v>
      </c>
      <c r="X80" s="48">
        <f t="shared" si="8"/>
        <v>0</v>
      </c>
      <c r="Y80" s="48">
        <v>910</v>
      </c>
      <c r="Z80" s="33">
        <v>0</v>
      </c>
      <c r="AA80" s="48">
        <f t="shared" si="9"/>
        <v>910</v>
      </c>
      <c r="AB80" s="48">
        <f t="shared" si="10"/>
        <v>0</v>
      </c>
      <c r="AC80" s="48" t="e">
        <f t="shared" si="11"/>
        <v>#DIV/0!</v>
      </c>
      <c r="AD80" s="49">
        <v>0</v>
      </c>
      <c r="AE80" s="49">
        <v>0</v>
      </c>
      <c r="AF80" s="49">
        <v>0</v>
      </c>
      <c r="AG80" s="49">
        <f t="shared" si="12"/>
        <v>0</v>
      </c>
      <c r="AH80" s="49">
        <v>1200</v>
      </c>
      <c r="AI80" s="49">
        <v>0</v>
      </c>
      <c r="AJ80" s="49">
        <f t="shared" si="13"/>
        <v>1200</v>
      </c>
      <c r="AK80" s="49">
        <f t="shared" si="14"/>
        <v>0</v>
      </c>
      <c r="AL80" s="49" t="e">
        <f t="shared" si="15"/>
        <v>#DIV/0!</v>
      </c>
      <c r="AM80" s="50">
        <v>0</v>
      </c>
      <c r="AN80" s="50">
        <v>0</v>
      </c>
      <c r="AO80" s="50">
        <v>0</v>
      </c>
      <c r="AP80" s="50">
        <f t="shared" si="16"/>
        <v>0</v>
      </c>
      <c r="AQ80" s="50">
        <v>600</v>
      </c>
      <c r="AR80" s="50">
        <v>0</v>
      </c>
      <c r="AS80" s="50">
        <f t="shared" si="17"/>
        <v>600</v>
      </c>
      <c r="AT80" s="50">
        <f t="shared" si="18"/>
        <v>0</v>
      </c>
      <c r="AU80" s="50" t="e">
        <f t="shared" si="19"/>
        <v>#DIV/0!</v>
      </c>
      <c r="AV80" s="51">
        <v>0</v>
      </c>
      <c r="AW80" s="36">
        <v>0</v>
      </c>
      <c r="AX80" s="36">
        <v>0</v>
      </c>
      <c r="AY80" s="51">
        <f t="shared" si="20"/>
        <v>0</v>
      </c>
      <c r="AZ80" s="51">
        <v>1500</v>
      </c>
      <c r="BA80" s="51">
        <v>0</v>
      </c>
      <c r="BB80" s="51">
        <f t="shared" si="21"/>
        <v>1500</v>
      </c>
      <c r="BC80" s="51">
        <f t="shared" si="22"/>
        <v>0</v>
      </c>
      <c r="BD80" s="51" t="e">
        <f t="shared" si="23"/>
        <v>#DIV/0!</v>
      </c>
      <c r="BE80" s="52">
        <v>0</v>
      </c>
      <c r="BF80" s="37">
        <v>0</v>
      </c>
      <c r="BG80" s="37">
        <v>0</v>
      </c>
      <c r="BH80" s="37">
        <f t="shared" si="24"/>
        <v>0</v>
      </c>
      <c r="BI80" s="52">
        <v>750</v>
      </c>
      <c r="BJ80" s="37">
        <v>0</v>
      </c>
      <c r="BK80" s="52">
        <f t="shared" si="25"/>
        <v>750</v>
      </c>
      <c r="BL80" s="52">
        <f t="shared" si="26"/>
        <v>0</v>
      </c>
      <c r="BM80" s="52" t="e">
        <f t="shared" si="27"/>
        <v>#DIV/0!</v>
      </c>
      <c r="BN80" s="53">
        <v>0</v>
      </c>
      <c r="BO80" s="38">
        <v>0</v>
      </c>
      <c r="BP80" s="38">
        <v>0</v>
      </c>
      <c r="BQ80" s="53">
        <f t="shared" si="28"/>
        <v>0</v>
      </c>
      <c r="BR80" s="53">
        <v>2450</v>
      </c>
      <c r="BS80" s="38">
        <v>0</v>
      </c>
      <c r="BT80" s="53">
        <f t="shared" si="29"/>
        <v>2450</v>
      </c>
      <c r="BU80" s="53">
        <f t="shared" si="30"/>
        <v>0</v>
      </c>
      <c r="BV80" s="53" t="e">
        <f t="shared" si="31"/>
        <v>#DIV/0!</v>
      </c>
      <c r="BW80" s="54">
        <v>0</v>
      </c>
      <c r="BX80" s="39">
        <v>0</v>
      </c>
      <c r="BY80" s="39">
        <v>0</v>
      </c>
      <c r="BZ80" s="54">
        <f t="shared" si="32"/>
        <v>0</v>
      </c>
      <c r="CA80" s="54">
        <v>750</v>
      </c>
      <c r="CB80" s="54">
        <v>0</v>
      </c>
      <c r="CC80" s="54">
        <f t="shared" si="33"/>
        <v>750</v>
      </c>
      <c r="CD80" s="54">
        <f t="shared" si="34"/>
        <v>0</v>
      </c>
      <c r="CE80" s="54" t="e">
        <f t="shared" si="35"/>
        <v>#DIV/0!</v>
      </c>
      <c r="CF80" s="55">
        <v>0</v>
      </c>
      <c r="CG80" s="55">
        <v>0</v>
      </c>
      <c r="CH80" s="55">
        <v>0</v>
      </c>
      <c r="CI80" s="55">
        <f t="shared" si="36"/>
        <v>0</v>
      </c>
      <c r="CJ80" s="55">
        <v>730</v>
      </c>
      <c r="CK80" s="55">
        <v>0</v>
      </c>
      <c r="CL80" s="55">
        <f t="shared" si="37"/>
        <v>730</v>
      </c>
      <c r="CM80" s="55">
        <f t="shared" si="38"/>
        <v>0</v>
      </c>
      <c r="CN80" s="55" t="e">
        <f t="shared" si="39"/>
        <v>#DIV/0!</v>
      </c>
      <c r="CO80" s="56">
        <v>0</v>
      </c>
      <c r="CP80" s="56">
        <v>0</v>
      </c>
      <c r="CQ80" s="56">
        <v>0</v>
      </c>
      <c r="CR80" s="56">
        <f t="shared" si="40"/>
        <v>0</v>
      </c>
      <c r="CS80" s="56">
        <v>730</v>
      </c>
      <c r="CT80" s="56">
        <v>0</v>
      </c>
      <c r="CU80" s="56">
        <f t="shared" si="41"/>
        <v>730</v>
      </c>
      <c r="CV80" s="56">
        <f t="shared" si="42"/>
        <v>0</v>
      </c>
      <c r="CW80" s="56" t="e">
        <f t="shared" si="43"/>
        <v>#DIV/0!</v>
      </c>
      <c r="CX80" s="57">
        <v>0</v>
      </c>
      <c r="CY80" s="57">
        <v>0</v>
      </c>
      <c r="CZ80" s="57">
        <v>0</v>
      </c>
      <c r="DA80" s="57">
        <f t="shared" si="44"/>
        <v>0</v>
      </c>
      <c r="DB80" s="57">
        <v>600</v>
      </c>
      <c r="DC80" s="57">
        <v>0</v>
      </c>
      <c r="DD80" s="57">
        <f t="shared" si="45"/>
        <v>600</v>
      </c>
      <c r="DE80" s="57">
        <f t="shared" si="46"/>
        <v>0</v>
      </c>
      <c r="DF80" s="57" t="e">
        <f t="shared" si="47"/>
        <v>#DIV/0!</v>
      </c>
    </row>
    <row r="81" spans="1:110" ht="14.25" customHeight="1">
      <c r="A81" s="43"/>
      <c r="B81" s="44"/>
      <c r="C81" s="45">
        <v>0</v>
      </c>
      <c r="D81" s="30">
        <v>0</v>
      </c>
      <c r="E81" s="30">
        <v>0</v>
      </c>
      <c r="F81" s="45">
        <f t="shared" si="0"/>
        <v>0</v>
      </c>
      <c r="G81" s="45">
        <v>900</v>
      </c>
      <c r="H81" s="30">
        <v>0</v>
      </c>
      <c r="I81" s="45">
        <f t="shared" si="1"/>
        <v>900</v>
      </c>
      <c r="J81" s="45">
        <f t="shared" si="2"/>
        <v>0</v>
      </c>
      <c r="K81" s="46" t="e">
        <f t="shared" si="3"/>
        <v>#DIV/0!</v>
      </c>
      <c r="L81" s="47">
        <v>0</v>
      </c>
      <c r="M81" s="32">
        <v>0</v>
      </c>
      <c r="N81" s="32">
        <v>0</v>
      </c>
      <c r="O81" s="47">
        <f t="shared" si="4"/>
        <v>0</v>
      </c>
      <c r="P81" s="47">
        <v>1800</v>
      </c>
      <c r="Q81" s="47">
        <v>0</v>
      </c>
      <c r="R81" s="47">
        <f t="shared" si="5"/>
        <v>1800</v>
      </c>
      <c r="S81" s="47">
        <f t="shared" si="6"/>
        <v>0</v>
      </c>
      <c r="T81" s="47" t="e">
        <f t="shared" si="7"/>
        <v>#DIV/0!</v>
      </c>
      <c r="U81" s="48">
        <v>0</v>
      </c>
      <c r="V81" s="48">
        <v>0</v>
      </c>
      <c r="W81" s="48">
        <v>0</v>
      </c>
      <c r="X81" s="48">
        <f t="shared" si="8"/>
        <v>0</v>
      </c>
      <c r="Y81" s="48">
        <v>910</v>
      </c>
      <c r="Z81" s="33">
        <v>0</v>
      </c>
      <c r="AA81" s="48">
        <f t="shared" si="9"/>
        <v>910</v>
      </c>
      <c r="AB81" s="48">
        <f t="shared" si="10"/>
        <v>0</v>
      </c>
      <c r="AC81" s="48" t="e">
        <f t="shared" si="11"/>
        <v>#DIV/0!</v>
      </c>
      <c r="AD81" s="49">
        <v>0</v>
      </c>
      <c r="AE81" s="49">
        <v>0</v>
      </c>
      <c r="AF81" s="49">
        <v>0</v>
      </c>
      <c r="AG81" s="49">
        <f t="shared" si="12"/>
        <v>0</v>
      </c>
      <c r="AH81" s="49">
        <v>1200</v>
      </c>
      <c r="AI81" s="49">
        <v>0</v>
      </c>
      <c r="AJ81" s="49">
        <f t="shared" si="13"/>
        <v>1200</v>
      </c>
      <c r="AK81" s="49">
        <f t="shared" si="14"/>
        <v>0</v>
      </c>
      <c r="AL81" s="49" t="e">
        <f t="shared" si="15"/>
        <v>#DIV/0!</v>
      </c>
      <c r="AM81" s="50">
        <v>0</v>
      </c>
      <c r="AN81" s="50">
        <v>0</v>
      </c>
      <c r="AO81" s="50">
        <v>0</v>
      </c>
      <c r="AP81" s="50">
        <f t="shared" si="16"/>
        <v>0</v>
      </c>
      <c r="AQ81" s="50">
        <v>600</v>
      </c>
      <c r="AR81" s="50">
        <v>0</v>
      </c>
      <c r="AS81" s="50">
        <f t="shared" si="17"/>
        <v>600</v>
      </c>
      <c r="AT81" s="50">
        <f t="shared" si="18"/>
        <v>0</v>
      </c>
      <c r="AU81" s="50" t="e">
        <f t="shared" si="19"/>
        <v>#DIV/0!</v>
      </c>
      <c r="AV81" s="51">
        <v>0</v>
      </c>
      <c r="AW81" s="36">
        <v>0</v>
      </c>
      <c r="AX81" s="36">
        <v>0</v>
      </c>
      <c r="AY81" s="51">
        <f t="shared" si="20"/>
        <v>0</v>
      </c>
      <c r="AZ81" s="51">
        <v>1500</v>
      </c>
      <c r="BA81" s="51">
        <v>0</v>
      </c>
      <c r="BB81" s="51">
        <f t="shared" si="21"/>
        <v>1500</v>
      </c>
      <c r="BC81" s="51">
        <f t="shared" si="22"/>
        <v>0</v>
      </c>
      <c r="BD81" s="51" t="e">
        <f t="shared" si="23"/>
        <v>#DIV/0!</v>
      </c>
      <c r="BE81" s="52">
        <v>0</v>
      </c>
      <c r="BF81" s="37">
        <v>0</v>
      </c>
      <c r="BG81" s="37">
        <v>0</v>
      </c>
      <c r="BH81" s="37">
        <f t="shared" si="24"/>
        <v>0</v>
      </c>
      <c r="BI81" s="52">
        <v>750</v>
      </c>
      <c r="BJ81" s="37">
        <v>0</v>
      </c>
      <c r="BK81" s="52">
        <f t="shared" si="25"/>
        <v>750</v>
      </c>
      <c r="BL81" s="52">
        <f t="shared" si="26"/>
        <v>0</v>
      </c>
      <c r="BM81" s="52" t="e">
        <f t="shared" si="27"/>
        <v>#DIV/0!</v>
      </c>
      <c r="BN81" s="53">
        <v>0</v>
      </c>
      <c r="BO81" s="38">
        <v>0</v>
      </c>
      <c r="BP81" s="38">
        <v>0</v>
      </c>
      <c r="BQ81" s="53">
        <f t="shared" si="28"/>
        <v>0</v>
      </c>
      <c r="BR81" s="53">
        <v>2450</v>
      </c>
      <c r="BS81" s="38">
        <v>0</v>
      </c>
      <c r="BT81" s="53">
        <f t="shared" si="29"/>
        <v>2450</v>
      </c>
      <c r="BU81" s="53">
        <f t="shared" si="30"/>
        <v>0</v>
      </c>
      <c r="BV81" s="53" t="e">
        <f t="shared" si="31"/>
        <v>#DIV/0!</v>
      </c>
      <c r="BW81" s="54">
        <v>0</v>
      </c>
      <c r="BX81" s="39">
        <v>0</v>
      </c>
      <c r="BY81" s="39">
        <v>0</v>
      </c>
      <c r="BZ81" s="54">
        <f t="shared" si="32"/>
        <v>0</v>
      </c>
      <c r="CA81" s="54">
        <v>750</v>
      </c>
      <c r="CB81" s="54">
        <v>0</v>
      </c>
      <c r="CC81" s="54">
        <f t="shared" si="33"/>
        <v>750</v>
      </c>
      <c r="CD81" s="54">
        <f t="shared" si="34"/>
        <v>0</v>
      </c>
      <c r="CE81" s="54" t="e">
        <f t="shared" si="35"/>
        <v>#DIV/0!</v>
      </c>
      <c r="CF81" s="55">
        <v>0</v>
      </c>
      <c r="CG81" s="55">
        <v>0</v>
      </c>
      <c r="CH81" s="55">
        <v>0</v>
      </c>
      <c r="CI81" s="55">
        <f t="shared" si="36"/>
        <v>0</v>
      </c>
      <c r="CJ81" s="55">
        <v>730</v>
      </c>
      <c r="CK81" s="55">
        <v>0</v>
      </c>
      <c r="CL81" s="55">
        <f t="shared" si="37"/>
        <v>730</v>
      </c>
      <c r="CM81" s="55">
        <f t="shared" si="38"/>
        <v>0</v>
      </c>
      <c r="CN81" s="55" t="e">
        <f t="shared" si="39"/>
        <v>#DIV/0!</v>
      </c>
      <c r="CO81" s="56">
        <v>0</v>
      </c>
      <c r="CP81" s="56">
        <v>0</v>
      </c>
      <c r="CQ81" s="56">
        <v>0</v>
      </c>
      <c r="CR81" s="56">
        <f t="shared" si="40"/>
        <v>0</v>
      </c>
      <c r="CS81" s="56">
        <v>730</v>
      </c>
      <c r="CT81" s="56">
        <v>0</v>
      </c>
      <c r="CU81" s="56">
        <f t="shared" si="41"/>
        <v>730</v>
      </c>
      <c r="CV81" s="56">
        <f t="shared" si="42"/>
        <v>0</v>
      </c>
      <c r="CW81" s="56" t="e">
        <f t="shared" si="43"/>
        <v>#DIV/0!</v>
      </c>
      <c r="CX81" s="57">
        <v>0</v>
      </c>
      <c r="CY81" s="57">
        <v>0</v>
      </c>
      <c r="CZ81" s="57">
        <v>0</v>
      </c>
      <c r="DA81" s="57">
        <f t="shared" si="44"/>
        <v>0</v>
      </c>
      <c r="DB81" s="57">
        <v>600</v>
      </c>
      <c r="DC81" s="57">
        <v>0</v>
      </c>
      <c r="DD81" s="57">
        <f t="shared" si="45"/>
        <v>600</v>
      </c>
      <c r="DE81" s="57">
        <f t="shared" si="46"/>
        <v>0</v>
      </c>
      <c r="DF81" s="57" t="e">
        <f t="shared" si="47"/>
        <v>#DIV/0!</v>
      </c>
    </row>
    <row r="82" spans="1:110" ht="14.25" customHeight="1">
      <c r="A82" s="43"/>
      <c r="B82" s="44"/>
      <c r="C82" s="45">
        <v>0</v>
      </c>
      <c r="D82" s="30">
        <v>0</v>
      </c>
      <c r="E82" s="30">
        <v>0</v>
      </c>
      <c r="F82" s="45">
        <f t="shared" si="0"/>
        <v>0</v>
      </c>
      <c r="G82" s="45">
        <v>900</v>
      </c>
      <c r="H82" s="30">
        <v>0</v>
      </c>
      <c r="I82" s="45">
        <f t="shared" si="1"/>
        <v>900</v>
      </c>
      <c r="J82" s="45">
        <f t="shared" si="2"/>
        <v>0</v>
      </c>
      <c r="K82" s="46" t="e">
        <f t="shared" si="3"/>
        <v>#DIV/0!</v>
      </c>
      <c r="L82" s="47">
        <v>0</v>
      </c>
      <c r="M82" s="32">
        <v>0</v>
      </c>
      <c r="N82" s="32">
        <v>0</v>
      </c>
      <c r="O82" s="47">
        <f t="shared" si="4"/>
        <v>0</v>
      </c>
      <c r="P82" s="47">
        <v>1800</v>
      </c>
      <c r="Q82" s="47">
        <v>0</v>
      </c>
      <c r="R82" s="47">
        <f t="shared" si="5"/>
        <v>1800</v>
      </c>
      <c r="S82" s="47">
        <f t="shared" si="6"/>
        <v>0</v>
      </c>
      <c r="T82" s="47" t="e">
        <f t="shared" si="7"/>
        <v>#DIV/0!</v>
      </c>
      <c r="U82" s="48">
        <v>0</v>
      </c>
      <c r="V82" s="48">
        <v>0</v>
      </c>
      <c r="W82" s="48">
        <v>0</v>
      </c>
      <c r="X82" s="48">
        <f t="shared" si="8"/>
        <v>0</v>
      </c>
      <c r="Y82" s="48">
        <v>910</v>
      </c>
      <c r="Z82" s="33">
        <v>0</v>
      </c>
      <c r="AA82" s="48">
        <f t="shared" si="9"/>
        <v>910</v>
      </c>
      <c r="AB82" s="48">
        <f t="shared" si="10"/>
        <v>0</v>
      </c>
      <c r="AC82" s="48" t="e">
        <f t="shared" si="11"/>
        <v>#DIV/0!</v>
      </c>
      <c r="AD82" s="49">
        <v>0</v>
      </c>
      <c r="AE82" s="49">
        <v>0</v>
      </c>
      <c r="AF82" s="49">
        <v>0</v>
      </c>
      <c r="AG82" s="49">
        <f t="shared" si="12"/>
        <v>0</v>
      </c>
      <c r="AH82" s="49">
        <v>1200</v>
      </c>
      <c r="AI82" s="49">
        <v>0</v>
      </c>
      <c r="AJ82" s="49">
        <f t="shared" si="13"/>
        <v>1200</v>
      </c>
      <c r="AK82" s="49">
        <f t="shared" si="14"/>
        <v>0</v>
      </c>
      <c r="AL82" s="49" t="e">
        <f t="shared" si="15"/>
        <v>#DIV/0!</v>
      </c>
      <c r="AM82" s="50">
        <v>0</v>
      </c>
      <c r="AN82" s="50">
        <v>0</v>
      </c>
      <c r="AO82" s="50">
        <v>0</v>
      </c>
      <c r="AP82" s="50">
        <f t="shared" si="16"/>
        <v>0</v>
      </c>
      <c r="AQ82" s="50">
        <v>600</v>
      </c>
      <c r="AR82" s="50">
        <v>0</v>
      </c>
      <c r="AS82" s="50">
        <f t="shared" si="17"/>
        <v>600</v>
      </c>
      <c r="AT82" s="50">
        <f t="shared" si="18"/>
        <v>0</v>
      </c>
      <c r="AU82" s="50" t="e">
        <f t="shared" si="19"/>
        <v>#DIV/0!</v>
      </c>
      <c r="AV82" s="51">
        <v>0</v>
      </c>
      <c r="AW82" s="36">
        <v>0</v>
      </c>
      <c r="AX82" s="36">
        <v>0</v>
      </c>
      <c r="AY82" s="51">
        <f t="shared" si="20"/>
        <v>0</v>
      </c>
      <c r="AZ82" s="51">
        <v>1500</v>
      </c>
      <c r="BA82" s="51">
        <v>0</v>
      </c>
      <c r="BB82" s="51">
        <f t="shared" si="21"/>
        <v>1500</v>
      </c>
      <c r="BC82" s="51">
        <f t="shared" si="22"/>
        <v>0</v>
      </c>
      <c r="BD82" s="51" t="e">
        <f t="shared" si="23"/>
        <v>#DIV/0!</v>
      </c>
      <c r="BE82" s="52">
        <v>0</v>
      </c>
      <c r="BF82" s="37">
        <v>0</v>
      </c>
      <c r="BG82" s="37">
        <v>0</v>
      </c>
      <c r="BH82" s="37">
        <f t="shared" si="24"/>
        <v>0</v>
      </c>
      <c r="BI82" s="52">
        <v>750</v>
      </c>
      <c r="BJ82" s="37">
        <v>0</v>
      </c>
      <c r="BK82" s="52">
        <f t="shared" si="25"/>
        <v>750</v>
      </c>
      <c r="BL82" s="52">
        <f t="shared" si="26"/>
        <v>0</v>
      </c>
      <c r="BM82" s="52" t="e">
        <f t="shared" si="27"/>
        <v>#DIV/0!</v>
      </c>
      <c r="BN82" s="53">
        <v>0</v>
      </c>
      <c r="BO82" s="38">
        <v>0</v>
      </c>
      <c r="BP82" s="38">
        <v>0</v>
      </c>
      <c r="BQ82" s="53">
        <f t="shared" si="28"/>
        <v>0</v>
      </c>
      <c r="BR82" s="53">
        <v>2450</v>
      </c>
      <c r="BS82" s="38">
        <v>0</v>
      </c>
      <c r="BT82" s="53">
        <f t="shared" si="29"/>
        <v>2450</v>
      </c>
      <c r="BU82" s="53">
        <f t="shared" si="30"/>
        <v>0</v>
      </c>
      <c r="BV82" s="53" t="e">
        <f t="shared" si="31"/>
        <v>#DIV/0!</v>
      </c>
      <c r="BW82" s="54">
        <v>0</v>
      </c>
      <c r="BX82" s="39">
        <v>0</v>
      </c>
      <c r="BY82" s="39">
        <v>0</v>
      </c>
      <c r="BZ82" s="54">
        <f t="shared" si="32"/>
        <v>0</v>
      </c>
      <c r="CA82" s="54">
        <v>750</v>
      </c>
      <c r="CB82" s="54">
        <v>0</v>
      </c>
      <c r="CC82" s="54">
        <f t="shared" si="33"/>
        <v>750</v>
      </c>
      <c r="CD82" s="54">
        <f t="shared" si="34"/>
        <v>0</v>
      </c>
      <c r="CE82" s="54" t="e">
        <f t="shared" si="35"/>
        <v>#DIV/0!</v>
      </c>
      <c r="CF82" s="55">
        <v>0</v>
      </c>
      <c r="CG82" s="55">
        <v>0</v>
      </c>
      <c r="CH82" s="55">
        <v>0</v>
      </c>
      <c r="CI82" s="55">
        <f t="shared" si="36"/>
        <v>0</v>
      </c>
      <c r="CJ82" s="55">
        <v>730</v>
      </c>
      <c r="CK82" s="55">
        <v>0</v>
      </c>
      <c r="CL82" s="55">
        <f t="shared" si="37"/>
        <v>730</v>
      </c>
      <c r="CM82" s="55">
        <f t="shared" si="38"/>
        <v>0</v>
      </c>
      <c r="CN82" s="55" t="e">
        <f t="shared" si="39"/>
        <v>#DIV/0!</v>
      </c>
      <c r="CO82" s="56">
        <v>0</v>
      </c>
      <c r="CP82" s="56">
        <v>0</v>
      </c>
      <c r="CQ82" s="56">
        <v>0</v>
      </c>
      <c r="CR82" s="56">
        <f t="shared" si="40"/>
        <v>0</v>
      </c>
      <c r="CS82" s="56">
        <v>730</v>
      </c>
      <c r="CT82" s="56">
        <v>0</v>
      </c>
      <c r="CU82" s="56">
        <f t="shared" si="41"/>
        <v>730</v>
      </c>
      <c r="CV82" s="56">
        <f t="shared" si="42"/>
        <v>0</v>
      </c>
      <c r="CW82" s="56" t="e">
        <f t="shared" si="43"/>
        <v>#DIV/0!</v>
      </c>
      <c r="CX82" s="57">
        <v>0</v>
      </c>
      <c r="CY82" s="57">
        <v>0</v>
      </c>
      <c r="CZ82" s="57">
        <v>0</v>
      </c>
      <c r="DA82" s="57">
        <f t="shared" si="44"/>
        <v>0</v>
      </c>
      <c r="DB82" s="57">
        <v>600</v>
      </c>
      <c r="DC82" s="57">
        <v>0</v>
      </c>
      <c r="DD82" s="57">
        <f t="shared" si="45"/>
        <v>600</v>
      </c>
      <c r="DE82" s="57">
        <f t="shared" si="46"/>
        <v>0</v>
      </c>
      <c r="DF82" s="57" t="e">
        <f t="shared" si="47"/>
        <v>#DIV/0!</v>
      </c>
    </row>
    <row r="83" spans="1:110" ht="14.25" customHeight="1">
      <c r="A83" s="43"/>
      <c r="B83" s="44"/>
      <c r="C83" s="45">
        <v>0</v>
      </c>
      <c r="D83" s="30">
        <v>0</v>
      </c>
      <c r="E83" s="30">
        <v>0</v>
      </c>
      <c r="F83" s="45">
        <f t="shared" si="0"/>
        <v>0</v>
      </c>
      <c r="G83" s="45">
        <v>900</v>
      </c>
      <c r="H83" s="30">
        <v>0</v>
      </c>
      <c r="I83" s="45">
        <f t="shared" si="1"/>
        <v>900</v>
      </c>
      <c r="J83" s="45">
        <f t="shared" si="2"/>
        <v>0</v>
      </c>
      <c r="K83" s="46" t="e">
        <f t="shared" si="3"/>
        <v>#DIV/0!</v>
      </c>
      <c r="L83" s="47">
        <v>0</v>
      </c>
      <c r="M83" s="32">
        <v>0</v>
      </c>
      <c r="N83" s="32">
        <v>0</v>
      </c>
      <c r="O83" s="47">
        <f t="shared" si="4"/>
        <v>0</v>
      </c>
      <c r="P83" s="47">
        <v>1800</v>
      </c>
      <c r="Q83" s="47">
        <v>0</v>
      </c>
      <c r="R83" s="47">
        <f t="shared" si="5"/>
        <v>1800</v>
      </c>
      <c r="S83" s="47">
        <f t="shared" si="6"/>
        <v>0</v>
      </c>
      <c r="T83" s="47" t="e">
        <f t="shared" si="7"/>
        <v>#DIV/0!</v>
      </c>
      <c r="U83" s="48">
        <v>0</v>
      </c>
      <c r="V83" s="48">
        <v>0</v>
      </c>
      <c r="W83" s="48">
        <v>0</v>
      </c>
      <c r="X83" s="48">
        <f t="shared" si="8"/>
        <v>0</v>
      </c>
      <c r="Y83" s="48">
        <v>910</v>
      </c>
      <c r="Z83" s="33">
        <v>0</v>
      </c>
      <c r="AA83" s="48">
        <f t="shared" si="9"/>
        <v>910</v>
      </c>
      <c r="AB83" s="48">
        <f t="shared" si="10"/>
        <v>0</v>
      </c>
      <c r="AC83" s="48" t="e">
        <f t="shared" si="11"/>
        <v>#DIV/0!</v>
      </c>
      <c r="AD83" s="49">
        <v>0</v>
      </c>
      <c r="AE83" s="49">
        <v>0</v>
      </c>
      <c r="AF83" s="49">
        <v>0</v>
      </c>
      <c r="AG83" s="49">
        <f t="shared" si="12"/>
        <v>0</v>
      </c>
      <c r="AH83" s="49">
        <v>1200</v>
      </c>
      <c r="AI83" s="49">
        <v>0</v>
      </c>
      <c r="AJ83" s="49">
        <f t="shared" si="13"/>
        <v>1200</v>
      </c>
      <c r="AK83" s="49">
        <f t="shared" si="14"/>
        <v>0</v>
      </c>
      <c r="AL83" s="49" t="e">
        <f t="shared" si="15"/>
        <v>#DIV/0!</v>
      </c>
      <c r="AM83" s="50">
        <v>0</v>
      </c>
      <c r="AN83" s="50">
        <v>0</v>
      </c>
      <c r="AO83" s="50">
        <v>0</v>
      </c>
      <c r="AP83" s="50">
        <f t="shared" si="16"/>
        <v>0</v>
      </c>
      <c r="AQ83" s="50">
        <v>600</v>
      </c>
      <c r="AR83" s="50">
        <v>0</v>
      </c>
      <c r="AS83" s="50">
        <f t="shared" si="17"/>
        <v>600</v>
      </c>
      <c r="AT83" s="50">
        <f t="shared" si="18"/>
        <v>0</v>
      </c>
      <c r="AU83" s="50" t="e">
        <f t="shared" si="19"/>
        <v>#DIV/0!</v>
      </c>
      <c r="AV83" s="51">
        <v>0</v>
      </c>
      <c r="AW83" s="36">
        <v>0</v>
      </c>
      <c r="AX83" s="36">
        <v>0</v>
      </c>
      <c r="AY83" s="51">
        <f t="shared" si="20"/>
        <v>0</v>
      </c>
      <c r="AZ83" s="51">
        <v>1500</v>
      </c>
      <c r="BA83" s="51">
        <v>0</v>
      </c>
      <c r="BB83" s="51">
        <f t="shared" si="21"/>
        <v>1500</v>
      </c>
      <c r="BC83" s="51">
        <f t="shared" si="22"/>
        <v>0</v>
      </c>
      <c r="BD83" s="51" t="e">
        <f t="shared" si="23"/>
        <v>#DIV/0!</v>
      </c>
      <c r="BE83" s="52">
        <v>0</v>
      </c>
      <c r="BF83" s="37">
        <v>0</v>
      </c>
      <c r="BG83" s="37">
        <v>0</v>
      </c>
      <c r="BH83" s="37">
        <f t="shared" si="24"/>
        <v>0</v>
      </c>
      <c r="BI83" s="52">
        <v>750</v>
      </c>
      <c r="BJ83" s="37">
        <v>0</v>
      </c>
      <c r="BK83" s="52">
        <f t="shared" si="25"/>
        <v>750</v>
      </c>
      <c r="BL83" s="52">
        <f t="shared" si="26"/>
        <v>0</v>
      </c>
      <c r="BM83" s="52" t="e">
        <f t="shared" si="27"/>
        <v>#DIV/0!</v>
      </c>
      <c r="BN83" s="53">
        <v>0</v>
      </c>
      <c r="BO83" s="38">
        <v>0</v>
      </c>
      <c r="BP83" s="38">
        <v>0</v>
      </c>
      <c r="BQ83" s="53">
        <f t="shared" si="28"/>
        <v>0</v>
      </c>
      <c r="BR83" s="53">
        <v>2450</v>
      </c>
      <c r="BS83" s="38">
        <v>0</v>
      </c>
      <c r="BT83" s="53">
        <f t="shared" si="29"/>
        <v>2450</v>
      </c>
      <c r="BU83" s="53">
        <f t="shared" si="30"/>
        <v>0</v>
      </c>
      <c r="BV83" s="53" t="e">
        <f t="shared" si="31"/>
        <v>#DIV/0!</v>
      </c>
      <c r="BW83" s="54">
        <v>0</v>
      </c>
      <c r="BX83" s="39">
        <v>0</v>
      </c>
      <c r="BY83" s="39">
        <v>0</v>
      </c>
      <c r="BZ83" s="54">
        <f t="shared" si="32"/>
        <v>0</v>
      </c>
      <c r="CA83" s="54">
        <v>750</v>
      </c>
      <c r="CB83" s="54">
        <v>0</v>
      </c>
      <c r="CC83" s="54">
        <f t="shared" si="33"/>
        <v>750</v>
      </c>
      <c r="CD83" s="54">
        <f t="shared" si="34"/>
        <v>0</v>
      </c>
      <c r="CE83" s="54" t="e">
        <f t="shared" si="35"/>
        <v>#DIV/0!</v>
      </c>
      <c r="CF83" s="55">
        <v>0</v>
      </c>
      <c r="CG83" s="55">
        <v>0</v>
      </c>
      <c r="CH83" s="55">
        <v>0</v>
      </c>
      <c r="CI83" s="55">
        <f t="shared" si="36"/>
        <v>0</v>
      </c>
      <c r="CJ83" s="55">
        <v>730</v>
      </c>
      <c r="CK83" s="55">
        <v>0</v>
      </c>
      <c r="CL83" s="55">
        <f t="shared" si="37"/>
        <v>730</v>
      </c>
      <c r="CM83" s="55">
        <f t="shared" si="38"/>
        <v>0</v>
      </c>
      <c r="CN83" s="55" t="e">
        <f t="shared" si="39"/>
        <v>#DIV/0!</v>
      </c>
      <c r="CO83" s="56">
        <v>0</v>
      </c>
      <c r="CP83" s="56">
        <v>0</v>
      </c>
      <c r="CQ83" s="56">
        <v>0</v>
      </c>
      <c r="CR83" s="56">
        <f t="shared" si="40"/>
        <v>0</v>
      </c>
      <c r="CS83" s="56">
        <v>730</v>
      </c>
      <c r="CT83" s="56">
        <v>0</v>
      </c>
      <c r="CU83" s="56">
        <f t="shared" si="41"/>
        <v>730</v>
      </c>
      <c r="CV83" s="56">
        <f t="shared" si="42"/>
        <v>0</v>
      </c>
      <c r="CW83" s="56" t="e">
        <f t="shared" si="43"/>
        <v>#DIV/0!</v>
      </c>
      <c r="CX83" s="57">
        <v>0</v>
      </c>
      <c r="CY83" s="57">
        <v>0</v>
      </c>
      <c r="CZ83" s="57">
        <v>0</v>
      </c>
      <c r="DA83" s="57">
        <f t="shared" si="44"/>
        <v>0</v>
      </c>
      <c r="DB83" s="57">
        <v>600</v>
      </c>
      <c r="DC83" s="57">
        <v>0</v>
      </c>
      <c r="DD83" s="57">
        <f t="shared" si="45"/>
        <v>600</v>
      </c>
      <c r="DE83" s="57">
        <f t="shared" si="46"/>
        <v>0</v>
      </c>
      <c r="DF83" s="57" t="e">
        <f t="shared" si="47"/>
        <v>#DIV/0!</v>
      </c>
    </row>
    <row r="84" spans="1:110" ht="14.25" customHeight="1">
      <c r="A84" s="43"/>
      <c r="B84" s="44"/>
      <c r="C84" s="45">
        <v>0</v>
      </c>
      <c r="D84" s="30">
        <v>0</v>
      </c>
      <c r="E84" s="30">
        <v>0</v>
      </c>
      <c r="F84" s="45">
        <f t="shared" si="0"/>
        <v>0</v>
      </c>
      <c r="G84" s="45">
        <v>900</v>
      </c>
      <c r="H84" s="30">
        <v>0</v>
      </c>
      <c r="I84" s="45">
        <f t="shared" si="1"/>
        <v>900</v>
      </c>
      <c r="J84" s="45">
        <f t="shared" si="2"/>
        <v>0</v>
      </c>
      <c r="K84" s="46" t="e">
        <f t="shared" si="3"/>
        <v>#DIV/0!</v>
      </c>
      <c r="L84" s="47">
        <v>0</v>
      </c>
      <c r="M84" s="32">
        <v>0</v>
      </c>
      <c r="N84" s="32">
        <v>0</v>
      </c>
      <c r="O84" s="47">
        <f t="shared" si="4"/>
        <v>0</v>
      </c>
      <c r="P84" s="47">
        <v>1800</v>
      </c>
      <c r="Q84" s="47">
        <v>0</v>
      </c>
      <c r="R84" s="47">
        <f t="shared" si="5"/>
        <v>1800</v>
      </c>
      <c r="S84" s="47">
        <f t="shared" si="6"/>
        <v>0</v>
      </c>
      <c r="T84" s="47" t="e">
        <f t="shared" si="7"/>
        <v>#DIV/0!</v>
      </c>
      <c r="U84" s="48">
        <v>0</v>
      </c>
      <c r="V84" s="48">
        <v>0</v>
      </c>
      <c r="W84" s="48">
        <v>0</v>
      </c>
      <c r="X84" s="48">
        <f t="shared" si="8"/>
        <v>0</v>
      </c>
      <c r="Y84" s="48">
        <v>910</v>
      </c>
      <c r="Z84" s="33">
        <v>0</v>
      </c>
      <c r="AA84" s="48">
        <f t="shared" si="9"/>
        <v>910</v>
      </c>
      <c r="AB84" s="48">
        <f t="shared" si="10"/>
        <v>0</v>
      </c>
      <c r="AC84" s="48" t="e">
        <f t="shared" si="11"/>
        <v>#DIV/0!</v>
      </c>
      <c r="AD84" s="49">
        <v>0</v>
      </c>
      <c r="AE84" s="49">
        <v>0</v>
      </c>
      <c r="AF84" s="49">
        <v>0</v>
      </c>
      <c r="AG84" s="49">
        <f t="shared" si="12"/>
        <v>0</v>
      </c>
      <c r="AH84" s="49">
        <v>1200</v>
      </c>
      <c r="AI84" s="49">
        <v>0</v>
      </c>
      <c r="AJ84" s="49">
        <f t="shared" si="13"/>
        <v>1200</v>
      </c>
      <c r="AK84" s="49">
        <f t="shared" si="14"/>
        <v>0</v>
      </c>
      <c r="AL84" s="49" t="e">
        <f t="shared" si="15"/>
        <v>#DIV/0!</v>
      </c>
      <c r="AM84" s="50">
        <v>0</v>
      </c>
      <c r="AN84" s="50">
        <v>0</v>
      </c>
      <c r="AO84" s="50">
        <v>0</v>
      </c>
      <c r="AP84" s="50">
        <f t="shared" si="16"/>
        <v>0</v>
      </c>
      <c r="AQ84" s="50">
        <v>600</v>
      </c>
      <c r="AR84" s="50">
        <v>0</v>
      </c>
      <c r="AS84" s="50">
        <f t="shared" si="17"/>
        <v>600</v>
      </c>
      <c r="AT84" s="50">
        <f t="shared" si="18"/>
        <v>0</v>
      </c>
      <c r="AU84" s="50" t="e">
        <f t="shared" si="19"/>
        <v>#DIV/0!</v>
      </c>
      <c r="AV84" s="51">
        <v>0</v>
      </c>
      <c r="AW84" s="36">
        <v>0</v>
      </c>
      <c r="AX84" s="36">
        <v>0</v>
      </c>
      <c r="AY84" s="51">
        <f t="shared" si="20"/>
        <v>0</v>
      </c>
      <c r="AZ84" s="51">
        <v>1500</v>
      </c>
      <c r="BA84" s="51">
        <v>0</v>
      </c>
      <c r="BB84" s="51">
        <f t="shared" si="21"/>
        <v>1500</v>
      </c>
      <c r="BC84" s="51">
        <f t="shared" si="22"/>
        <v>0</v>
      </c>
      <c r="BD84" s="51" t="e">
        <f t="shared" si="23"/>
        <v>#DIV/0!</v>
      </c>
      <c r="BE84" s="52">
        <v>0</v>
      </c>
      <c r="BF84" s="37">
        <v>0</v>
      </c>
      <c r="BG84" s="37">
        <v>0</v>
      </c>
      <c r="BH84" s="37">
        <f t="shared" si="24"/>
        <v>0</v>
      </c>
      <c r="BI84" s="52">
        <v>750</v>
      </c>
      <c r="BJ84" s="37">
        <v>0</v>
      </c>
      <c r="BK84" s="52">
        <f t="shared" si="25"/>
        <v>750</v>
      </c>
      <c r="BL84" s="52">
        <f t="shared" si="26"/>
        <v>0</v>
      </c>
      <c r="BM84" s="52" t="e">
        <f t="shared" si="27"/>
        <v>#DIV/0!</v>
      </c>
      <c r="BN84" s="53">
        <v>0</v>
      </c>
      <c r="BO84" s="38">
        <v>0</v>
      </c>
      <c r="BP84" s="38">
        <v>0</v>
      </c>
      <c r="BQ84" s="53">
        <f t="shared" si="28"/>
        <v>0</v>
      </c>
      <c r="BR84" s="53">
        <v>2450</v>
      </c>
      <c r="BS84" s="38">
        <v>0</v>
      </c>
      <c r="BT84" s="53">
        <f t="shared" si="29"/>
        <v>2450</v>
      </c>
      <c r="BU84" s="53">
        <f t="shared" si="30"/>
        <v>0</v>
      </c>
      <c r="BV84" s="53" t="e">
        <f t="shared" si="31"/>
        <v>#DIV/0!</v>
      </c>
      <c r="BW84" s="54">
        <v>0</v>
      </c>
      <c r="BX84" s="39">
        <v>0</v>
      </c>
      <c r="BY84" s="39">
        <v>0</v>
      </c>
      <c r="BZ84" s="54">
        <f t="shared" si="32"/>
        <v>0</v>
      </c>
      <c r="CA84" s="54">
        <v>750</v>
      </c>
      <c r="CB84" s="54">
        <v>0</v>
      </c>
      <c r="CC84" s="54">
        <f t="shared" si="33"/>
        <v>750</v>
      </c>
      <c r="CD84" s="54">
        <f t="shared" si="34"/>
        <v>0</v>
      </c>
      <c r="CE84" s="54" t="e">
        <f t="shared" si="35"/>
        <v>#DIV/0!</v>
      </c>
      <c r="CF84" s="55">
        <v>0</v>
      </c>
      <c r="CG84" s="55">
        <v>0</v>
      </c>
      <c r="CH84" s="55">
        <v>0</v>
      </c>
      <c r="CI84" s="55">
        <f t="shared" si="36"/>
        <v>0</v>
      </c>
      <c r="CJ84" s="55">
        <v>730</v>
      </c>
      <c r="CK84" s="55">
        <v>0</v>
      </c>
      <c r="CL84" s="55">
        <f t="shared" si="37"/>
        <v>730</v>
      </c>
      <c r="CM84" s="55">
        <f t="shared" si="38"/>
        <v>0</v>
      </c>
      <c r="CN84" s="55" t="e">
        <f t="shared" si="39"/>
        <v>#DIV/0!</v>
      </c>
      <c r="CO84" s="56">
        <v>0</v>
      </c>
      <c r="CP84" s="56">
        <v>0</v>
      </c>
      <c r="CQ84" s="56">
        <v>0</v>
      </c>
      <c r="CR84" s="56">
        <f t="shared" si="40"/>
        <v>0</v>
      </c>
      <c r="CS84" s="56">
        <v>730</v>
      </c>
      <c r="CT84" s="56">
        <v>0</v>
      </c>
      <c r="CU84" s="56">
        <f t="shared" si="41"/>
        <v>730</v>
      </c>
      <c r="CV84" s="56">
        <f t="shared" si="42"/>
        <v>0</v>
      </c>
      <c r="CW84" s="56" t="e">
        <f t="shared" si="43"/>
        <v>#DIV/0!</v>
      </c>
      <c r="CX84" s="57">
        <v>0</v>
      </c>
      <c r="CY84" s="57">
        <v>0</v>
      </c>
      <c r="CZ84" s="57">
        <v>0</v>
      </c>
      <c r="DA84" s="57">
        <f t="shared" si="44"/>
        <v>0</v>
      </c>
      <c r="DB84" s="57">
        <v>600</v>
      </c>
      <c r="DC84" s="57">
        <v>0</v>
      </c>
      <c r="DD84" s="57">
        <f t="shared" si="45"/>
        <v>600</v>
      </c>
      <c r="DE84" s="57">
        <f t="shared" si="46"/>
        <v>0</v>
      </c>
      <c r="DF84" s="57" t="e">
        <f t="shared" si="47"/>
        <v>#DIV/0!</v>
      </c>
    </row>
    <row r="85" spans="1:110" ht="14.25" customHeight="1">
      <c r="A85" s="43"/>
      <c r="B85" s="44"/>
      <c r="C85" s="45">
        <v>0</v>
      </c>
      <c r="D85" s="30">
        <v>0</v>
      </c>
      <c r="E85" s="30">
        <v>0</v>
      </c>
      <c r="F85" s="45">
        <f t="shared" si="0"/>
        <v>0</v>
      </c>
      <c r="G85" s="45">
        <v>900</v>
      </c>
      <c r="H85" s="30">
        <v>0</v>
      </c>
      <c r="I85" s="45">
        <f t="shared" si="1"/>
        <v>900</v>
      </c>
      <c r="J85" s="45">
        <f t="shared" si="2"/>
        <v>0</v>
      </c>
      <c r="K85" s="46" t="e">
        <f t="shared" si="3"/>
        <v>#DIV/0!</v>
      </c>
      <c r="L85" s="47">
        <v>0</v>
      </c>
      <c r="M85" s="32">
        <v>0</v>
      </c>
      <c r="N85" s="32">
        <v>0</v>
      </c>
      <c r="O85" s="47">
        <f t="shared" si="4"/>
        <v>0</v>
      </c>
      <c r="P85" s="47">
        <v>1800</v>
      </c>
      <c r="Q85" s="47">
        <v>0</v>
      </c>
      <c r="R85" s="47">
        <f t="shared" si="5"/>
        <v>1800</v>
      </c>
      <c r="S85" s="47">
        <f t="shared" si="6"/>
        <v>0</v>
      </c>
      <c r="T85" s="47" t="e">
        <f t="shared" si="7"/>
        <v>#DIV/0!</v>
      </c>
      <c r="U85" s="48">
        <v>0</v>
      </c>
      <c r="V85" s="48">
        <v>0</v>
      </c>
      <c r="W85" s="48">
        <v>0</v>
      </c>
      <c r="X85" s="48">
        <f t="shared" si="8"/>
        <v>0</v>
      </c>
      <c r="Y85" s="48">
        <v>910</v>
      </c>
      <c r="Z85" s="33">
        <v>0</v>
      </c>
      <c r="AA85" s="48">
        <f t="shared" si="9"/>
        <v>910</v>
      </c>
      <c r="AB85" s="48">
        <f t="shared" si="10"/>
        <v>0</v>
      </c>
      <c r="AC85" s="48" t="e">
        <f t="shared" si="11"/>
        <v>#DIV/0!</v>
      </c>
      <c r="AD85" s="49">
        <v>0</v>
      </c>
      <c r="AE85" s="49">
        <v>0</v>
      </c>
      <c r="AF85" s="49">
        <v>0</v>
      </c>
      <c r="AG85" s="49">
        <f t="shared" si="12"/>
        <v>0</v>
      </c>
      <c r="AH85" s="49">
        <v>1200</v>
      </c>
      <c r="AI85" s="49">
        <v>0</v>
      </c>
      <c r="AJ85" s="49">
        <f t="shared" si="13"/>
        <v>1200</v>
      </c>
      <c r="AK85" s="49">
        <f t="shared" si="14"/>
        <v>0</v>
      </c>
      <c r="AL85" s="49" t="e">
        <f t="shared" si="15"/>
        <v>#DIV/0!</v>
      </c>
      <c r="AM85" s="50">
        <v>0</v>
      </c>
      <c r="AN85" s="50">
        <v>0</v>
      </c>
      <c r="AO85" s="50">
        <v>0</v>
      </c>
      <c r="AP85" s="50">
        <f t="shared" si="16"/>
        <v>0</v>
      </c>
      <c r="AQ85" s="50">
        <v>600</v>
      </c>
      <c r="AR85" s="50">
        <v>0</v>
      </c>
      <c r="AS85" s="50">
        <f t="shared" si="17"/>
        <v>600</v>
      </c>
      <c r="AT85" s="50">
        <f t="shared" si="18"/>
        <v>0</v>
      </c>
      <c r="AU85" s="50" t="e">
        <f t="shared" si="19"/>
        <v>#DIV/0!</v>
      </c>
      <c r="AV85" s="51">
        <v>0</v>
      </c>
      <c r="AW85" s="36">
        <v>0</v>
      </c>
      <c r="AX85" s="36">
        <v>0</v>
      </c>
      <c r="AY85" s="51">
        <f t="shared" si="20"/>
        <v>0</v>
      </c>
      <c r="AZ85" s="51">
        <v>1500</v>
      </c>
      <c r="BA85" s="51">
        <v>0</v>
      </c>
      <c r="BB85" s="51">
        <f t="shared" si="21"/>
        <v>1500</v>
      </c>
      <c r="BC85" s="51">
        <f t="shared" si="22"/>
        <v>0</v>
      </c>
      <c r="BD85" s="51" t="e">
        <f t="shared" si="23"/>
        <v>#DIV/0!</v>
      </c>
      <c r="BE85" s="52">
        <v>0</v>
      </c>
      <c r="BF85" s="37">
        <v>0</v>
      </c>
      <c r="BG85" s="37">
        <v>0</v>
      </c>
      <c r="BH85" s="37">
        <f t="shared" si="24"/>
        <v>0</v>
      </c>
      <c r="BI85" s="52">
        <v>750</v>
      </c>
      <c r="BJ85" s="37">
        <v>0</v>
      </c>
      <c r="BK85" s="52">
        <f t="shared" si="25"/>
        <v>750</v>
      </c>
      <c r="BL85" s="52">
        <f t="shared" si="26"/>
        <v>0</v>
      </c>
      <c r="BM85" s="52" t="e">
        <f t="shared" si="27"/>
        <v>#DIV/0!</v>
      </c>
      <c r="BN85" s="53">
        <v>0</v>
      </c>
      <c r="BO85" s="38">
        <v>0</v>
      </c>
      <c r="BP85" s="38">
        <v>0</v>
      </c>
      <c r="BQ85" s="53">
        <f t="shared" si="28"/>
        <v>0</v>
      </c>
      <c r="BR85" s="53">
        <v>2450</v>
      </c>
      <c r="BS85" s="38">
        <v>0</v>
      </c>
      <c r="BT85" s="53">
        <f t="shared" si="29"/>
        <v>2450</v>
      </c>
      <c r="BU85" s="53">
        <f t="shared" si="30"/>
        <v>0</v>
      </c>
      <c r="BV85" s="53" t="e">
        <f t="shared" si="31"/>
        <v>#DIV/0!</v>
      </c>
      <c r="BW85" s="54">
        <v>0</v>
      </c>
      <c r="BX85" s="39">
        <v>0</v>
      </c>
      <c r="BY85" s="39">
        <v>0</v>
      </c>
      <c r="BZ85" s="54">
        <f t="shared" si="32"/>
        <v>0</v>
      </c>
      <c r="CA85" s="54">
        <v>750</v>
      </c>
      <c r="CB85" s="54">
        <v>0</v>
      </c>
      <c r="CC85" s="54">
        <f t="shared" si="33"/>
        <v>750</v>
      </c>
      <c r="CD85" s="54">
        <f t="shared" si="34"/>
        <v>0</v>
      </c>
      <c r="CE85" s="54" t="e">
        <f t="shared" si="35"/>
        <v>#DIV/0!</v>
      </c>
      <c r="CF85" s="55">
        <v>0</v>
      </c>
      <c r="CG85" s="55">
        <v>0</v>
      </c>
      <c r="CH85" s="55">
        <v>0</v>
      </c>
      <c r="CI85" s="55">
        <f t="shared" si="36"/>
        <v>0</v>
      </c>
      <c r="CJ85" s="55">
        <v>730</v>
      </c>
      <c r="CK85" s="55">
        <v>0</v>
      </c>
      <c r="CL85" s="55">
        <f t="shared" si="37"/>
        <v>730</v>
      </c>
      <c r="CM85" s="55">
        <f t="shared" si="38"/>
        <v>0</v>
      </c>
      <c r="CN85" s="55" t="e">
        <f t="shared" si="39"/>
        <v>#DIV/0!</v>
      </c>
      <c r="CO85" s="56">
        <v>0</v>
      </c>
      <c r="CP85" s="56">
        <v>0</v>
      </c>
      <c r="CQ85" s="56">
        <v>0</v>
      </c>
      <c r="CR85" s="56">
        <f t="shared" si="40"/>
        <v>0</v>
      </c>
      <c r="CS85" s="56">
        <v>730</v>
      </c>
      <c r="CT85" s="56">
        <v>0</v>
      </c>
      <c r="CU85" s="56">
        <f t="shared" si="41"/>
        <v>730</v>
      </c>
      <c r="CV85" s="56">
        <f t="shared" si="42"/>
        <v>0</v>
      </c>
      <c r="CW85" s="56" t="e">
        <f t="shared" si="43"/>
        <v>#DIV/0!</v>
      </c>
      <c r="CX85" s="57">
        <v>0</v>
      </c>
      <c r="CY85" s="57">
        <v>0</v>
      </c>
      <c r="CZ85" s="57">
        <v>0</v>
      </c>
      <c r="DA85" s="57">
        <f t="shared" si="44"/>
        <v>0</v>
      </c>
      <c r="DB85" s="57">
        <v>600</v>
      </c>
      <c r="DC85" s="57">
        <v>0</v>
      </c>
      <c r="DD85" s="57">
        <f t="shared" si="45"/>
        <v>600</v>
      </c>
      <c r="DE85" s="57">
        <f t="shared" si="46"/>
        <v>0</v>
      </c>
      <c r="DF85" s="57" t="e">
        <f t="shared" si="47"/>
        <v>#DIV/0!</v>
      </c>
    </row>
    <row r="86" spans="1:110" ht="14.25" customHeight="1">
      <c r="A86" s="43"/>
      <c r="B86" s="44"/>
      <c r="C86" s="45">
        <v>0</v>
      </c>
      <c r="D86" s="30">
        <v>0</v>
      </c>
      <c r="E86" s="30">
        <v>0</v>
      </c>
      <c r="F86" s="45">
        <f t="shared" si="0"/>
        <v>0</v>
      </c>
      <c r="G86" s="45">
        <v>900</v>
      </c>
      <c r="H86" s="30">
        <v>0</v>
      </c>
      <c r="I86" s="45">
        <f t="shared" si="1"/>
        <v>900</v>
      </c>
      <c r="J86" s="45">
        <f t="shared" si="2"/>
        <v>0</v>
      </c>
      <c r="K86" s="46" t="e">
        <f t="shared" si="3"/>
        <v>#DIV/0!</v>
      </c>
      <c r="L86" s="47">
        <v>0</v>
      </c>
      <c r="M86" s="32">
        <v>0</v>
      </c>
      <c r="N86" s="32">
        <v>0</v>
      </c>
      <c r="O86" s="47">
        <f t="shared" si="4"/>
        <v>0</v>
      </c>
      <c r="P86" s="47">
        <v>1800</v>
      </c>
      <c r="Q86" s="47">
        <v>0</v>
      </c>
      <c r="R86" s="47">
        <f t="shared" si="5"/>
        <v>1800</v>
      </c>
      <c r="S86" s="47">
        <f t="shared" si="6"/>
        <v>0</v>
      </c>
      <c r="T86" s="47" t="e">
        <f t="shared" si="7"/>
        <v>#DIV/0!</v>
      </c>
      <c r="U86" s="48">
        <v>0</v>
      </c>
      <c r="V86" s="48">
        <v>0</v>
      </c>
      <c r="W86" s="48">
        <v>0</v>
      </c>
      <c r="X86" s="48">
        <f t="shared" si="8"/>
        <v>0</v>
      </c>
      <c r="Y86" s="48">
        <v>910</v>
      </c>
      <c r="Z86" s="33">
        <v>0</v>
      </c>
      <c r="AA86" s="48">
        <f t="shared" si="9"/>
        <v>910</v>
      </c>
      <c r="AB86" s="48">
        <f t="shared" si="10"/>
        <v>0</v>
      </c>
      <c r="AC86" s="48" t="e">
        <f t="shared" si="11"/>
        <v>#DIV/0!</v>
      </c>
      <c r="AD86" s="49">
        <v>0</v>
      </c>
      <c r="AE86" s="49">
        <v>0</v>
      </c>
      <c r="AF86" s="49">
        <v>0</v>
      </c>
      <c r="AG86" s="49">
        <f t="shared" si="12"/>
        <v>0</v>
      </c>
      <c r="AH86" s="49">
        <v>1200</v>
      </c>
      <c r="AI86" s="49">
        <v>0</v>
      </c>
      <c r="AJ86" s="49">
        <f t="shared" si="13"/>
        <v>1200</v>
      </c>
      <c r="AK86" s="49">
        <f t="shared" si="14"/>
        <v>0</v>
      </c>
      <c r="AL86" s="49" t="e">
        <f t="shared" si="15"/>
        <v>#DIV/0!</v>
      </c>
      <c r="AM86" s="50">
        <v>0</v>
      </c>
      <c r="AN86" s="50">
        <v>0</v>
      </c>
      <c r="AO86" s="50">
        <v>0</v>
      </c>
      <c r="AP86" s="50">
        <f t="shared" si="16"/>
        <v>0</v>
      </c>
      <c r="AQ86" s="50">
        <v>600</v>
      </c>
      <c r="AR86" s="50">
        <v>0</v>
      </c>
      <c r="AS86" s="50">
        <f t="shared" si="17"/>
        <v>600</v>
      </c>
      <c r="AT86" s="50">
        <f t="shared" si="18"/>
        <v>0</v>
      </c>
      <c r="AU86" s="50" t="e">
        <f t="shared" si="19"/>
        <v>#DIV/0!</v>
      </c>
      <c r="AV86" s="51">
        <v>0</v>
      </c>
      <c r="AW86" s="36">
        <v>0</v>
      </c>
      <c r="AX86" s="36">
        <v>0</v>
      </c>
      <c r="AY86" s="51">
        <f t="shared" si="20"/>
        <v>0</v>
      </c>
      <c r="AZ86" s="51">
        <v>1500</v>
      </c>
      <c r="BA86" s="51">
        <v>0</v>
      </c>
      <c r="BB86" s="51">
        <f t="shared" si="21"/>
        <v>1500</v>
      </c>
      <c r="BC86" s="51">
        <f t="shared" si="22"/>
        <v>0</v>
      </c>
      <c r="BD86" s="51" t="e">
        <f t="shared" si="23"/>
        <v>#DIV/0!</v>
      </c>
      <c r="BE86" s="52">
        <v>0</v>
      </c>
      <c r="BF86" s="37">
        <v>0</v>
      </c>
      <c r="BG86" s="37">
        <v>0</v>
      </c>
      <c r="BH86" s="37">
        <f t="shared" si="24"/>
        <v>0</v>
      </c>
      <c r="BI86" s="52">
        <v>750</v>
      </c>
      <c r="BJ86" s="37">
        <v>0</v>
      </c>
      <c r="BK86" s="52">
        <f t="shared" si="25"/>
        <v>750</v>
      </c>
      <c r="BL86" s="52">
        <f t="shared" si="26"/>
        <v>0</v>
      </c>
      <c r="BM86" s="52" t="e">
        <f t="shared" si="27"/>
        <v>#DIV/0!</v>
      </c>
      <c r="BN86" s="53">
        <v>0</v>
      </c>
      <c r="BO86" s="38">
        <v>0</v>
      </c>
      <c r="BP86" s="38">
        <v>0</v>
      </c>
      <c r="BQ86" s="53">
        <f t="shared" si="28"/>
        <v>0</v>
      </c>
      <c r="BR86" s="53">
        <v>2450</v>
      </c>
      <c r="BS86" s="38">
        <v>0</v>
      </c>
      <c r="BT86" s="53">
        <f t="shared" si="29"/>
        <v>2450</v>
      </c>
      <c r="BU86" s="53">
        <f t="shared" si="30"/>
        <v>0</v>
      </c>
      <c r="BV86" s="53" t="e">
        <f t="shared" si="31"/>
        <v>#DIV/0!</v>
      </c>
      <c r="BW86" s="54">
        <v>0</v>
      </c>
      <c r="BX86" s="39">
        <v>0</v>
      </c>
      <c r="BY86" s="39">
        <v>0</v>
      </c>
      <c r="BZ86" s="54">
        <f t="shared" si="32"/>
        <v>0</v>
      </c>
      <c r="CA86" s="54">
        <v>750</v>
      </c>
      <c r="CB86" s="54">
        <v>0</v>
      </c>
      <c r="CC86" s="54">
        <f t="shared" si="33"/>
        <v>750</v>
      </c>
      <c r="CD86" s="54">
        <f t="shared" si="34"/>
        <v>0</v>
      </c>
      <c r="CE86" s="54" t="e">
        <f t="shared" si="35"/>
        <v>#DIV/0!</v>
      </c>
      <c r="CF86" s="55">
        <v>0</v>
      </c>
      <c r="CG86" s="55">
        <v>0</v>
      </c>
      <c r="CH86" s="55">
        <v>0</v>
      </c>
      <c r="CI86" s="55">
        <f t="shared" si="36"/>
        <v>0</v>
      </c>
      <c r="CJ86" s="55">
        <v>730</v>
      </c>
      <c r="CK86" s="55">
        <v>0</v>
      </c>
      <c r="CL86" s="55">
        <f t="shared" si="37"/>
        <v>730</v>
      </c>
      <c r="CM86" s="55">
        <f t="shared" si="38"/>
        <v>0</v>
      </c>
      <c r="CN86" s="55" t="e">
        <f t="shared" si="39"/>
        <v>#DIV/0!</v>
      </c>
      <c r="CO86" s="56">
        <v>0</v>
      </c>
      <c r="CP86" s="56">
        <v>0</v>
      </c>
      <c r="CQ86" s="56">
        <v>0</v>
      </c>
      <c r="CR86" s="56">
        <f t="shared" si="40"/>
        <v>0</v>
      </c>
      <c r="CS86" s="56">
        <v>730</v>
      </c>
      <c r="CT86" s="56">
        <v>0</v>
      </c>
      <c r="CU86" s="56">
        <f t="shared" si="41"/>
        <v>730</v>
      </c>
      <c r="CV86" s="56">
        <f t="shared" si="42"/>
        <v>0</v>
      </c>
      <c r="CW86" s="56" t="e">
        <f t="shared" si="43"/>
        <v>#DIV/0!</v>
      </c>
      <c r="CX86" s="57">
        <v>0</v>
      </c>
      <c r="CY86" s="57">
        <v>0</v>
      </c>
      <c r="CZ86" s="57">
        <v>0</v>
      </c>
      <c r="DA86" s="57">
        <f t="shared" si="44"/>
        <v>0</v>
      </c>
      <c r="DB86" s="57">
        <v>600</v>
      </c>
      <c r="DC86" s="57">
        <v>0</v>
      </c>
      <c r="DD86" s="57">
        <f t="shared" si="45"/>
        <v>600</v>
      </c>
      <c r="DE86" s="57">
        <f t="shared" si="46"/>
        <v>0</v>
      </c>
      <c r="DF86" s="57" t="e">
        <f t="shared" si="47"/>
        <v>#DIV/0!</v>
      </c>
    </row>
    <row r="87" spans="1:110" ht="14.25" customHeight="1">
      <c r="A87" s="43"/>
      <c r="B87" s="44"/>
      <c r="C87" s="45">
        <v>0</v>
      </c>
      <c r="D87" s="30">
        <v>0</v>
      </c>
      <c r="E87" s="30">
        <v>0</v>
      </c>
      <c r="F87" s="45">
        <f t="shared" si="0"/>
        <v>0</v>
      </c>
      <c r="G87" s="45">
        <v>900</v>
      </c>
      <c r="H87" s="30">
        <v>0</v>
      </c>
      <c r="I87" s="45">
        <f t="shared" si="1"/>
        <v>900</v>
      </c>
      <c r="J87" s="45">
        <f t="shared" si="2"/>
        <v>0</v>
      </c>
      <c r="K87" s="46" t="e">
        <f t="shared" si="3"/>
        <v>#DIV/0!</v>
      </c>
      <c r="L87" s="47">
        <v>0</v>
      </c>
      <c r="M87" s="32">
        <v>0</v>
      </c>
      <c r="N87" s="32">
        <v>0</v>
      </c>
      <c r="O87" s="47">
        <f t="shared" si="4"/>
        <v>0</v>
      </c>
      <c r="P87" s="47">
        <v>1800</v>
      </c>
      <c r="Q87" s="47">
        <v>0</v>
      </c>
      <c r="R87" s="47">
        <f t="shared" si="5"/>
        <v>1800</v>
      </c>
      <c r="S87" s="47">
        <f t="shared" si="6"/>
        <v>0</v>
      </c>
      <c r="T87" s="47" t="e">
        <f t="shared" si="7"/>
        <v>#DIV/0!</v>
      </c>
      <c r="U87" s="48">
        <v>0</v>
      </c>
      <c r="V87" s="48">
        <v>0</v>
      </c>
      <c r="W87" s="48">
        <v>0</v>
      </c>
      <c r="X87" s="48">
        <f t="shared" si="8"/>
        <v>0</v>
      </c>
      <c r="Y87" s="48">
        <v>910</v>
      </c>
      <c r="Z87" s="33">
        <v>0</v>
      </c>
      <c r="AA87" s="48">
        <f t="shared" si="9"/>
        <v>910</v>
      </c>
      <c r="AB87" s="48">
        <f t="shared" si="10"/>
        <v>0</v>
      </c>
      <c r="AC87" s="48" t="e">
        <f t="shared" si="11"/>
        <v>#DIV/0!</v>
      </c>
      <c r="AD87" s="49">
        <v>0</v>
      </c>
      <c r="AE87" s="49">
        <v>0</v>
      </c>
      <c r="AF87" s="49">
        <v>0</v>
      </c>
      <c r="AG87" s="49">
        <f t="shared" si="12"/>
        <v>0</v>
      </c>
      <c r="AH87" s="49">
        <v>1200</v>
      </c>
      <c r="AI87" s="49">
        <v>0</v>
      </c>
      <c r="AJ87" s="49">
        <f t="shared" si="13"/>
        <v>1200</v>
      </c>
      <c r="AK87" s="49">
        <f t="shared" si="14"/>
        <v>0</v>
      </c>
      <c r="AL87" s="49" t="e">
        <f t="shared" si="15"/>
        <v>#DIV/0!</v>
      </c>
      <c r="AM87" s="50">
        <v>0</v>
      </c>
      <c r="AN87" s="50">
        <v>0</v>
      </c>
      <c r="AO87" s="50">
        <v>0</v>
      </c>
      <c r="AP87" s="50">
        <f t="shared" si="16"/>
        <v>0</v>
      </c>
      <c r="AQ87" s="50">
        <v>600</v>
      </c>
      <c r="AR87" s="50">
        <v>0</v>
      </c>
      <c r="AS87" s="50">
        <f t="shared" si="17"/>
        <v>600</v>
      </c>
      <c r="AT87" s="50">
        <f t="shared" si="18"/>
        <v>0</v>
      </c>
      <c r="AU87" s="50" t="e">
        <f t="shared" si="19"/>
        <v>#DIV/0!</v>
      </c>
      <c r="AV87" s="51">
        <v>0</v>
      </c>
      <c r="AW87" s="36">
        <v>0</v>
      </c>
      <c r="AX87" s="36">
        <v>0</v>
      </c>
      <c r="AY87" s="51">
        <f t="shared" si="20"/>
        <v>0</v>
      </c>
      <c r="AZ87" s="51">
        <v>1500</v>
      </c>
      <c r="BA87" s="51">
        <v>0</v>
      </c>
      <c r="BB87" s="51">
        <f t="shared" si="21"/>
        <v>1500</v>
      </c>
      <c r="BC87" s="51">
        <f t="shared" si="22"/>
        <v>0</v>
      </c>
      <c r="BD87" s="51" t="e">
        <f t="shared" si="23"/>
        <v>#DIV/0!</v>
      </c>
      <c r="BE87" s="52">
        <v>0</v>
      </c>
      <c r="BF87" s="37">
        <v>0</v>
      </c>
      <c r="BG87" s="37">
        <v>0</v>
      </c>
      <c r="BH87" s="37">
        <f t="shared" si="24"/>
        <v>0</v>
      </c>
      <c r="BI87" s="52">
        <v>750</v>
      </c>
      <c r="BJ87" s="37">
        <v>0</v>
      </c>
      <c r="BK87" s="52">
        <f t="shared" si="25"/>
        <v>750</v>
      </c>
      <c r="BL87" s="52">
        <f t="shared" si="26"/>
        <v>0</v>
      </c>
      <c r="BM87" s="52" t="e">
        <f t="shared" si="27"/>
        <v>#DIV/0!</v>
      </c>
      <c r="BN87" s="53">
        <v>0</v>
      </c>
      <c r="BO87" s="38">
        <v>0</v>
      </c>
      <c r="BP87" s="38">
        <v>0</v>
      </c>
      <c r="BQ87" s="53">
        <f t="shared" si="28"/>
        <v>0</v>
      </c>
      <c r="BR87" s="53">
        <v>2450</v>
      </c>
      <c r="BS87" s="38">
        <v>0</v>
      </c>
      <c r="BT87" s="53">
        <f t="shared" si="29"/>
        <v>2450</v>
      </c>
      <c r="BU87" s="53">
        <f t="shared" si="30"/>
        <v>0</v>
      </c>
      <c r="BV87" s="53" t="e">
        <f t="shared" si="31"/>
        <v>#DIV/0!</v>
      </c>
      <c r="BW87" s="54">
        <v>0</v>
      </c>
      <c r="BX87" s="39">
        <v>0</v>
      </c>
      <c r="BY87" s="39">
        <v>0</v>
      </c>
      <c r="BZ87" s="54">
        <f t="shared" si="32"/>
        <v>0</v>
      </c>
      <c r="CA87" s="54">
        <v>750</v>
      </c>
      <c r="CB87" s="54">
        <v>0</v>
      </c>
      <c r="CC87" s="54">
        <f t="shared" si="33"/>
        <v>750</v>
      </c>
      <c r="CD87" s="54">
        <f t="shared" si="34"/>
        <v>0</v>
      </c>
      <c r="CE87" s="54" t="e">
        <f t="shared" si="35"/>
        <v>#DIV/0!</v>
      </c>
      <c r="CF87" s="55">
        <v>0</v>
      </c>
      <c r="CG87" s="55">
        <v>0</v>
      </c>
      <c r="CH87" s="55">
        <v>0</v>
      </c>
      <c r="CI87" s="55">
        <f t="shared" si="36"/>
        <v>0</v>
      </c>
      <c r="CJ87" s="55">
        <v>730</v>
      </c>
      <c r="CK87" s="55">
        <v>0</v>
      </c>
      <c r="CL87" s="55">
        <f t="shared" si="37"/>
        <v>730</v>
      </c>
      <c r="CM87" s="55">
        <f t="shared" si="38"/>
        <v>0</v>
      </c>
      <c r="CN87" s="55" t="e">
        <f t="shared" si="39"/>
        <v>#DIV/0!</v>
      </c>
      <c r="CO87" s="56">
        <v>0</v>
      </c>
      <c r="CP87" s="56">
        <v>0</v>
      </c>
      <c r="CQ87" s="56">
        <v>0</v>
      </c>
      <c r="CR87" s="56">
        <f t="shared" si="40"/>
        <v>0</v>
      </c>
      <c r="CS87" s="56">
        <v>730</v>
      </c>
      <c r="CT87" s="56">
        <v>0</v>
      </c>
      <c r="CU87" s="56">
        <f t="shared" si="41"/>
        <v>730</v>
      </c>
      <c r="CV87" s="56">
        <f t="shared" si="42"/>
        <v>0</v>
      </c>
      <c r="CW87" s="56" t="e">
        <f t="shared" si="43"/>
        <v>#DIV/0!</v>
      </c>
      <c r="CX87" s="57">
        <v>0</v>
      </c>
      <c r="CY87" s="57">
        <v>0</v>
      </c>
      <c r="CZ87" s="57">
        <v>0</v>
      </c>
      <c r="DA87" s="57">
        <f t="shared" si="44"/>
        <v>0</v>
      </c>
      <c r="DB87" s="57">
        <v>600</v>
      </c>
      <c r="DC87" s="57">
        <v>0</v>
      </c>
      <c r="DD87" s="57">
        <f t="shared" si="45"/>
        <v>600</v>
      </c>
      <c r="DE87" s="57">
        <f t="shared" si="46"/>
        <v>0</v>
      </c>
      <c r="DF87" s="57" t="e">
        <f t="shared" si="47"/>
        <v>#DIV/0!</v>
      </c>
    </row>
    <row r="88" spans="1:110" ht="14.25" customHeight="1">
      <c r="A88" s="43"/>
      <c r="B88" s="44"/>
      <c r="C88" s="45">
        <v>0</v>
      </c>
      <c r="D88" s="30">
        <v>0</v>
      </c>
      <c r="E88" s="30">
        <v>0</v>
      </c>
      <c r="F88" s="45">
        <f t="shared" si="0"/>
        <v>0</v>
      </c>
      <c r="G88" s="45">
        <v>900</v>
      </c>
      <c r="H88" s="30">
        <v>0</v>
      </c>
      <c r="I88" s="45">
        <f t="shared" si="1"/>
        <v>900</v>
      </c>
      <c r="J88" s="45">
        <f t="shared" si="2"/>
        <v>0</v>
      </c>
      <c r="K88" s="46" t="e">
        <f t="shared" si="3"/>
        <v>#DIV/0!</v>
      </c>
      <c r="L88" s="47">
        <v>0</v>
      </c>
      <c r="M88" s="32">
        <v>0</v>
      </c>
      <c r="N88" s="32">
        <v>0</v>
      </c>
      <c r="O88" s="47">
        <f t="shared" si="4"/>
        <v>0</v>
      </c>
      <c r="P88" s="47">
        <v>1800</v>
      </c>
      <c r="Q88" s="47">
        <v>0</v>
      </c>
      <c r="R88" s="47">
        <f t="shared" si="5"/>
        <v>1800</v>
      </c>
      <c r="S88" s="47">
        <f t="shared" si="6"/>
        <v>0</v>
      </c>
      <c r="T88" s="47" t="e">
        <f t="shared" si="7"/>
        <v>#DIV/0!</v>
      </c>
      <c r="U88" s="48">
        <v>0</v>
      </c>
      <c r="V88" s="48">
        <v>0</v>
      </c>
      <c r="W88" s="48">
        <v>0</v>
      </c>
      <c r="X88" s="48">
        <f t="shared" si="8"/>
        <v>0</v>
      </c>
      <c r="Y88" s="48">
        <v>910</v>
      </c>
      <c r="Z88" s="33">
        <v>0</v>
      </c>
      <c r="AA88" s="48">
        <f t="shared" si="9"/>
        <v>910</v>
      </c>
      <c r="AB88" s="48">
        <f t="shared" si="10"/>
        <v>0</v>
      </c>
      <c r="AC88" s="48" t="e">
        <f t="shared" si="11"/>
        <v>#DIV/0!</v>
      </c>
      <c r="AD88" s="49">
        <v>0</v>
      </c>
      <c r="AE88" s="49">
        <v>0</v>
      </c>
      <c r="AF88" s="49">
        <v>0</v>
      </c>
      <c r="AG88" s="49">
        <f t="shared" si="12"/>
        <v>0</v>
      </c>
      <c r="AH88" s="49">
        <v>1200</v>
      </c>
      <c r="AI88" s="49">
        <v>0</v>
      </c>
      <c r="AJ88" s="49">
        <f t="shared" si="13"/>
        <v>1200</v>
      </c>
      <c r="AK88" s="49">
        <f t="shared" si="14"/>
        <v>0</v>
      </c>
      <c r="AL88" s="49" t="e">
        <f t="shared" si="15"/>
        <v>#DIV/0!</v>
      </c>
      <c r="AM88" s="50">
        <v>0</v>
      </c>
      <c r="AN88" s="50">
        <v>0</v>
      </c>
      <c r="AO88" s="50">
        <v>0</v>
      </c>
      <c r="AP88" s="50">
        <f t="shared" si="16"/>
        <v>0</v>
      </c>
      <c r="AQ88" s="50">
        <v>600</v>
      </c>
      <c r="AR88" s="50">
        <v>0</v>
      </c>
      <c r="AS88" s="50">
        <f t="shared" si="17"/>
        <v>600</v>
      </c>
      <c r="AT88" s="50">
        <f t="shared" si="18"/>
        <v>0</v>
      </c>
      <c r="AU88" s="50" t="e">
        <f t="shared" si="19"/>
        <v>#DIV/0!</v>
      </c>
      <c r="AV88" s="51">
        <v>0</v>
      </c>
      <c r="AW88" s="36">
        <v>0</v>
      </c>
      <c r="AX88" s="36">
        <v>0</v>
      </c>
      <c r="AY88" s="51">
        <f t="shared" si="20"/>
        <v>0</v>
      </c>
      <c r="AZ88" s="51">
        <v>1500</v>
      </c>
      <c r="BA88" s="51">
        <v>0</v>
      </c>
      <c r="BB88" s="51">
        <f t="shared" si="21"/>
        <v>1500</v>
      </c>
      <c r="BC88" s="51">
        <f t="shared" si="22"/>
        <v>0</v>
      </c>
      <c r="BD88" s="51" t="e">
        <f t="shared" si="23"/>
        <v>#DIV/0!</v>
      </c>
      <c r="BE88" s="52">
        <v>0</v>
      </c>
      <c r="BF88" s="37">
        <v>0</v>
      </c>
      <c r="BG88" s="37">
        <v>0</v>
      </c>
      <c r="BH88" s="37">
        <f t="shared" si="24"/>
        <v>0</v>
      </c>
      <c r="BI88" s="52">
        <v>750</v>
      </c>
      <c r="BJ88" s="37">
        <v>0</v>
      </c>
      <c r="BK88" s="52">
        <f t="shared" si="25"/>
        <v>750</v>
      </c>
      <c r="BL88" s="52">
        <f t="shared" si="26"/>
        <v>0</v>
      </c>
      <c r="BM88" s="52" t="e">
        <f t="shared" si="27"/>
        <v>#DIV/0!</v>
      </c>
      <c r="BN88" s="53">
        <v>0</v>
      </c>
      <c r="BO88" s="38">
        <v>0</v>
      </c>
      <c r="BP88" s="38">
        <v>0</v>
      </c>
      <c r="BQ88" s="53">
        <f t="shared" si="28"/>
        <v>0</v>
      </c>
      <c r="BR88" s="53">
        <v>2450</v>
      </c>
      <c r="BS88" s="38">
        <v>0</v>
      </c>
      <c r="BT88" s="53">
        <f t="shared" si="29"/>
        <v>2450</v>
      </c>
      <c r="BU88" s="53">
        <f t="shared" si="30"/>
        <v>0</v>
      </c>
      <c r="BV88" s="53" t="e">
        <f t="shared" si="31"/>
        <v>#DIV/0!</v>
      </c>
      <c r="BW88" s="54">
        <v>0</v>
      </c>
      <c r="BX88" s="39">
        <v>0</v>
      </c>
      <c r="BY88" s="39">
        <v>0</v>
      </c>
      <c r="BZ88" s="54">
        <f t="shared" si="32"/>
        <v>0</v>
      </c>
      <c r="CA88" s="54">
        <v>750</v>
      </c>
      <c r="CB88" s="54">
        <v>0</v>
      </c>
      <c r="CC88" s="54">
        <f t="shared" si="33"/>
        <v>750</v>
      </c>
      <c r="CD88" s="54">
        <f t="shared" si="34"/>
        <v>0</v>
      </c>
      <c r="CE88" s="54" t="e">
        <f t="shared" si="35"/>
        <v>#DIV/0!</v>
      </c>
      <c r="CF88" s="55">
        <v>0</v>
      </c>
      <c r="CG88" s="55">
        <v>0</v>
      </c>
      <c r="CH88" s="55">
        <v>0</v>
      </c>
      <c r="CI88" s="55">
        <f t="shared" si="36"/>
        <v>0</v>
      </c>
      <c r="CJ88" s="55">
        <v>730</v>
      </c>
      <c r="CK88" s="55">
        <v>0</v>
      </c>
      <c r="CL88" s="55">
        <f t="shared" si="37"/>
        <v>730</v>
      </c>
      <c r="CM88" s="55">
        <f t="shared" si="38"/>
        <v>0</v>
      </c>
      <c r="CN88" s="55" t="e">
        <f t="shared" si="39"/>
        <v>#DIV/0!</v>
      </c>
      <c r="CO88" s="56">
        <v>0</v>
      </c>
      <c r="CP88" s="56">
        <v>0</v>
      </c>
      <c r="CQ88" s="56">
        <v>0</v>
      </c>
      <c r="CR88" s="56">
        <f t="shared" si="40"/>
        <v>0</v>
      </c>
      <c r="CS88" s="56">
        <v>730</v>
      </c>
      <c r="CT88" s="56">
        <v>0</v>
      </c>
      <c r="CU88" s="56">
        <f t="shared" si="41"/>
        <v>730</v>
      </c>
      <c r="CV88" s="56">
        <f t="shared" si="42"/>
        <v>0</v>
      </c>
      <c r="CW88" s="56" t="e">
        <f t="shared" si="43"/>
        <v>#DIV/0!</v>
      </c>
      <c r="CX88" s="57">
        <v>0</v>
      </c>
      <c r="CY88" s="57">
        <v>0</v>
      </c>
      <c r="CZ88" s="57">
        <v>0</v>
      </c>
      <c r="DA88" s="57">
        <f t="shared" si="44"/>
        <v>0</v>
      </c>
      <c r="DB88" s="57">
        <v>600</v>
      </c>
      <c r="DC88" s="57">
        <v>0</v>
      </c>
      <c r="DD88" s="57">
        <f t="shared" si="45"/>
        <v>600</v>
      </c>
      <c r="DE88" s="57">
        <f t="shared" si="46"/>
        <v>0</v>
      </c>
      <c r="DF88" s="57" t="e">
        <f t="shared" si="47"/>
        <v>#DIV/0!</v>
      </c>
    </row>
    <row r="89" spans="1:110" ht="14.25" customHeight="1">
      <c r="A89" s="43"/>
      <c r="B89" s="44"/>
      <c r="C89" s="45">
        <v>0</v>
      </c>
      <c r="D89" s="30">
        <v>0</v>
      </c>
      <c r="E89" s="30">
        <v>0</v>
      </c>
      <c r="F89" s="45">
        <f t="shared" si="0"/>
        <v>0</v>
      </c>
      <c r="G89" s="45">
        <v>900</v>
      </c>
      <c r="H89" s="30">
        <v>0</v>
      </c>
      <c r="I89" s="45">
        <f t="shared" si="1"/>
        <v>900</v>
      </c>
      <c r="J89" s="45">
        <f t="shared" si="2"/>
        <v>0</v>
      </c>
      <c r="K89" s="46" t="e">
        <f t="shared" si="3"/>
        <v>#DIV/0!</v>
      </c>
      <c r="L89" s="47">
        <v>0</v>
      </c>
      <c r="M89" s="32">
        <v>0</v>
      </c>
      <c r="N89" s="32">
        <v>0</v>
      </c>
      <c r="O89" s="47">
        <f t="shared" si="4"/>
        <v>0</v>
      </c>
      <c r="P89" s="47">
        <v>1800</v>
      </c>
      <c r="Q89" s="47">
        <v>0</v>
      </c>
      <c r="R89" s="47">
        <f t="shared" si="5"/>
        <v>1800</v>
      </c>
      <c r="S89" s="47">
        <f t="shared" si="6"/>
        <v>0</v>
      </c>
      <c r="T89" s="47" t="e">
        <f t="shared" si="7"/>
        <v>#DIV/0!</v>
      </c>
      <c r="U89" s="48">
        <v>0</v>
      </c>
      <c r="V89" s="48">
        <v>0</v>
      </c>
      <c r="W89" s="48">
        <v>0</v>
      </c>
      <c r="X89" s="48">
        <f t="shared" si="8"/>
        <v>0</v>
      </c>
      <c r="Y89" s="48">
        <v>910</v>
      </c>
      <c r="Z89" s="33">
        <v>0</v>
      </c>
      <c r="AA89" s="48">
        <f t="shared" si="9"/>
        <v>910</v>
      </c>
      <c r="AB89" s="48">
        <f t="shared" si="10"/>
        <v>0</v>
      </c>
      <c r="AC89" s="48" t="e">
        <f t="shared" si="11"/>
        <v>#DIV/0!</v>
      </c>
      <c r="AD89" s="49">
        <v>0</v>
      </c>
      <c r="AE89" s="49">
        <v>0</v>
      </c>
      <c r="AF89" s="49">
        <v>0</v>
      </c>
      <c r="AG89" s="49">
        <f t="shared" si="12"/>
        <v>0</v>
      </c>
      <c r="AH89" s="49">
        <v>1200</v>
      </c>
      <c r="AI89" s="49">
        <v>0</v>
      </c>
      <c r="AJ89" s="49">
        <f t="shared" si="13"/>
        <v>1200</v>
      </c>
      <c r="AK89" s="49">
        <f t="shared" si="14"/>
        <v>0</v>
      </c>
      <c r="AL89" s="49" t="e">
        <f t="shared" si="15"/>
        <v>#DIV/0!</v>
      </c>
      <c r="AM89" s="50">
        <v>0</v>
      </c>
      <c r="AN89" s="50">
        <v>0</v>
      </c>
      <c r="AO89" s="50">
        <v>0</v>
      </c>
      <c r="AP89" s="50">
        <f t="shared" si="16"/>
        <v>0</v>
      </c>
      <c r="AQ89" s="50">
        <v>600</v>
      </c>
      <c r="AR89" s="50">
        <v>0</v>
      </c>
      <c r="AS89" s="50">
        <f t="shared" si="17"/>
        <v>600</v>
      </c>
      <c r="AT89" s="50">
        <f t="shared" si="18"/>
        <v>0</v>
      </c>
      <c r="AU89" s="50" t="e">
        <f t="shared" si="19"/>
        <v>#DIV/0!</v>
      </c>
      <c r="AV89" s="51">
        <v>0</v>
      </c>
      <c r="AW89" s="36">
        <v>0</v>
      </c>
      <c r="AX89" s="36">
        <v>0</v>
      </c>
      <c r="AY89" s="51">
        <f t="shared" si="20"/>
        <v>0</v>
      </c>
      <c r="AZ89" s="51">
        <v>1500</v>
      </c>
      <c r="BA89" s="51">
        <v>0</v>
      </c>
      <c r="BB89" s="51">
        <f t="shared" si="21"/>
        <v>1500</v>
      </c>
      <c r="BC89" s="51">
        <f t="shared" si="22"/>
        <v>0</v>
      </c>
      <c r="BD89" s="51" t="e">
        <f t="shared" si="23"/>
        <v>#DIV/0!</v>
      </c>
      <c r="BE89" s="52">
        <v>0</v>
      </c>
      <c r="BF89" s="37">
        <v>0</v>
      </c>
      <c r="BG89" s="37">
        <v>0</v>
      </c>
      <c r="BH89" s="37">
        <f t="shared" si="24"/>
        <v>0</v>
      </c>
      <c r="BI89" s="52">
        <v>750</v>
      </c>
      <c r="BJ89" s="37">
        <v>0</v>
      </c>
      <c r="BK89" s="52">
        <f t="shared" si="25"/>
        <v>750</v>
      </c>
      <c r="BL89" s="52">
        <f t="shared" si="26"/>
        <v>0</v>
      </c>
      <c r="BM89" s="52" t="e">
        <f t="shared" si="27"/>
        <v>#DIV/0!</v>
      </c>
      <c r="BN89" s="53">
        <v>0</v>
      </c>
      <c r="BO89" s="38">
        <v>0</v>
      </c>
      <c r="BP89" s="38">
        <v>0</v>
      </c>
      <c r="BQ89" s="53">
        <f t="shared" si="28"/>
        <v>0</v>
      </c>
      <c r="BR89" s="53">
        <v>2450</v>
      </c>
      <c r="BS89" s="38">
        <v>0</v>
      </c>
      <c r="BT89" s="53">
        <f t="shared" si="29"/>
        <v>2450</v>
      </c>
      <c r="BU89" s="53">
        <f t="shared" si="30"/>
        <v>0</v>
      </c>
      <c r="BV89" s="53" t="e">
        <f t="shared" si="31"/>
        <v>#DIV/0!</v>
      </c>
      <c r="BW89" s="54">
        <v>0</v>
      </c>
      <c r="BX89" s="39">
        <v>0</v>
      </c>
      <c r="BY89" s="39">
        <v>0</v>
      </c>
      <c r="BZ89" s="54">
        <f t="shared" si="32"/>
        <v>0</v>
      </c>
      <c r="CA89" s="54">
        <v>750</v>
      </c>
      <c r="CB89" s="54">
        <v>0</v>
      </c>
      <c r="CC89" s="54">
        <f t="shared" si="33"/>
        <v>750</v>
      </c>
      <c r="CD89" s="54">
        <f t="shared" si="34"/>
        <v>0</v>
      </c>
      <c r="CE89" s="54" t="e">
        <f t="shared" si="35"/>
        <v>#DIV/0!</v>
      </c>
      <c r="CF89" s="55">
        <v>0</v>
      </c>
      <c r="CG89" s="55">
        <v>0</v>
      </c>
      <c r="CH89" s="55">
        <v>0</v>
      </c>
      <c r="CI89" s="55">
        <f t="shared" si="36"/>
        <v>0</v>
      </c>
      <c r="CJ89" s="55">
        <v>730</v>
      </c>
      <c r="CK89" s="55">
        <v>0</v>
      </c>
      <c r="CL89" s="55">
        <f t="shared" si="37"/>
        <v>730</v>
      </c>
      <c r="CM89" s="55">
        <f t="shared" si="38"/>
        <v>0</v>
      </c>
      <c r="CN89" s="55" t="e">
        <f t="shared" si="39"/>
        <v>#DIV/0!</v>
      </c>
      <c r="CO89" s="56">
        <v>0</v>
      </c>
      <c r="CP89" s="56">
        <v>0</v>
      </c>
      <c r="CQ89" s="56">
        <v>0</v>
      </c>
      <c r="CR89" s="56">
        <f t="shared" si="40"/>
        <v>0</v>
      </c>
      <c r="CS89" s="56">
        <v>730</v>
      </c>
      <c r="CT89" s="56">
        <v>0</v>
      </c>
      <c r="CU89" s="56">
        <f t="shared" si="41"/>
        <v>730</v>
      </c>
      <c r="CV89" s="56">
        <f t="shared" si="42"/>
        <v>0</v>
      </c>
      <c r="CW89" s="56" t="e">
        <f t="shared" si="43"/>
        <v>#DIV/0!</v>
      </c>
      <c r="CX89" s="57">
        <v>0</v>
      </c>
      <c r="CY89" s="57">
        <v>0</v>
      </c>
      <c r="CZ89" s="57">
        <v>0</v>
      </c>
      <c r="DA89" s="57">
        <f t="shared" si="44"/>
        <v>0</v>
      </c>
      <c r="DB89" s="57">
        <v>600</v>
      </c>
      <c r="DC89" s="57">
        <v>0</v>
      </c>
      <c r="DD89" s="57">
        <f t="shared" si="45"/>
        <v>600</v>
      </c>
      <c r="DE89" s="57">
        <f t="shared" si="46"/>
        <v>0</v>
      </c>
      <c r="DF89" s="57" t="e">
        <f t="shared" si="47"/>
        <v>#DIV/0!</v>
      </c>
    </row>
    <row r="90" spans="1:110" ht="14.25" customHeight="1">
      <c r="A90" s="43"/>
      <c r="B90" s="44"/>
      <c r="C90" s="45">
        <v>0</v>
      </c>
      <c r="D90" s="30">
        <v>0</v>
      </c>
      <c r="E90" s="30">
        <v>0</v>
      </c>
      <c r="F90" s="45">
        <f t="shared" si="0"/>
        <v>0</v>
      </c>
      <c r="G90" s="45">
        <v>900</v>
      </c>
      <c r="H90" s="30">
        <v>0</v>
      </c>
      <c r="I90" s="45">
        <f t="shared" si="1"/>
        <v>900</v>
      </c>
      <c r="J90" s="45">
        <f t="shared" si="2"/>
        <v>0</v>
      </c>
      <c r="K90" s="46" t="e">
        <f t="shared" si="3"/>
        <v>#DIV/0!</v>
      </c>
      <c r="L90" s="47">
        <v>0</v>
      </c>
      <c r="M90" s="32">
        <v>0</v>
      </c>
      <c r="N90" s="32">
        <v>0</v>
      </c>
      <c r="O90" s="47">
        <f t="shared" si="4"/>
        <v>0</v>
      </c>
      <c r="P90" s="47">
        <v>1800</v>
      </c>
      <c r="Q90" s="47">
        <v>0</v>
      </c>
      <c r="R90" s="47">
        <f t="shared" si="5"/>
        <v>1800</v>
      </c>
      <c r="S90" s="47">
        <f t="shared" si="6"/>
        <v>0</v>
      </c>
      <c r="T90" s="47" t="e">
        <f t="shared" si="7"/>
        <v>#DIV/0!</v>
      </c>
      <c r="U90" s="48">
        <v>0</v>
      </c>
      <c r="V90" s="48">
        <v>0</v>
      </c>
      <c r="W90" s="48">
        <v>0</v>
      </c>
      <c r="X90" s="48">
        <f t="shared" si="8"/>
        <v>0</v>
      </c>
      <c r="Y90" s="48">
        <v>910</v>
      </c>
      <c r="Z90" s="33">
        <v>0</v>
      </c>
      <c r="AA90" s="48">
        <f t="shared" si="9"/>
        <v>910</v>
      </c>
      <c r="AB90" s="48">
        <f t="shared" si="10"/>
        <v>0</v>
      </c>
      <c r="AC90" s="48" t="e">
        <f t="shared" si="11"/>
        <v>#DIV/0!</v>
      </c>
      <c r="AD90" s="49">
        <v>0</v>
      </c>
      <c r="AE90" s="49">
        <v>0</v>
      </c>
      <c r="AF90" s="49">
        <v>0</v>
      </c>
      <c r="AG90" s="49">
        <f t="shared" si="12"/>
        <v>0</v>
      </c>
      <c r="AH90" s="49">
        <v>1200</v>
      </c>
      <c r="AI90" s="49">
        <v>0</v>
      </c>
      <c r="AJ90" s="49">
        <f t="shared" si="13"/>
        <v>1200</v>
      </c>
      <c r="AK90" s="49">
        <f t="shared" si="14"/>
        <v>0</v>
      </c>
      <c r="AL90" s="49" t="e">
        <f t="shared" si="15"/>
        <v>#DIV/0!</v>
      </c>
      <c r="AM90" s="50">
        <v>0</v>
      </c>
      <c r="AN90" s="50">
        <v>0</v>
      </c>
      <c r="AO90" s="50">
        <v>0</v>
      </c>
      <c r="AP90" s="50">
        <f t="shared" si="16"/>
        <v>0</v>
      </c>
      <c r="AQ90" s="50">
        <v>600</v>
      </c>
      <c r="AR90" s="50">
        <v>0</v>
      </c>
      <c r="AS90" s="50">
        <f t="shared" si="17"/>
        <v>600</v>
      </c>
      <c r="AT90" s="50">
        <f t="shared" si="18"/>
        <v>0</v>
      </c>
      <c r="AU90" s="50" t="e">
        <f t="shared" si="19"/>
        <v>#DIV/0!</v>
      </c>
      <c r="AV90" s="51">
        <v>0</v>
      </c>
      <c r="AW90" s="36">
        <v>0</v>
      </c>
      <c r="AX90" s="36">
        <v>0</v>
      </c>
      <c r="AY90" s="51">
        <f t="shared" si="20"/>
        <v>0</v>
      </c>
      <c r="AZ90" s="51">
        <v>1500</v>
      </c>
      <c r="BA90" s="51">
        <v>0</v>
      </c>
      <c r="BB90" s="51">
        <f t="shared" si="21"/>
        <v>1500</v>
      </c>
      <c r="BC90" s="51">
        <f t="shared" si="22"/>
        <v>0</v>
      </c>
      <c r="BD90" s="51" t="e">
        <f t="shared" si="23"/>
        <v>#DIV/0!</v>
      </c>
      <c r="BE90" s="52">
        <v>0</v>
      </c>
      <c r="BF90" s="37">
        <v>0</v>
      </c>
      <c r="BG90" s="37">
        <v>0</v>
      </c>
      <c r="BH90" s="37">
        <f t="shared" si="24"/>
        <v>0</v>
      </c>
      <c r="BI90" s="52">
        <v>750</v>
      </c>
      <c r="BJ90" s="37">
        <v>0</v>
      </c>
      <c r="BK90" s="52">
        <f t="shared" si="25"/>
        <v>750</v>
      </c>
      <c r="BL90" s="52">
        <f t="shared" si="26"/>
        <v>0</v>
      </c>
      <c r="BM90" s="52" t="e">
        <f t="shared" si="27"/>
        <v>#DIV/0!</v>
      </c>
      <c r="BN90" s="53">
        <v>0</v>
      </c>
      <c r="BO90" s="38">
        <v>0</v>
      </c>
      <c r="BP90" s="38">
        <v>0</v>
      </c>
      <c r="BQ90" s="53">
        <f t="shared" si="28"/>
        <v>0</v>
      </c>
      <c r="BR90" s="53">
        <v>2450</v>
      </c>
      <c r="BS90" s="38">
        <v>0</v>
      </c>
      <c r="BT90" s="53">
        <f t="shared" si="29"/>
        <v>2450</v>
      </c>
      <c r="BU90" s="53">
        <f t="shared" si="30"/>
        <v>0</v>
      </c>
      <c r="BV90" s="53" t="e">
        <f t="shared" si="31"/>
        <v>#DIV/0!</v>
      </c>
      <c r="BW90" s="54">
        <v>0</v>
      </c>
      <c r="BX90" s="39">
        <v>0</v>
      </c>
      <c r="BY90" s="39">
        <v>0</v>
      </c>
      <c r="BZ90" s="54">
        <f t="shared" si="32"/>
        <v>0</v>
      </c>
      <c r="CA90" s="54">
        <v>750</v>
      </c>
      <c r="CB90" s="54">
        <v>0</v>
      </c>
      <c r="CC90" s="54">
        <f t="shared" si="33"/>
        <v>750</v>
      </c>
      <c r="CD90" s="54">
        <f t="shared" si="34"/>
        <v>0</v>
      </c>
      <c r="CE90" s="54" t="e">
        <f t="shared" si="35"/>
        <v>#DIV/0!</v>
      </c>
      <c r="CF90" s="55">
        <v>0</v>
      </c>
      <c r="CG90" s="55">
        <v>0</v>
      </c>
      <c r="CH90" s="55">
        <v>0</v>
      </c>
      <c r="CI90" s="55">
        <f t="shared" si="36"/>
        <v>0</v>
      </c>
      <c r="CJ90" s="55">
        <v>730</v>
      </c>
      <c r="CK90" s="55">
        <v>0</v>
      </c>
      <c r="CL90" s="55">
        <f t="shared" si="37"/>
        <v>730</v>
      </c>
      <c r="CM90" s="55">
        <f t="shared" si="38"/>
        <v>0</v>
      </c>
      <c r="CN90" s="55" t="e">
        <f t="shared" si="39"/>
        <v>#DIV/0!</v>
      </c>
      <c r="CO90" s="56">
        <v>0</v>
      </c>
      <c r="CP90" s="56">
        <v>0</v>
      </c>
      <c r="CQ90" s="56">
        <v>0</v>
      </c>
      <c r="CR90" s="56">
        <f t="shared" si="40"/>
        <v>0</v>
      </c>
      <c r="CS90" s="56">
        <v>730</v>
      </c>
      <c r="CT90" s="56">
        <v>0</v>
      </c>
      <c r="CU90" s="56">
        <f t="shared" si="41"/>
        <v>730</v>
      </c>
      <c r="CV90" s="56">
        <f t="shared" si="42"/>
        <v>0</v>
      </c>
      <c r="CW90" s="56" t="e">
        <f t="shared" si="43"/>
        <v>#DIV/0!</v>
      </c>
      <c r="CX90" s="57">
        <v>0</v>
      </c>
      <c r="CY90" s="57">
        <v>0</v>
      </c>
      <c r="CZ90" s="57">
        <v>0</v>
      </c>
      <c r="DA90" s="57">
        <f t="shared" si="44"/>
        <v>0</v>
      </c>
      <c r="DB90" s="57">
        <v>600</v>
      </c>
      <c r="DC90" s="57">
        <v>0</v>
      </c>
      <c r="DD90" s="57">
        <f t="shared" si="45"/>
        <v>600</v>
      </c>
      <c r="DE90" s="57">
        <f t="shared" si="46"/>
        <v>0</v>
      </c>
      <c r="DF90" s="57" t="e">
        <f t="shared" si="47"/>
        <v>#DIV/0!</v>
      </c>
    </row>
    <row r="91" spans="1:110" ht="14.25" customHeight="1">
      <c r="A91" s="43"/>
      <c r="B91" s="44"/>
      <c r="C91" s="45">
        <v>0</v>
      </c>
      <c r="D91" s="30">
        <v>0</v>
      </c>
      <c r="E91" s="30">
        <v>0</v>
      </c>
      <c r="F91" s="45">
        <f t="shared" si="0"/>
        <v>0</v>
      </c>
      <c r="G91" s="45">
        <v>900</v>
      </c>
      <c r="H91" s="30">
        <v>0</v>
      </c>
      <c r="I91" s="45">
        <f t="shared" si="1"/>
        <v>900</v>
      </c>
      <c r="J91" s="45">
        <f t="shared" si="2"/>
        <v>0</v>
      </c>
      <c r="K91" s="46" t="e">
        <f t="shared" si="3"/>
        <v>#DIV/0!</v>
      </c>
      <c r="L91" s="47">
        <v>0</v>
      </c>
      <c r="M91" s="32">
        <v>0</v>
      </c>
      <c r="N91" s="32">
        <v>0</v>
      </c>
      <c r="O91" s="47">
        <f t="shared" si="4"/>
        <v>0</v>
      </c>
      <c r="P91" s="47">
        <v>1800</v>
      </c>
      <c r="Q91" s="47">
        <v>0</v>
      </c>
      <c r="R91" s="47">
        <f t="shared" si="5"/>
        <v>1800</v>
      </c>
      <c r="S91" s="47">
        <f t="shared" si="6"/>
        <v>0</v>
      </c>
      <c r="T91" s="47" t="e">
        <f t="shared" si="7"/>
        <v>#DIV/0!</v>
      </c>
      <c r="U91" s="48">
        <v>0</v>
      </c>
      <c r="V91" s="48">
        <v>0</v>
      </c>
      <c r="W91" s="48">
        <v>0</v>
      </c>
      <c r="X91" s="48">
        <f t="shared" si="8"/>
        <v>0</v>
      </c>
      <c r="Y91" s="48">
        <v>910</v>
      </c>
      <c r="Z91" s="33">
        <v>0</v>
      </c>
      <c r="AA91" s="48">
        <f t="shared" si="9"/>
        <v>910</v>
      </c>
      <c r="AB91" s="48">
        <f t="shared" si="10"/>
        <v>0</v>
      </c>
      <c r="AC91" s="48" t="e">
        <f t="shared" si="11"/>
        <v>#DIV/0!</v>
      </c>
      <c r="AD91" s="49">
        <v>0</v>
      </c>
      <c r="AE91" s="49">
        <v>0</v>
      </c>
      <c r="AF91" s="49">
        <v>0</v>
      </c>
      <c r="AG91" s="49">
        <f t="shared" si="12"/>
        <v>0</v>
      </c>
      <c r="AH91" s="49">
        <v>1200</v>
      </c>
      <c r="AI91" s="49">
        <v>0</v>
      </c>
      <c r="AJ91" s="49">
        <f t="shared" si="13"/>
        <v>1200</v>
      </c>
      <c r="AK91" s="49">
        <f t="shared" si="14"/>
        <v>0</v>
      </c>
      <c r="AL91" s="49" t="e">
        <f t="shared" si="15"/>
        <v>#DIV/0!</v>
      </c>
      <c r="AM91" s="50">
        <v>0</v>
      </c>
      <c r="AN91" s="50">
        <v>0</v>
      </c>
      <c r="AO91" s="50">
        <v>0</v>
      </c>
      <c r="AP91" s="50">
        <f t="shared" si="16"/>
        <v>0</v>
      </c>
      <c r="AQ91" s="50">
        <v>600</v>
      </c>
      <c r="AR91" s="50">
        <v>0</v>
      </c>
      <c r="AS91" s="50">
        <f t="shared" si="17"/>
        <v>600</v>
      </c>
      <c r="AT91" s="50">
        <f t="shared" si="18"/>
        <v>0</v>
      </c>
      <c r="AU91" s="50" t="e">
        <f t="shared" si="19"/>
        <v>#DIV/0!</v>
      </c>
      <c r="AV91" s="51">
        <v>0</v>
      </c>
      <c r="AW91" s="36">
        <v>0</v>
      </c>
      <c r="AX91" s="36">
        <v>0</v>
      </c>
      <c r="AY91" s="51">
        <f t="shared" si="20"/>
        <v>0</v>
      </c>
      <c r="AZ91" s="51">
        <v>1500</v>
      </c>
      <c r="BA91" s="51">
        <v>0</v>
      </c>
      <c r="BB91" s="51">
        <f t="shared" si="21"/>
        <v>1500</v>
      </c>
      <c r="BC91" s="51">
        <f t="shared" si="22"/>
        <v>0</v>
      </c>
      <c r="BD91" s="51" t="e">
        <f t="shared" si="23"/>
        <v>#DIV/0!</v>
      </c>
      <c r="BE91" s="52">
        <v>0</v>
      </c>
      <c r="BF91" s="37">
        <v>0</v>
      </c>
      <c r="BG91" s="37">
        <v>0</v>
      </c>
      <c r="BH91" s="37">
        <f t="shared" si="24"/>
        <v>0</v>
      </c>
      <c r="BI91" s="52">
        <v>750</v>
      </c>
      <c r="BJ91" s="37">
        <v>0</v>
      </c>
      <c r="BK91" s="52">
        <f t="shared" si="25"/>
        <v>750</v>
      </c>
      <c r="BL91" s="52">
        <f t="shared" si="26"/>
        <v>0</v>
      </c>
      <c r="BM91" s="52" t="e">
        <f t="shared" si="27"/>
        <v>#DIV/0!</v>
      </c>
      <c r="BN91" s="53">
        <v>0</v>
      </c>
      <c r="BO91" s="38">
        <v>0</v>
      </c>
      <c r="BP91" s="38">
        <v>0</v>
      </c>
      <c r="BQ91" s="53">
        <f t="shared" si="28"/>
        <v>0</v>
      </c>
      <c r="BR91" s="53">
        <v>2450</v>
      </c>
      <c r="BS91" s="38">
        <v>0</v>
      </c>
      <c r="BT91" s="53">
        <f t="shared" si="29"/>
        <v>2450</v>
      </c>
      <c r="BU91" s="53">
        <f t="shared" si="30"/>
        <v>0</v>
      </c>
      <c r="BV91" s="53" t="e">
        <f t="shared" si="31"/>
        <v>#DIV/0!</v>
      </c>
      <c r="BW91" s="54">
        <v>0</v>
      </c>
      <c r="BX91" s="39">
        <v>0</v>
      </c>
      <c r="BY91" s="39">
        <v>0</v>
      </c>
      <c r="BZ91" s="54">
        <f t="shared" si="32"/>
        <v>0</v>
      </c>
      <c r="CA91" s="54">
        <v>750</v>
      </c>
      <c r="CB91" s="54">
        <v>0</v>
      </c>
      <c r="CC91" s="54">
        <f t="shared" si="33"/>
        <v>750</v>
      </c>
      <c r="CD91" s="54">
        <f t="shared" si="34"/>
        <v>0</v>
      </c>
      <c r="CE91" s="54" t="e">
        <f t="shared" si="35"/>
        <v>#DIV/0!</v>
      </c>
      <c r="CF91" s="55">
        <v>0</v>
      </c>
      <c r="CG91" s="55">
        <v>0</v>
      </c>
      <c r="CH91" s="55">
        <v>0</v>
      </c>
      <c r="CI91" s="55">
        <f t="shared" si="36"/>
        <v>0</v>
      </c>
      <c r="CJ91" s="55">
        <v>730</v>
      </c>
      <c r="CK91" s="55">
        <v>0</v>
      </c>
      <c r="CL91" s="55">
        <f t="shared" si="37"/>
        <v>730</v>
      </c>
      <c r="CM91" s="55">
        <f t="shared" si="38"/>
        <v>0</v>
      </c>
      <c r="CN91" s="55" t="e">
        <f t="shared" si="39"/>
        <v>#DIV/0!</v>
      </c>
      <c r="CO91" s="56">
        <v>0</v>
      </c>
      <c r="CP91" s="56">
        <v>0</v>
      </c>
      <c r="CQ91" s="56">
        <v>0</v>
      </c>
      <c r="CR91" s="56">
        <f t="shared" si="40"/>
        <v>0</v>
      </c>
      <c r="CS91" s="56">
        <v>730</v>
      </c>
      <c r="CT91" s="56">
        <v>0</v>
      </c>
      <c r="CU91" s="56">
        <f t="shared" si="41"/>
        <v>730</v>
      </c>
      <c r="CV91" s="56">
        <f t="shared" si="42"/>
        <v>0</v>
      </c>
      <c r="CW91" s="56" t="e">
        <f t="shared" si="43"/>
        <v>#DIV/0!</v>
      </c>
      <c r="CX91" s="57">
        <v>0</v>
      </c>
      <c r="CY91" s="57">
        <v>0</v>
      </c>
      <c r="CZ91" s="57">
        <v>0</v>
      </c>
      <c r="DA91" s="57">
        <f t="shared" si="44"/>
        <v>0</v>
      </c>
      <c r="DB91" s="57">
        <v>600</v>
      </c>
      <c r="DC91" s="57">
        <v>0</v>
      </c>
      <c r="DD91" s="57">
        <f t="shared" si="45"/>
        <v>600</v>
      </c>
      <c r="DE91" s="57">
        <f t="shared" si="46"/>
        <v>0</v>
      </c>
      <c r="DF91" s="57" t="e">
        <f t="shared" si="47"/>
        <v>#DIV/0!</v>
      </c>
    </row>
    <row r="92" spans="1:110" ht="14.25" customHeight="1">
      <c r="A92" s="43"/>
      <c r="B92" s="44"/>
      <c r="C92" s="45">
        <v>0</v>
      </c>
      <c r="D92" s="30">
        <v>0</v>
      </c>
      <c r="E92" s="30">
        <v>0</v>
      </c>
      <c r="F92" s="45">
        <f t="shared" si="0"/>
        <v>0</v>
      </c>
      <c r="G92" s="45">
        <v>900</v>
      </c>
      <c r="H92" s="30">
        <v>0</v>
      </c>
      <c r="I92" s="45">
        <f t="shared" si="1"/>
        <v>900</v>
      </c>
      <c r="J92" s="45">
        <f t="shared" si="2"/>
        <v>0</v>
      </c>
      <c r="K92" s="46" t="e">
        <f t="shared" si="3"/>
        <v>#DIV/0!</v>
      </c>
      <c r="L92" s="47">
        <v>0</v>
      </c>
      <c r="M92" s="32">
        <v>0</v>
      </c>
      <c r="N92" s="32">
        <v>0</v>
      </c>
      <c r="O92" s="47">
        <f t="shared" si="4"/>
        <v>0</v>
      </c>
      <c r="P92" s="47">
        <v>1800</v>
      </c>
      <c r="Q92" s="47">
        <v>0</v>
      </c>
      <c r="R92" s="47">
        <f t="shared" si="5"/>
        <v>1800</v>
      </c>
      <c r="S92" s="47">
        <f t="shared" si="6"/>
        <v>0</v>
      </c>
      <c r="T92" s="47" t="e">
        <f t="shared" si="7"/>
        <v>#DIV/0!</v>
      </c>
      <c r="U92" s="48">
        <v>0</v>
      </c>
      <c r="V92" s="48">
        <v>0</v>
      </c>
      <c r="W92" s="48">
        <v>0</v>
      </c>
      <c r="X92" s="48">
        <f t="shared" si="8"/>
        <v>0</v>
      </c>
      <c r="Y92" s="48">
        <v>910</v>
      </c>
      <c r="Z92" s="33">
        <v>0</v>
      </c>
      <c r="AA92" s="48">
        <f t="shared" si="9"/>
        <v>910</v>
      </c>
      <c r="AB92" s="48">
        <f t="shared" si="10"/>
        <v>0</v>
      </c>
      <c r="AC92" s="48" t="e">
        <f t="shared" si="11"/>
        <v>#DIV/0!</v>
      </c>
      <c r="AD92" s="49">
        <v>0</v>
      </c>
      <c r="AE92" s="49">
        <v>0</v>
      </c>
      <c r="AF92" s="49">
        <v>0</v>
      </c>
      <c r="AG92" s="49">
        <f t="shared" si="12"/>
        <v>0</v>
      </c>
      <c r="AH92" s="49">
        <v>1200</v>
      </c>
      <c r="AI92" s="49">
        <v>0</v>
      </c>
      <c r="AJ92" s="49">
        <f t="shared" si="13"/>
        <v>1200</v>
      </c>
      <c r="AK92" s="49">
        <f t="shared" si="14"/>
        <v>0</v>
      </c>
      <c r="AL92" s="49" t="e">
        <f t="shared" si="15"/>
        <v>#DIV/0!</v>
      </c>
      <c r="AM92" s="50">
        <v>0</v>
      </c>
      <c r="AN92" s="50">
        <v>0</v>
      </c>
      <c r="AO92" s="50">
        <v>0</v>
      </c>
      <c r="AP92" s="50">
        <f t="shared" si="16"/>
        <v>0</v>
      </c>
      <c r="AQ92" s="50">
        <v>600</v>
      </c>
      <c r="AR92" s="50">
        <v>0</v>
      </c>
      <c r="AS92" s="50">
        <f t="shared" si="17"/>
        <v>600</v>
      </c>
      <c r="AT92" s="50">
        <f t="shared" si="18"/>
        <v>0</v>
      </c>
      <c r="AU92" s="50" t="e">
        <f t="shared" si="19"/>
        <v>#DIV/0!</v>
      </c>
      <c r="AV92" s="51">
        <v>0</v>
      </c>
      <c r="AW92" s="36">
        <v>0</v>
      </c>
      <c r="AX92" s="36">
        <v>0</v>
      </c>
      <c r="AY92" s="51">
        <f t="shared" si="20"/>
        <v>0</v>
      </c>
      <c r="AZ92" s="51">
        <v>1500</v>
      </c>
      <c r="BA92" s="51">
        <v>0</v>
      </c>
      <c r="BB92" s="51">
        <f t="shared" si="21"/>
        <v>1500</v>
      </c>
      <c r="BC92" s="51">
        <f t="shared" si="22"/>
        <v>0</v>
      </c>
      <c r="BD92" s="51" t="e">
        <f t="shared" si="23"/>
        <v>#DIV/0!</v>
      </c>
      <c r="BE92" s="52">
        <v>0</v>
      </c>
      <c r="BF92" s="37">
        <v>0</v>
      </c>
      <c r="BG92" s="37">
        <v>0</v>
      </c>
      <c r="BH92" s="37">
        <f t="shared" si="24"/>
        <v>0</v>
      </c>
      <c r="BI92" s="52">
        <v>750</v>
      </c>
      <c r="BJ92" s="37">
        <v>0</v>
      </c>
      <c r="BK92" s="52">
        <f t="shared" si="25"/>
        <v>750</v>
      </c>
      <c r="BL92" s="52">
        <f t="shared" si="26"/>
        <v>0</v>
      </c>
      <c r="BM92" s="52" t="e">
        <f t="shared" si="27"/>
        <v>#DIV/0!</v>
      </c>
      <c r="BN92" s="53">
        <v>0</v>
      </c>
      <c r="BO92" s="38">
        <v>0</v>
      </c>
      <c r="BP92" s="38">
        <v>0</v>
      </c>
      <c r="BQ92" s="53">
        <f t="shared" si="28"/>
        <v>0</v>
      </c>
      <c r="BR92" s="53">
        <v>2450</v>
      </c>
      <c r="BS92" s="38">
        <v>0</v>
      </c>
      <c r="BT92" s="53">
        <f t="shared" si="29"/>
        <v>2450</v>
      </c>
      <c r="BU92" s="53">
        <f t="shared" si="30"/>
        <v>0</v>
      </c>
      <c r="BV92" s="53" t="e">
        <f t="shared" si="31"/>
        <v>#DIV/0!</v>
      </c>
      <c r="BW92" s="54">
        <v>0</v>
      </c>
      <c r="BX92" s="39">
        <v>0</v>
      </c>
      <c r="BY92" s="39">
        <v>0</v>
      </c>
      <c r="BZ92" s="54">
        <f t="shared" si="32"/>
        <v>0</v>
      </c>
      <c r="CA92" s="54">
        <v>750</v>
      </c>
      <c r="CB92" s="54">
        <v>0</v>
      </c>
      <c r="CC92" s="54">
        <f t="shared" si="33"/>
        <v>750</v>
      </c>
      <c r="CD92" s="54">
        <f t="shared" si="34"/>
        <v>0</v>
      </c>
      <c r="CE92" s="54" t="e">
        <f t="shared" si="35"/>
        <v>#DIV/0!</v>
      </c>
      <c r="CF92" s="55">
        <v>0</v>
      </c>
      <c r="CG92" s="55">
        <v>0</v>
      </c>
      <c r="CH92" s="55">
        <v>0</v>
      </c>
      <c r="CI92" s="55">
        <f t="shared" si="36"/>
        <v>0</v>
      </c>
      <c r="CJ92" s="55">
        <v>730</v>
      </c>
      <c r="CK92" s="55">
        <v>0</v>
      </c>
      <c r="CL92" s="55">
        <f t="shared" si="37"/>
        <v>730</v>
      </c>
      <c r="CM92" s="55">
        <f t="shared" si="38"/>
        <v>0</v>
      </c>
      <c r="CN92" s="55" t="e">
        <f t="shared" si="39"/>
        <v>#DIV/0!</v>
      </c>
      <c r="CO92" s="56">
        <v>0</v>
      </c>
      <c r="CP92" s="56">
        <v>0</v>
      </c>
      <c r="CQ92" s="56">
        <v>0</v>
      </c>
      <c r="CR92" s="56">
        <f t="shared" si="40"/>
        <v>0</v>
      </c>
      <c r="CS92" s="56">
        <v>730</v>
      </c>
      <c r="CT92" s="56">
        <v>0</v>
      </c>
      <c r="CU92" s="56">
        <f t="shared" si="41"/>
        <v>730</v>
      </c>
      <c r="CV92" s="56">
        <f t="shared" si="42"/>
        <v>0</v>
      </c>
      <c r="CW92" s="56" t="e">
        <f t="shared" si="43"/>
        <v>#DIV/0!</v>
      </c>
      <c r="CX92" s="57">
        <v>0</v>
      </c>
      <c r="CY92" s="57">
        <v>0</v>
      </c>
      <c r="CZ92" s="57">
        <v>0</v>
      </c>
      <c r="DA92" s="57">
        <f t="shared" si="44"/>
        <v>0</v>
      </c>
      <c r="DB92" s="57">
        <v>600</v>
      </c>
      <c r="DC92" s="57">
        <v>0</v>
      </c>
      <c r="DD92" s="57">
        <f t="shared" si="45"/>
        <v>600</v>
      </c>
      <c r="DE92" s="57">
        <f t="shared" si="46"/>
        <v>0</v>
      </c>
      <c r="DF92" s="57" t="e">
        <f t="shared" si="47"/>
        <v>#DIV/0!</v>
      </c>
    </row>
    <row r="93" spans="1:110" ht="14.25" customHeight="1">
      <c r="A93" s="43"/>
      <c r="B93" s="44"/>
      <c r="C93" s="45">
        <v>0</v>
      </c>
      <c r="D93" s="30">
        <v>0</v>
      </c>
      <c r="E93" s="30">
        <v>0</v>
      </c>
      <c r="F93" s="45">
        <f t="shared" si="0"/>
        <v>0</v>
      </c>
      <c r="G93" s="45">
        <v>900</v>
      </c>
      <c r="H93" s="30">
        <v>0</v>
      </c>
      <c r="I93" s="45">
        <f t="shared" si="1"/>
        <v>900</v>
      </c>
      <c r="J93" s="45">
        <f t="shared" si="2"/>
        <v>0</v>
      </c>
      <c r="K93" s="46" t="e">
        <f t="shared" si="3"/>
        <v>#DIV/0!</v>
      </c>
      <c r="L93" s="47">
        <v>0</v>
      </c>
      <c r="M93" s="32">
        <v>0</v>
      </c>
      <c r="N93" s="32">
        <v>0</v>
      </c>
      <c r="O93" s="47">
        <f t="shared" si="4"/>
        <v>0</v>
      </c>
      <c r="P93" s="47">
        <v>1800</v>
      </c>
      <c r="Q93" s="47">
        <v>0</v>
      </c>
      <c r="R93" s="47">
        <f t="shared" si="5"/>
        <v>1800</v>
      </c>
      <c r="S93" s="47">
        <f t="shared" si="6"/>
        <v>0</v>
      </c>
      <c r="T93" s="47" t="e">
        <f t="shared" si="7"/>
        <v>#DIV/0!</v>
      </c>
      <c r="U93" s="48">
        <v>0</v>
      </c>
      <c r="V93" s="48">
        <v>0</v>
      </c>
      <c r="W93" s="48">
        <v>0</v>
      </c>
      <c r="X93" s="48">
        <f t="shared" si="8"/>
        <v>0</v>
      </c>
      <c r="Y93" s="48">
        <v>910</v>
      </c>
      <c r="Z93" s="33">
        <v>0</v>
      </c>
      <c r="AA93" s="48">
        <f t="shared" si="9"/>
        <v>910</v>
      </c>
      <c r="AB93" s="48">
        <f t="shared" si="10"/>
        <v>0</v>
      </c>
      <c r="AC93" s="48" t="e">
        <f t="shared" si="11"/>
        <v>#DIV/0!</v>
      </c>
      <c r="AD93" s="49">
        <v>0</v>
      </c>
      <c r="AE93" s="49">
        <v>0</v>
      </c>
      <c r="AF93" s="49">
        <v>0</v>
      </c>
      <c r="AG93" s="49">
        <f t="shared" si="12"/>
        <v>0</v>
      </c>
      <c r="AH93" s="49">
        <v>1200</v>
      </c>
      <c r="AI93" s="49">
        <v>0</v>
      </c>
      <c r="AJ93" s="49">
        <f t="shared" si="13"/>
        <v>1200</v>
      </c>
      <c r="AK93" s="49">
        <f t="shared" si="14"/>
        <v>0</v>
      </c>
      <c r="AL93" s="49" t="e">
        <f t="shared" si="15"/>
        <v>#DIV/0!</v>
      </c>
      <c r="AM93" s="50">
        <v>0</v>
      </c>
      <c r="AN93" s="50">
        <v>0</v>
      </c>
      <c r="AO93" s="50">
        <v>0</v>
      </c>
      <c r="AP93" s="50">
        <f t="shared" si="16"/>
        <v>0</v>
      </c>
      <c r="AQ93" s="50">
        <v>600</v>
      </c>
      <c r="AR93" s="50">
        <v>0</v>
      </c>
      <c r="AS93" s="50">
        <f t="shared" si="17"/>
        <v>600</v>
      </c>
      <c r="AT93" s="50">
        <f t="shared" si="18"/>
        <v>0</v>
      </c>
      <c r="AU93" s="50" t="e">
        <f t="shared" si="19"/>
        <v>#DIV/0!</v>
      </c>
      <c r="AV93" s="51">
        <v>0</v>
      </c>
      <c r="AW93" s="36">
        <v>0</v>
      </c>
      <c r="AX93" s="36">
        <v>0</v>
      </c>
      <c r="AY93" s="51">
        <f t="shared" si="20"/>
        <v>0</v>
      </c>
      <c r="AZ93" s="51">
        <v>1500</v>
      </c>
      <c r="BA93" s="51">
        <v>0</v>
      </c>
      <c r="BB93" s="51">
        <f t="shared" si="21"/>
        <v>1500</v>
      </c>
      <c r="BC93" s="51">
        <f t="shared" si="22"/>
        <v>0</v>
      </c>
      <c r="BD93" s="51" t="e">
        <f t="shared" si="23"/>
        <v>#DIV/0!</v>
      </c>
      <c r="BE93" s="52">
        <v>0</v>
      </c>
      <c r="BF93" s="37">
        <v>0</v>
      </c>
      <c r="BG93" s="37">
        <v>0</v>
      </c>
      <c r="BH93" s="37">
        <f t="shared" si="24"/>
        <v>0</v>
      </c>
      <c r="BI93" s="52">
        <v>750</v>
      </c>
      <c r="BJ93" s="37">
        <v>0</v>
      </c>
      <c r="BK93" s="52">
        <f t="shared" si="25"/>
        <v>750</v>
      </c>
      <c r="BL93" s="52">
        <f t="shared" si="26"/>
        <v>0</v>
      </c>
      <c r="BM93" s="52" t="e">
        <f t="shared" si="27"/>
        <v>#DIV/0!</v>
      </c>
      <c r="BN93" s="53">
        <v>0</v>
      </c>
      <c r="BO93" s="38">
        <v>0</v>
      </c>
      <c r="BP93" s="38">
        <v>0</v>
      </c>
      <c r="BQ93" s="53">
        <f t="shared" si="28"/>
        <v>0</v>
      </c>
      <c r="BR93" s="53">
        <v>2450</v>
      </c>
      <c r="BS93" s="38">
        <v>0</v>
      </c>
      <c r="BT93" s="53">
        <f t="shared" si="29"/>
        <v>2450</v>
      </c>
      <c r="BU93" s="53">
        <f t="shared" si="30"/>
        <v>0</v>
      </c>
      <c r="BV93" s="53" t="e">
        <f t="shared" si="31"/>
        <v>#DIV/0!</v>
      </c>
      <c r="BW93" s="54">
        <v>0</v>
      </c>
      <c r="BX93" s="39">
        <v>0</v>
      </c>
      <c r="BY93" s="39">
        <v>0</v>
      </c>
      <c r="BZ93" s="54">
        <f t="shared" si="32"/>
        <v>0</v>
      </c>
      <c r="CA93" s="54">
        <v>750</v>
      </c>
      <c r="CB93" s="54">
        <v>0</v>
      </c>
      <c r="CC93" s="54">
        <f t="shared" si="33"/>
        <v>750</v>
      </c>
      <c r="CD93" s="54">
        <f t="shared" si="34"/>
        <v>0</v>
      </c>
      <c r="CE93" s="54" t="e">
        <f t="shared" si="35"/>
        <v>#DIV/0!</v>
      </c>
      <c r="CF93" s="55">
        <v>0</v>
      </c>
      <c r="CG93" s="55">
        <v>0</v>
      </c>
      <c r="CH93" s="55">
        <v>0</v>
      </c>
      <c r="CI93" s="55">
        <f t="shared" si="36"/>
        <v>0</v>
      </c>
      <c r="CJ93" s="55">
        <v>730</v>
      </c>
      <c r="CK93" s="55">
        <v>0</v>
      </c>
      <c r="CL93" s="55">
        <f t="shared" si="37"/>
        <v>730</v>
      </c>
      <c r="CM93" s="55">
        <f t="shared" si="38"/>
        <v>0</v>
      </c>
      <c r="CN93" s="55" t="e">
        <f t="shared" si="39"/>
        <v>#DIV/0!</v>
      </c>
      <c r="CO93" s="56">
        <v>0</v>
      </c>
      <c r="CP93" s="56">
        <v>0</v>
      </c>
      <c r="CQ93" s="56">
        <v>0</v>
      </c>
      <c r="CR93" s="56">
        <f t="shared" si="40"/>
        <v>0</v>
      </c>
      <c r="CS93" s="56">
        <v>730</v>
      </c>
      <c r="CT93" s="56">
        <v>0</v>
      </c>
      <c r="CU93" s="56">
        <f t="shared" si="41"/>
        <v>730</v>
      </c>
      <c r="CV93" s="56">
        <f t="shared" si="42"/>
        <v>0</v>
      </c>
      <c r="CW93" s="56" t="e">
        <f t="shared" si="43"/>
        <v>#DIV/0!</v>
      </c>
      <c r="CX93" s="57">
        <v>0</v>
      </c>
      <c r="CY93" s="57">
        <v>0</v>
      </c>
      <c r="CZ93" s="57">
        <v>0</v>
      </c>
      <c r="DA93" s="57">
        <f t="shared" si="44"/>
        <v>0</v>
      </c>
      <c r="DB93" s="57">
        <v>600</v>
      </c>
      <c r="DC93" s="57">
        <v>0</v>
      </c>
      <c r="DD93" s="57">
        <f t="shared" si="45"/>
        <v>600</v>
      </c>
      <c r="DE93" s="57">
        <f t="shared" si="46"/>
        <v>0</v>
      </c>
      <c r="DF93" s="57" t="e">
        <f t="shared" si="47"/>
        <v>#DIV/0!</v>
      </c>
    </row>
    <row r="94" spans="1:110" ht="14.25" customHeight="1">
      <c r="A94" s="43"/>
      <c r="B94" s="44"/>
      <c r="C94" s="45">
        <v>0</v>
      </c>
      <c r="D94" s="30">
        <v>0</v>
      </c>
      <c r="E94" s="30">
        <v>0</v>
      </c>
      <c r="F94" s="45">
        <f t="shared" si="0"/>
        <v>0</v>
      </c>
      <c r="G94" s="45">
        <v>900</v>
      </c>
      <c r="H94" s="30">
        <v>0</v>
      </c>
      <c r="I94" s="45">
        <f t="shared" si="1"/>
        <v>900</v>
      </c>
      <c r="J94" s="45">
        <f t="shared" si="2"/>
        <v>0</v>
      </c>
      <c r="K94" s="46" t="e">
        <f t="shared" si="3"/>
        <v>#DIV/0!</v>
      </c>
      <c r="L94" s="47">
        <v>0</v>
      </c>
      <c r="M94" s="32">
        <v>0</v>
      </c>
      <c r="N94" s="32">
        <v>0</v>
      </c>
      <c r="O94" s="47">
        <f t="shared" si="4"/>
        <v>0</v>
      </c>
      <c r="P94" s="47">
        <v>1800</v>
      </c>
      <c r="Q94" s="47">
        <v>0</v>
      </c>
      <c r="R94" s="47">
        <f t="shared" si="5"/>
        <v>1800</v>
      </c>
      <c r="S94" s="47">
        <f t="shared" si="6"/>
        <v>0</v>
      </c>
      <c r="T94" s="47" t="e">
        <f t="shared" si="7"/>
        <v>#DIV/0!</v>
      </c>
      <c r="U94" s="48">
        <v>0</v>
      </c>
      <c r="V94" s="48">
        <v>0</v>
      </c>
      <c r="W94" s="48">
        <v>0</v>
      </c>
      <c r="X94" s="48">
        <f t="shared" si="8"/>
        <v>0</v>
      </c>
      <c r="Y94" s="48">
        <v>910</v>
      </c>
      <c r="Z94" s="33">
        <v>0</v>
      </c>
      <c r="AA94" s="48">
        <f t="shared" si="9"/>
        <v>910</v>
      </c>
      <c r="AB94" s="48">
        <f t="shared" si="10"/>
        <v>0</v>
      </c>
      <c r="AC94" s="48" t="e">
        <f t="shared" si="11"/>
        <v>#DIV/0!</v>
      </c>
      <c r="AD94" s="49">
        <v>0</v>
      </c>
      <c r="AE94" s="49">
        <v>0</v>
      </c>
      <c r="AF94" s="49">
        <v>0</v>
      </c>
      <c r="AG94" s="49">
        <f t="shared" si="12"/>
        <v>0</v>
      </c>
      <c r="AH94" s="49">
        <v>1200</v>
      </c>
      <c r="AI94" s="49">
        <v>0</v>
      </c>
      <c r="AJ94" s="49">
        <f t="shared" si="13"/>
        <v>1200</v>
      </c>
      <c r="AK94" s="49">
        <f t="shared" si="14"/>
        <v>0</v>
      </c>
      <c r="AL94" s="49" t="e">
        <f t="shared" si="15"/>
        <v>#DIV/0!</v>
      </c>
      <c r="AM94" s="50">
        <v>0</v>
      </c>
      <c r="AN94" s="50">
        <v>0</v>
      </c>
      <c r="AO94" s="50">
        <v>0</v>
      </c>
      <c r="AP94" s="50">
        <f t="shared" si="16"/>
        <v>0</v>
      </c>
      <c r="AQ94" s="50">
        <v>600</v>
      </c>
      <c r="AR94" s="50">
        <v>0</v>
      </c>
      <c r="AS94" s="50">
        <f t="shared" si="17"/>
        <v>600</v>
      </c>
      <c r="AT94" s="50">
        <f t="shared" si="18"/>
        <v>0</v>
      </c>
      <c r="AU94" s="50" t="e">
        <f t="shared" si="19"/>
        <v>#DIV/0!</v>
      </c>
      <c r="AV94" s="51">
        <v>0</v>
      </c>
      <c r="AW94" s="36">
        <v>0</v>
      </c>
      <c r="AX94" s="36">
        <v>0</v>
      </c>
      <c r="AY94" s="51">
        <f t="shared" si="20"/>
        <v>0</v>
      </c>
      <c r="AZ94" s="51">
        <v>1500</v>
      </c>
      <c r="BA94" s="51">
        <v>0</v>
      </c>
      <c r="BB94" s="51">
        <f t="shared" si="21"/>
        <v>1500</v>
      </c>
      <c r="BC94" s="51">
        <f t="shared" si="22"/>
        <v>0</v>
      </c>
      <c r="BD94" s="51" t="e">
        <f t="shared" si="23"/>
        <v>#DIV/0!</v>
      </c>
      <c r="BE94" s="52">
        <v>0</v>
      </c>
      <c r="BF94" s="37">
        <v>0</v>
      </c>
      <c r="BG94" s="37">
        <v>0</v>
      </c>
      <c r="BH94" s="37">
        <f t="shared" si="24"/>
        <v>0</v>
      </c>
      <c r="BI94" s="52">
        <v>750</v>
      </c>
      <c r="BJ94" s="37">
        <v>0</v>
      </c>
      <c r="BK94" s="52">
        <f t="shared" si="25"/>
        <v>750</v>
      </c>
      <c r="BL94" s="52">
        <f t="shared" si="26"/>
        <v>0</v>
      </c>
      <c r="BM94" s="52" t="e">
        <f t="shared" si="27"/>
        <v>#DIV/0!</v>
      </c>
      <c r="BN94" s="53">
        <v>0</v>
      </c>
      <c r="BO94" s="38">
        <v>0</v>
      </c>
      <c r="BP94" s="38">
        <v>0</v>
      </c>
      <c r="BQ94" s="53">
        <f t="shared" si="28"/>
        <v>0</v>
      </c>
      <c r="BR94" s="53">
        <v>2450</v>
      </c>
      <c r="BS94" s="38">
        <v>0</v>
      </c>
      <c r="BT94" s="53">
        <f t="shared" si="29"/>
        <v>2450</v>
      </c>
      <c r="BU94" s="53">
        <f t="shared" si="30"/>
        <v>0</v>
      </c>
      <c r="BV94" s="53" t="e">
        <f t="shared" si="31"/>
        <v>#DIV/0!</v>
      </c>
      <c r="BW94" s="54">
        <v>0</v>
      </c>
      <c r="BX94" s="39">
        <v>0</v>
      </c>
      <c r="BY94" s="39">
        <v>0</v>
      </c>
      <c r="BZ94" s="54">
        <f t="shared" si="32"/>
        <v>0</v>
      </c>
      <c r="CA94" s="54">
        <v>750</v>
      </c>
      <c r="CB94" s="54">
        <v>0</v>
      </c>
      <c r="CC94" s="54">
        <f t="shared" si="33"/>
        <v>750</v>
      </c>
      <c r="CD94" s="54">
        <f t="shared" si="34"/>
        <v>0</v>
      </c>
      <c r="CE94" s="54" t="e">
        <f t="shared" si="35"/>
        <v>#DIV/0!</v>
      </c>
      <c r="CF94" s="55">
        <v>0</v>
      </c>
      <c r="CG94" s="55">
        <v>0</v>
      </c>
      <c r="CH94" s="55">
        <v>0</v>
      </c>
      <c r="CI94" s="55">
        <f t="shared" si="36"/>
        <v>0</v>
      </c>
      <c r="CJ94" s="55">
        <v>730</v>
      </c>
      <c r="CK94" s="55">
        <v>0</v>
      </c>
      <c r="CL94" s="55">
        <f t="shared" si="37"/>
        <v>730</v>
      </c>
      <c r="CM94" s="55">
        <f t="shared" si="38"/>
        <v>0</v>
      </c>
      <c r="CN94" s="55" t="e">
        <f t="shared" si="39"/>
        <v>#DIV/0!</v>
      </c>
      <c r="CO94" s="56">
        <v>0</v>
      </c>
      <c r="CP94" s="56">
        <v>0</v>
      </c>
      <c r="CQ94" s="56">
        <v>0</v>
      </c>
      <c r="CR94" s="56">
        <f t="shared" si="40"/>
        <v>0</v>
      </c>
      <c r="CS94" s="56">
        <v>730</v>
      </c>
      <c r="CT94" s="56">
        <v>0</v>
      </c>
      <c r="CU94" s="56">
        <f t="shared" si="41"/>
        <v>730</v>
      </c>
      <c r="CV94" s="56">
        <f t="shared" si="42"/>
        <v>0</v>
      </c>
      <c r="CW94" s="56" t="e">
        <f t="shared" si="43"/>
        <v>#DIV/0!</v>
      </c>
      <c r="CX94" s="57">
        <v>0</v>
      </c>
      <c r="CY94" s="57">
        <v>0</v>
      </c>
      <c r="CZ94" s="57">
        <v>0</v>
      </c>
      <c r="DA94" s="57">
        <f t="shared" si="44"/>
        <v>0</v>
      </c>
      <c r="DB94" s="57">
        <v>600</v>
      </c>
      <c r="DC94" s="57">
        <v>0</v>
      </c>
      <c r="DD94" s="57">
        <f t="shared" si="45"/>
        <v>600</v>
      </c>
      <c r="DE94" s="57">
        <f t="shared" si="46"/>
        <v>0</v>
      </c>
      <c r="DF94" s="57" t="e">
        <f t="shared" si="47"/>
        <v>#DIV/0!</v>
      </c>
    </row>
    <row r="95" spans="1:110" ht="14.25" customHeight="1">
      <c r="A95" s="43"/>
      <c r="B95" s="44"/>
      <c r="C95" s="45">
        <v>0</v>
      </c>
      <c r="D95" s="30">
        <v>0</v>
      </c>
      <c r="E95" s="30">
        <v>0</v>
      </c>
      <c r="F95" s="45">
        <f t="shared" si="0"/>
        <v>0</v>
      </c>
      <c r="G95" s="45">
        <v>900</v>
      </c>
      <c r="H95" s="30">
        <v>0</v>
      </c>
      <c r="I95" s="45">
        <f t="shared" si="1"/>
        <v>900</v>
      </c>
      <c r="J95" s="45">
        <f t="shared" si="2"/>
        <v>0</v>
      </c>
      <c r="K95" s="46" t="e">
        <f t="shared" si="3"/>
        <v>#DIV/0!</v>
      </c>
      <c r="L95" s="47">
        <v>0</v>
      </c>
      <c r="M95" s="32">
        <v>0</v>
      </c>
      <c r="N95" s="32">
        <v>0</v>
      </c>
      <c r="O95" s="47">
        <f t="shared" si="4"/>
        <v>0</v>
      </c>
      <c r="P95" s="47">
        <v>1800</v>
      </c>
      <c r="Q95" s="47">
        <v>0</v>
      </c>
      <c r="R95" s="47">
        <f t="shared" si="5"/>
        <v>1800</v>
      </c>
      <c r="S95" s="47">
        <f t="shared" si="6"/>
        <v>0</v>
      </c>
      <c r="T95" s="47" t="e">
        <f t="shared" si="7"/>
        <v>#DIV/0!</v>
      </c>
      <c r="U95" s="48">
        <v>0</v>
      </c>
      <c r="V95" s="48">
        <v>0</v>
      </c>
      <c r="W95" s="48">
        <v>0</v>
      </c>
      <c r="X95" s="48">
        <f t="shared" si="8"/>
        <v>0</v>
      </c>
      <c r="Y95" s="48">
        <v>910</v>
      </c>
      <c r="Z95" s="33">
        <v>0</v>
      </c>
      <c r="AA95" s="48">
        <f t="shared" si="9"/>
        <v>910</v>
      </c>
      <c r="AB95" s="48">
        <f t="shared" si="10"/>
        <v>0</v>
      </c>
      <c r="AC95" s="48" t="e">
        <f t="shared" si="11"/>
        <v>#DIV/0!</v>
      </c>
      <c r="AD95" s="49">
        <v>0</v>
      </c>
      <c r="AE95" s="49">
        <v>0</v>
      </c>
      <c r="AF95" s="49">
        <v>0</v>
      </c>
      <c r="AG95" s="49">
        <f t="shared" si="12"/>
        <v>0</v>
      </c>
      <c r="AH95" s="49">
        <v>1200</v>
      </c>
      <c r="AI95" s="49">
        <v>0</v>
      </c>
      <c r="AJ95" s="49">
        <f t="shared" si="13"/>
        <v>1200</v>
      </c>
      <c r="AK95" s="49">
        <f t="shared" si="14"/>
        <v>0</v>
      </c>
      <c r="AL95" s="49" t="e">
        <f t="shared" si="15"/>
        <v>#DIV/0!</v>
      </c>
      <c r="AM95" s="50">
        <v>0</v>
      </c>
      <c r="AN95" s="50">
        <v>0</v>
      </c>
      <c r="AO95" s="50">
        <v>0</v>
      </c>
      <c r="AP95" s="50">
        <f t="shared" si="16"/>
        <v>0</v>
      </c>
      <c r="AQ95" s="50">
        <v>600</v>
      </c>
      <c r="AR95" s="50">
        <v>0</v>
      </c>
      <c r="AS95" s="50">
        <f t="shared" si="17"/>
        <v>600</v>
      </c>
      <c r="AT95" s="50">
        <f t="shared" si="18"/>
        <v>0</v>
      </c>
      <c r="AU95" s="50" t="e">
        <f t="shared" si="19"/>
        <v>#DIV/0!</v>
      </c>
      <c r="AV95" s="51">
        <v>0</v>
      </c>
      <c r="AW95" s="36">
        <v>0</v>
      </c>
      <c r="AX95" s="36">
        <v>0</v>
      </c>
      <c r="AY95" s="51">
        <f t="shared" si="20"/>
        <v>0</v>
      </c>
      <c r="AZ95" s="51">
        <v>1500</v>
      </c>
      <c r="BA95" s="51">
        <v>0</v>
      </c>
      <c r="BB95" s="51">
        <f t="shared" si="21"/>
        <v>1500</v>
      </c>
      <c r="BC95" s="51">
        <f t="shared" si="22"/>
        <v>0</v>
      </c>
      <c r="BD95" s="51" t="e">
        <f t="shared" si="23"/>
        <v>#DIV/0!</v>
      </c>
      <c r="BE95" s="52">
        <v>0</v>
      </c>
      <c r="BF95" s="37">
        <v>0</v>
      </c>
      <c r="BG95" s="37">
        <v>0</v>
      </c>
      <c r="BH95" s="37">
        <f t="shared" si="24"/>
        <v>0</v>
      </c>
      <c r="BI95" s="52">
        <v>750</v>
      </c>
      <c r="BJ95" s="37">
        <v>0</v>
      </c>
      <c r="BK95" s="52">
        <f t="shared" si="25"/>
        <v>750</v>
      </c>
      <c r="BL95" s="52">
        <f t="shared" si="26"/>
        <v>0</v>
      </c>
      <c r="BM95" s="52" t="e">
        <f t="shared" si="27"/>
        <v>#DIV/0!</v>
      </c>
      <c r="BN95" s="53">
        <v>0</v>
      </c>
      <c r="BO95" s="38">
        <v>0</v>
      </c>
      <c r="BP95" s="38">
        <v>0</v>
      </c>
      <c r="BQ95" s="53">
        <f t="shared" si="28"/>
        <v>0</v>
      </c>
      <c r="BR95" s="53">
        <v>2450</v>
      </c>
      <c r="BS95" s="38">
        <v>0</v>
      </c>
      <c r="BT95" s="53">
        <f t="shared" si="29"/>
        <v>2450</v>
      </c>
      <c r="BU95" s="53">
        <f t="shared" si="30"/>
        <v>0</v>
      </c>
      <c r="BV95" s="53" t="e">
        <f t="shared" si="31"/>
        <v>#DIV/0!</v>
      </c>
      <c r="BW95" s="54">
        <v>0</v>
      </c>
      <c r="BX95" s="39">
        <v>0</v>
      </c>
      <c r="BY95" s="39">
        <v>0</v>
      </c>
      <c r="BZ95" s="54">
        <f t="shared" si="32"/>
        <v>0</v>
      </c>
      <c r="CA95" s="54">
        <v>750</v>
      </c>
      <c r="CB95" s="54">
        <v>0</v>
      </c>
      <c r="CC95" s="54">
        <f t="shared" si="33"/>
        <v>750</v>
      </c>
      <c r="CD95" s="54">
        <f t="shared" si="34"/>
        <v>0</v>
      </c>
      <c r="CE95" s="54" t="e">
        <f t="shared" si="35"/>
        <v>#DIV/0!</v>
      </c>
      <c r="CF95" s="55">
        <v>0</v>
      </c>
      <c r="CG95" s="55">
        <v>0</v>
      </c>
      <c r="CH95" s="55">
        <v>0</v>
      </c>
      <c r="CI95" s="55">
        <f t="shared" si="36"/>
        <v>0</v>
      </c>
      <c r="CJ95" s="55">
        <v>730</v>
      </c>
      <c r="CK95" s="55">
        <v>0</v>
      </c>
      <c r="CL95" s="55">
        <f t="shared" si="37"/>
        <v>730</v>
      </c>
      <c r="CM95" s="55">
        <f t="shared" si="38"/>
        <v>0</v>
      </c>
      <c r="CN95" s="55" t="e">
        <f t="shared" si="39"/>
        <v>#DIV/0!</v>
      </c>
      <c r="CO95" s="56">
        <v>0</v>
      </c>
      <c r="CP95" s="56">
        <v>0</v>
      </c>
      <c r="CQ95" s="56">
        <v>0</v>
      </c>
      <c r="CR95" s="56">
        <f t="shared" si="40"/>
        <v>0</v>
      </c>
      <c r="CS95" s="56">
        <v>730</v>
      </c>
      <c r="CT95" s="56">
        <v>0</v>
      </c>
      <c r="CU95" s="56">
        <f t="shared" si="41"/>
        <v>730</v>
      </c>
      <c r="CV95" s="56">
        <f t="shared" si="42"/>
        <v>0</v>
      </c>
      <c r="CW95" s="56" t="e">
        <f t="shared" si="43"/>
        <v>#DIV/0!</v>
      </c>
      <c r="CX95" s="57">
        <v>0</v>
      </c>
      <c r="CY95" s="57">
        <v>0</v>
      </c>
      <c r="CZ95" s="57">
        <v>0</v>
      </c>
      <c r="DA95" s="57">
        <f t="shared" si="44"/>
        <v>0</v>
      </c>
      <c r="DB95" s="57">
        <v>600</v>
      </c>
      <c r="DC95" s="57">
        <v>0</v>
      </c>
      <c r="DD95" s="57">
        <f t="shared" si="45"/>
        <v>600</v>
      </c>
      <c r="DE95" s="57">
        <f t="shared" si="46"/>
        <v>0</v>
      </c>
      <c r="DF95" s="57" t="e">
        <f t="shared" si="47"/>
        <v>#DIV/0!</v>
      </c>
    </row>
    <row r="96" spans="1:110" ht="14.25" customHeight="1">
      <c r="A96" s="43"/>
      <c r="B96" s="44"/>
      <c r="C96" s="45">
        <v>0</v>
      </c>
      <c r="D96" s="30">
        <v>0</v>
      </c>
      <c r="E96" s="30">
        <v>0</v>
      </c>
      <c r="F96" s="45">
        <f t="shared" si="0"/>
        <v>0</v>
      </c>
      <c r="G96" s="45">
        <v>900</v>
      </c>
      <c r="H96" s="30">
        <v>0</v>
      </c>
      <c r="I96" s="45">
        <f t="shared" si="1"/>
        <v>900</v>
      </c>
      <c r="J96" s="45">
        <f t="shared" si="2"/>
        <v>0</v>
      </c>
      <c r="K96" s="46" t="e">
        <f t="shared" si="3"/>
        <v>#DIV/0!</v>
      </c>
      <c r="L96" s="47">
        <v>0</v>
      </c>
      <c r="M96" s="32">
        <v>0</v>
      </c>
      <c r="N96" s="32">
        <v>0</v>
      </c>
      <c r="O96" s="47">
        <f t="shared" si="4"/>
        <v>0</v>
      </c>
      <c r="P96" s="47">
        <v>1800</v>
      </c>
      <c r="Q96" s="47">
        <v>0</v>
      </c>
      <c r="R96" s="47">
        <f t="shared" si="5"/>
        <v>1800</v>
      </c>
      <c r="S96" s="47">
        <f t="shared" si="6"/>
        <v>0</v>
      </c>
      <c r="T96" s="47" t="e">
        <f t="shared" si="7"/>
        <v>#DIV/0!</v>
      </c>
      <c r="U96" s="48">
        <v>0</v>
      </c>
      <c r="V96" s="48">
        <v>0</v>
      </c>
      <c r="W96" s="48">
        <v>0</v>
      </c>
      <c r="X96" s="48">
        <f t="shared" si="8"/>
        <v>0</v>
      </c>
      <c r="Y96" s="48">
        <v>910</v>
      </c>
      <c r="Z96" s="33">
        <v>0</v>
      </c>
      <c r="AA96" s="48">
        <f t="shared" si="9"/>
        <v>910</v>
      </c>
      <c r="AB96" s="48">
        <f t="shared" si="10"/>
        <v>0</v>
      </c>
      <c r="AC96" s="48" t="e">
        <f t="shared" si="11"/>
        <v>#DIV/0!</v>
      </c>
      <c r="AD96" s="49">
        <v>0</v>
      </c>
      <c r="AE96" s="49">
        <v>0</v>
      </c>
      <c r="AF96" s="49">
        <v>0</v>
      </c>
      <c r="AG96" s="49">
        <f t="shared" si="12"/>
        <v>0</v>
      </c>
      <c r="AH96" s="49">
        <v>1200</v>
      </c>
      <c r="AI96" s="49">
        <v>0</v>
      </c>
      <c r="AJ96" s="49">
        <f t="shared" si="13"/>
        <v>1200</v>
      </c>
      <c r="AK96" s="49">
        <f t="shared" si="14"/>
        <v>0</v>
      </c>
      <c r="AL96" s="49" t="e">
        <f t="shared" si="15"/>
        <v>#DIV/0!</v>
      </c>
      <c r="AM96" s="50">
        <v>0</v>
      </c>
      <c r="AN96" s="50">
        <v>0</v>
      </c>
      <c r="AO96" s="50">
        <v>0</v>
      </c>
      <c r="AP96" s="50">
        <f t="shared" si="16"/>
        <v>0</v>
      </c>
      <c r="AQ96" s="50">
        <v>600</v>
      </c>
      <c r="AR96" s="50">
        <v>0</v>
      </c>
      <c r="AS96" s="50">
        <f t="shared" si="17"/>
        <v>600</v>
      </c>
      <c r="AT96" s="50">
        <f t="shared" si="18"/>
        <v>0</v>
      </c>
      <c r="AU96" s="50" t="e">
        <f t="shared" si="19"/>
        <v>#DIV/0!</v>
      </c>
      <c r="AV96" s="51">
        <v>0</v>
      </c>
      <c r="AW96" s="36">
        <v>0</v>
      </c>
      <c r="AX96" s="36">
        <v>0</v>
      </c>
      <c r="AY96" s="51">
        <f t="shared" si="20"/>
        <v>0</v>
      </c>
      <c r="AZ96" s="51">
        <v>1500</v>
      </c>
      <c r="BA96" s="51">
        <v>0</v>
      </c>
      <c r="BB96" s="51">
        <f t="shared" si="21"/>
        <v>1500</v>
      </c>
      <c r="BC96" s="51">
        <f t="shared" si="22"/>
        <v>0</v>
      </c>
      <c r="BD96" s="51" t="e">
        <f t="shared" si="23"/>
        <v>#DIV/0!</v>
      </c>
      <c r="BE96" s="52">
        <v>0</v>
      </c>
      <c r="BF96" s="37">
        <v>0</v>
      </c>
      <c r="BG96" s="37">
        <v>0</v>
      </c>
      <c r="BH96" s="37">
        <f t="shared" si="24"/>
        <v>0</v>
      </c>
      <c r="BI96" s="52">
        <v>750</v>
      </c>
      <c r="BJ96" s="37">
        <v>0</v>
      </c>
      <c r="BK96" s="52">
        <f t="shared" si="25"/>
        <v>750</v>
      </c>
      <c r="BL96" s="52">
        <f t="shared" si="26"/>
        <v>0</v>
      </c>
      <c r="BM96" s="52" t="e">
        <f t="shared" si="27"/>
        <v>#DIV/0!</v>
      </c>
      <c r="BN96" s="53">
        <v>0</v>
      </c>
      <c r="BO96" s="38">
        <v>0</v>
      </c>
      <c r="BP96" s="38">
        <v>0</v>
      </c>
      <c r="BQ96" s="53">
        <f t="shared" si="28"/>
        <v>0</v>
      </c>
      <c r="BR96" s="53">
        <v>2450</v>
      </c>
      <c r="BS96" s="38">
        <v>0</v>
      </c>
      <c r="BT96" s="53">
        <f t="shared" si="29"/>
        <v>2450</v>
      </c>
      <c r="BU96" s="53">
        <f t="shared" si="30"/>
        <v>0</v>
      </c>
      <c r="BV96" s="53" t="e">
        <f t="shared" si="31"/>
        <v>#DIV/0!</v>
      </c>
      <c r="BW96" s="54">
        <v>0</v>
      </c>
      <c r="BX96" s="39">
        <v>0</v>
      </c>
      <c r="BY96" s="39">
        <v>0</v>
      </c>
      <c r="BZ96" s="54">
        <f t="shared" si="32"/>
        <v>0</v>
      </c>
      <c r="CA96" s="54">
        <v>750</v>
      </c>
      <c r="CB96" s="54">
        <v>0</v>
      </c>
      <c r="CC96" s="54">
        <f t="shared" si="33"/>
        <v>750</v>
      </c>
      <c r="CD96" s="54">
        <f t="shared" si="34"/>
        <v>0</v>
      </c>
      <c r="CE96" s="54" t="e">
        <f t="shared" si="35"/>
        <v>#DIV/0!</v>
      </c>
      <c r="CF96" s="55">
        <v>0</v>
      </c>
      <c r="CG96" s="55">
        <v>0</v>
      </c>
      <c r="CH96" s="55">
        <v>0</v>
      </c>
      <c r="CI96" s="55">
        <f t="shared" si="36"/>
        <v>0</v>
      </c>
      <c r="CJ96" s="55">
        <v>730</v>
      </c>
      <c r="CK96" s="55">
        <v>0</v>
      </c>
      <c r="CL96" s="55">
        <f t="shared" si="37"/>
        <v>730</v>
      </c>
      <c r="CM96" s="55">
        <f t="shared" si="38"/>
        <v>0</v>
      </c>
      <c r="CN96" s="55" t="e">
        <f t="shared" si="39"/>
        <v>#DIV/0!</v>
      </c>
      <c r="CO96" s="56">
        <v>0</v>
      </c>
      <c r="CP96" s="56">
        <v>0</v>
      </c>
      <c r="CQ96" s="56">
        <v>0</v>
      </c>
      <c r="CR96" s="56">
        <f t="shared" si="40"/>
        <v>0</v>
      </c>
      <c r="CS96" s="56">
        <v>730</v>
      </c>
      <c r="CT96" s="56">
        <v>0</v>
      </c>
      <c r="CU96" s="56">
        <f t="shared" si="41"/>
        <v>730</v>
      </c>
      <c r="CV96" s="56">
        <f t="shared" si="42"/>
        <v>0</v>
      </c>
      <c r="CW96" s="56" t="e">
        <f t="shared" si="43"/>
        <v>#DIV/0!</v>
      </c>
      <c r="CX96" s="57">
        <v>0</v>
      </c>
      <c r="CY96" s="57">
        <v>0</v>
      </c>
      <c r="CZ96" s="57">
        <v>0</v>
      </c>
      <c r="DA96" s="57">
        <f t="shared" si="44"/>
        <v>0</v>
      </c>
      <c r="DB96" s="57">
        <v>600</v>
      </c>
      <c r="DC96" s="57">
        <v>0</v>
      </c>
      <c r="DD96" s="57">
        <f t="shared" si="45"/>
        <v>600</v>
      </c>
      <c r="DE96" s="57">
        <f t="shared" si="46"/>
        <v>0</v>
      </c>
      <c r="DF96" s="57" t="e">
        <f t="shared" si="47"/>
        <v>#DIV/0!</v>
      </c>
    </row>
    <row r="97" spans="1:110" ht="14.25" customHeight="1">
      <c r="A97" s="43"/>
      <c r="B97" s="44"/>
      <c r="C97" s="45">
        <v>0</v>
      </c>
      <c r="D97" s="30">
        <v>0</v>
      </c>
      <c r="E97" s="30">
        <v>0</v>
      </c>
      <c r="F97" s="45">
        <f t="shared" si="0"/>
        <v>0</v>
      </c>
      <c r="G97" s="45">
        <v>900</v>
      </c>
      <c r="H97" s="30">
        <v>0</v>
      </c>
      <c r="I97" s="45">
        <f t="shared" si="1"/>
        <v>900</v>
      </c>
      <c r="J97" s="45">
        <f t="shared" si="2"/>
        <v>0</v>
      </c>
      <c r="K97" s="46" t="e">
        <f t="shared" si="3"/>
        <v>#DIV/0!</v>
      </c>
      <c r="L97" s="47">
        <v>0</v>
      </c>
      <c r="M97" s="32">
        <v>0</v>
      </c>
      <c r="N97" s="32">
        <v>0</v>
      </c>
      <c r="O97" s="47">
        <f t="shared" si="4"/>
        <v>0</v>
      </c>
      <c r="P97" s="47">
        <v>1800</v>
      </c>
      <c r="Q97" s="47">
        <v>0</v>
      </c>
      <c r="R97" s="47">
        <f t="shared" si="5"/>
        <v>1800</v>
      </c>
      <c r="S97" s="47">
        <f t="shared" si="6"/>
        <v>0</v>
      </c>
      <c r="T97" s="47" t="e">
        <f t="shared" si="7"/>
        <v>#DIV/0!</v>
      </c>
      <c r="U97" s="48">
        <v>0</v>
      </c>
      <c r="V97" s="48">
        <v>0</v>
      </c>
      <c r="W97" s="48">
        <v>0</v>
      </c>
      <c r="X97" s="48">
        <f t="shared" si="8"/>
        <v>0</v>
      </c>
      <c r="Y97" s="48">
        <v>910</v>
      </c>
      <c r="Z97" s="33">
        <v>0</v>
      </c>
      <c r="AA97" s="48">
        <f t="shared" si="9"/>
        <v>910</v>
      </c>
      <c r="AB97" s="48">
        <f t="shared" si="10"/>
        <v>0</v>
      </c>
      <c r="AC97" s="48" t="e">
        <f t="shared" si="11"/>
        <v>#DIV/0!</v>
      </c>
      <c r="AD97" s="49">
        <v>0</v>
      </c>
      <c r="AE97" s="49">
        <v>0</v>
      </c>
      <c r="AF97" s="49">
        <v>0</v>
      </c>
      <c r="AG97" s="49">
        <f t="shared" si="12"/>
        <v>0</v>
      </c>
      <c r="AH97" s="49">
        <v>1200</v>
      </c>
      <c r="AI97" s="49">
        <v>0</v>
      </c>
      <c r="AJ97" s="49">
        <f t="shared" si="13"/>
        <v>1200</v>
      </c>
      <c r="AK97" s="49">
        <f t="shared" si="14"/>
        <v>0</v>
      </c>
      <c r="AL97" s="49" t="e">
        <f t="shared" si="15"/>
        <v>#DIV/0!</v>
      </c>
      <c r="AM97" s="50">
        <v>0</v>
      </c>
      <c r="AN97" s="50">
        <v>0</v>
      </c>
      <c r="AO97" s="50">
        <v>0</v>
      </c>
      <c r="AP97" s="50">
        <f t="shared" si="16"/>
        <v>0</v>
      </c>
      <c r="AQ97" s="50">
        <v>600</v>
      </c>
      <c r="AR97" s="50">
        <v>0</v>
      </c>
      <c r="AS97" s="50">
        <f t="shared" si="17"/>
        <v>600</v>
      </c>
      <c r="AT97" s="50">
        <f t="shared" si="18"/>
        <v>0</v>
      </c>
      <c r="AU97" s="50" t="e">
        <f t="shared" si="19"/>
        <v>#DIV/0!</v>
      </c>
      <c r="AV97" s="51">
        <v>0</v>
      </c>
      <c r="AW97" s="36">
        <v>0</v>
      </c>
      <c r="AX97" s="36">
        <v>0</v>
      </c>
      <c r="AY97" s="51">
        <f t="shared" si="20"/>
        <v>0</v>
      </c>
      <c r="AZ97" s="51">
        <v>1500</v>
      </c>
      <c r="BA97" s="51">
        <v>0</v>
      </c>
      <c r="BB97" s="51">
        <f t="shared" si="21"/>
        <v>1500</v>
      </c>
      <c r="BC97" s="51">
        <f t="shared" si="22"/>
        <v>0</v>
      </c>
      <c r="BD97" s="51" t="e">
        <f t="shared" si="23"/>
        <v>#DIV/0!</v>
      </c>
      <c r="BE97" s="52">
        <v>0</v>
      </c>
      <c r="BF97" s="37">
        <v>0</v>
      </c>
      <c r="BG97" s="37">
        <v>0</v>
      </c>
      <c r="BH97" s="37">
        <f t="shared" si="24"/>
        <v>0</v>
      </c>
      <c r="BI97" s="52">
        <v>750</v>
      </c>
      <c r="BJ97" s="37">
        <v>0</v>
      </c>
      <c r="BK97" s="52">
        <f t="shared" si="25"/>
        <v>750</v>
      </c>
      <c r="BL97" s="52">
        <f t="shared" si="26"/>
        <v>0</v>
      </c>
      <c r="BM97" s="52" t="e">
        <f t="shared" si="27"/>
        <v>#DIV/0!</v>
      </c>
      <c r="BN97" s="53">
        <v>0</v>
      </c>
      <c r="BO97" s="38">
        <v>0</v>
      </c>
      <c r="BP97" s="38">
        <v>0</v>
      </c>
      <c r="BQ97" s="53">
        <f t="shared" si="28"/>
        <v>0</v>
      </c>
      <c r="BR97" s="53">
        <v>2450</v>
      </c>
      <c r="BS97" s="38">
        <v>0</v>
      </c>
      <c r="BT97" s="53">
        <f t="shared" si="29"/>
        <v>2450</v>
      </c>
      <c r="BU97" s="53">
        <f t="shared" si="30"/>
        <v>0</v>
      </c>
      <c r="BV97" s="53" t="e">
        <f t="shared" si="31"/>
        <v>#DIV/0!</v>
      </c>
      <c r="BW97" s="54">
        <v>0</v>
      </c>
      <c r="BX97" s="39">
        <v>0</v>
      </c>
      <c r="BY97" s="39">
        <v>0</v>
      </c>
      <c r="BZ97" s="54">
        <f t="shared" si="32"/>
        <v>0</v>
      </c>
      <c r="CA97" s="54">
        <v>750</v>
      </c>
      <c r="CB97" s="54">
        <v>0</v>
      </c>
      <c r="CC97" s="54">
        <f t="shared" si="33"/>
        <v>750</v>
      </c>
      <c r="CD97" s="54">
        <f t="shared" si="34"/>
        <v>0</v>
      </c>
      <c r="CE97" s="54" t="e">
        <f t="shared" si="35"/>
        <v>#DIV/0!</v>
      </c>
      <c r="CF97" s="55">
        <v>0</v>
      </c>
      <c r="CG97" s="55">
        <v>0</v>
      </c>
      <c r="CH97" s="55">
        <v>0</v>
      </c>
      <c r="CI97" s="55">
        <f t="shared" si="36"/>
        <v>0</v>
      </c>
      <c r="CJ97" s="55">
        <v>730</v>
      </c>
      <c r="CK97" s="55">
        <v>0</v>
      </c>
      <c r="CL97" s="55">
        <f t="shared" si="37"/>
        <v>730</v>
      </c>
      <c r="CM97" s="55">
        <f t="shared" si="38"/>
        <v>0</v>
      </c>
      <c r="CN97" s="55" t="e">
        <f t="shared" si="39"/>
        <v>#DIV/0!</v>
      </c>
      <c r="CO97" s="56">
        <v>0</v>
      </c>
      <c r="CP97" s="56">
        <v>0</v>
      </c>
      <c r="CQ97" s="56">
        <v>0</v>
      </c>
      <c r="CR97" s="56">
        <f t="shared" si="40"/>
        <v>0</v>
      </c>
      <c r="CS97" s="56">
        <v>730</v>
      </c>
      <c r="CT97" s="56">
        <v>0</v>
      </c>
      <c r="CU97" s="56">
        <f t="shared" si="41"/>
        <v>730</v>
      </c>
      <c r="CV97" s="56">
        <f t="shared" si="42"/>
        <v>0</v>
      </c>
      <c r="CW97" s="56" t="e">
        <f t="shared" si="43"/>
        <v>#DIV/0!</v>
      </c>
      <c r="CX97" s="57">
        <v>0</v>
      </c>
      <c r="CY97" s="57">
        <v>0</v>
      </c>
      <c r="CZ97" s="57">
        <v>0</v>
      </c>
      <c r="DA97" s="57">
        <f t="shared" si="44"/>
        <v>0</v>
      </c>
      <c r="DB97" s="57">
        <v>600</v>
      </c>
      <c r="DC97" s="57">
        <v>0</v>
      </c>
      <c r="DD97" s="57">
        <f t="shared" si="45"/>
        <v>600</v>
      </c>
      <c r="DE97" s="57">
        <f t="shared" si="46"/>
        <v>0</v>
      </c>
      <c r="DF97" s="57" t="e">
        <f t="shared" si="47"/>
        <v>#DIV/0!</v>
      </c>
    </row>
    <row r="98" spans="1:110" ht="14.25" customHeight="1">
      <c r="A98" s="43"/>
      <c r="B98" s="44"/>
      <c r="C98" s="45">
        <v>0</v>
      </c>
      <c r="D98" s="30">
        <v>0</v>
      </c>
      <c r="E98" s="30">
        <v>0</v>
      </c>
      <c r="F98" s="45">
        <f t="shared" si="0"/>
        <v>0</v>
      </c>
      <c r="G98" s="45">
        <v>900</v>
      </c>
      <c r="H98" s="30">
        <v>0</v>
      </c>
      <c r="I98" s="45">
        <f t="shared" si="1"/>
        <v>900</v>
      </c>
      <c r="J98" s="45">
        <f t="shared" si="2"/>
        <v>0</v>
      </c>
      <c r="K98" s="46" t="e">
        <f t="shared" si="3"/>
        <v>#DIV/0!</v>
      </c>
      <c r="L98" s="47">
        <v>0</v>
      </c>
      <c r="M98" s="32">
        <v>0</v>
      </c>
      <c r="N98" s="32">
        <v>0</v>
      </c>
      <c r="O98" s="47">
        <f t="shared" si="4"/>
        <v>0</v>
      </c>
      <c r="P98" s="47">
        <v>1800</v>
      </c>
      <c r="Q98" s="47">
        <v>0</v>
      </c>
      <c r="R98" s="47">
        <f t="shared" si="5"/>
        <v>1800</v>
      </c>
      <c r="S98" s="47">
        <f t="shared" si="6"/>
        <v>0</v>
      </c>
      <c r="T98" s="47" t="e">
        <f t="shared" si="7"/>
        <v>#DIV/0!</v>
      </c>
      <c r="U98" s="48">
        <v>0</v>
      </c>
      <c r="V98" s="48">
        <v>0</v>
      </c>
      <c r="W98" s="48">
        <v>0</v>
      </c>
      <c r="X98" s="48">
        <f t="shared" si="8"/>
        <v>0</v>
      </c>
      <c r="Y98" s="48">
        <v>910</v>
      </c>
      <c r="Z98" s="33">
        <v>0</v>
      </c>
      <c r="AA98" s="48">
        <f t="shared" si="9"/>
        <v>910</v>
      </c>
      <c r="AB98" s="48">
        <f t="shared" si="10"/>
        <v>0</v>
      </c>
      <c r="AC98" s="48" t="e">
        <f t="shared" si="11"/>
        <v>#DIV/0!</v>
      </c>
      <c r="AD98" s="49">
        <v>0</v>
      </c>
      <c r="AE98" s="49">
        <v>0</v>
      </c>
      <c r="AF98" s="49">
        <v>0</v>
      </c>
      <c r="AG98" s="49">
        <f t="shared" si="12"/>
        <v>0</v>
      </c>
      <c r="AH98" s="49">
        <v>1200</v>
      </c>
      <c r="AI98" s="49">
        <v>0</v>
      </c>
      <c r="AJ98" s="49">
        <f t="shared" si="13"/>
        <v>1200</v>
      </c>
      <c r="AK98" s="49">
        <f t="shared" si="14"/>
        <v>0</v>
      </c>
      <c r="AL98" s="49" t="e">
        <f t="shared" si="15"/>
        <v>#DIV/0!</v>
      </c>
      <c r="AM98" s="50">
        <v>0</v>
      </c>
      <c r="AN98" s="50">
        <v>0</v>
      </c>
      <c r="AO98" s="50">
        <v>0</v>
      </c>
      <c r="AP98" s="50">
        <f t="shared" si="16"/>
        <v>0</v>
      </c>
      <c r="AQ98" s="50">
        <v>600</v>
      </c>
      <c r="AR98" s="50">
        <v>0</v>
      </c>
      <c r="AS98" s="50">
        <f t="shared" si="17"/>
        <v>600</v>
      </c>
      <c r="AT98" s="50">
        <f t="shared" si="18"/>
        <v>0</v>
      </c>
      <c r="AU98" s="50" t="e">
        <f t="shared" si="19"/>
        <v>#DIV/0!</v>
      </c>
      <c r="AV98" s="51">
        <v>0</v>
      </c>
      <c r="AW98" s="36">
        <v>0</v>
      </c>
      <c r="AX98" s="36">
        <v>0</v>
      </c>
      <c r="AY98" s="51">
        <f t="shared" si="20"/>
        <v>0</v>
      </c>
      <c r="AZ98" s="51">
        <v>1500</v>
      </c>
      <c r="BA98" s="51">
        <v>0</v>
      </c>
      <c r="BB98" s="51">
        <f t="shared" si="21"/>
        <v>1500</v>
      </c>
      <c r="BC98" s="51">
        <f t="shared" si="22"/>
        <v>0</v>
      </c>
      <c r="BD98" s="51" t="e">
        <f t="shared" si="23"/>
        <v>#DIV/0!</v>
      </c>
      <c r="BE98" s="52">
        <v>0</v>
      </c>
      <c r="BF98" s="37">
        <v>0</v>
      </c>
      <c r="BG98" s="37">
        <v>0</v>
      </c>
      <c r="BH98" s="37">
        <f t="shared" si="24"/>
        <v>0</v>
      </c>
      <c r="BI98" s="52">
        <v>750</v>
      </c>
      <c r="BJ98" s="37">
        <v>0</v>
      </c>
      <c r="BK98" s="52">
        <f t="shared" si="25"/>
        <v>750</v>
      </c>
      <c r="BL98" s="52">
        <f t="shared" si="26"/>
        <v>0</v>
      </c>
      <c r="BM98" s="52" t="e">
        <f t="shared" si="27"/>
        <v>#DIV/0!</v>
      </c>
      <c r="BN98" s="53">
        <v>0</v>
      </c>
      <c r="BO98" s="38">
        <v>0</v>
      </c>
      <c r="BP98" s="38">
        <v>0</v>
      </c>
      <c r="BQ98" s="53">
        <f t="shared" si="28"/>
        <v>0</v>
      </c>
      <c r="BR98" s="53">
        <v>2450</v>
      </c>
      <c r="BS98" s="38">
        <v>0</v>
      </c>
      <c r="BT98" s="53">
        <f t="shared" si="29"/>
        <v>2450</v>
      </c>
      <c r="BU98" s="53">
        <f t="shared" si="30"/>
        <v>0</v>
      </c>
      <c r="BV98" s="53" t="e">
        <f t="shared" si="31"/>
        <v>#DIV/0!</v>
      </c>
      <c r="BW98" s="54">
        <v>0</v>
      </c>
      <c r="BX98" s="39">
        <v>0</v>
      </c>
      <c r="BY98" s="39">
        <v>0</v>
      </c>
      <c r="BZ98" s="54">
        <f t="shared" si="32"/>
        <v>0</v>
      </c>
      <c r="CA98" s="54">
        <v>750</v>
      </c>
      <c r="CB98" s="54">
        <v>0</v>
      </c>
      <c r="CC98" s="54">
        <f t="shared" si="33"/>
        <v>750</v>
      </c>
      <c r="CD98" s="54">
        <f t="shared" si="34"/>
        <v>0</v>
      </c>
      <c r="CE98" s="54" t="e">
        <f t="shared" si="35"/>
        <v>#DIV/0!</v>
      </c>
      <c r="CF98" s="55">
        <v>0</v>
      </c>
      <c r="CG98" s="55">
        <v>0</v>
      </c>
      <c r="CH98" s="55">
        <v>0</v>
      </c>
      <c r="CI98" s="55">
        <f t="shared" si="36"/>
        <v>0</v>
      </c>
      <c r="CJ98" s="55">
        <v>730</v>
      </c>
      <c r="CK98" s="55">
        <v>0</v>
      </c>
      <c r="CL98" s="55">
        <f t="shared" si="37"/>
        <v>730</v>
      </c>
      <c r="CM98" s="55">
        <f t="shared" si="38"/>
        <v>0</v>
      </c>
      <c r="CN98" s="55" t="e">
        <f t="shared" si="39"/>
        <v>#DIV/0!</v>
      </c>
      <c r="CO98" s="56">
        <v>0</v>
      </c>
      <c r="CP98" s="56">
        <v>0</v>
      </c>
      <c r="CQ98" s="56">
        <v>0</v>
      </c>
      <c r="CR98" s="56">
        <f t="shared" si="40"/>
        <v>0</v>
      </c>
      <c r="CS98" s="56">
        <v>730</v>
      </c>
      <c r="CT98" s="56">
        <v>0</v>
      </c>
      <c r="CU98" s="56">
        <f t="shared" si="41"/>
        <v>730</v>
      </c>
      <c r="CV98" s="56">
        <f t="shared" si="42"/>
        <v>0</v>
      </c>
      <c r="CW98" s="56" t="e">
        <f t="shared" si="43"/>
        <v>#DIV/0!</v>
      </c>
      <c r="CX98" s="57">
        <v>0</v>
      </c>
      <c r="CY98" s="57">
        <v>0</v>
      </c>
      <c r="CZ98" s="57">
        <v>0</v>
      </c>
      <c r="DA98" s="57">
        <f t="shared" si="44"/>
        <v>0</v>
      </c>
      <c r="DB98" s="57">
        <v>600</v>
      </c>
      <c r="DC98" s="57">
        <v>0</v>
      </c>
      <c r="DD98" s="57">
        <f t="shared" si="45"/>
        <v>600</v>
      </c>
      <c r="DE98" s="57">
        <f t="shared" si="46"/>
        <v>0</v>
      </c>
      <c r="DF98" s="57" t="e">
        <f t="shared" si="47"/>
        <v>#DIV/0!</v>
      </c>
    </row>
    <row r="99" spans="1:110" ht="14.25" customHeight="1">
      <c r="A99" s="43"/>
      <c r="B99" s="44"/>
      <c r="C99" s="45">
        <v>0</v>
      </c>
      <c r="D99" s="30">
        <v>0</v>
      </c>
      <c r="E99" s="30">
        <v>0</v>
      </c>
      <c r="F99" s="45">
        <f t="shared" si="0"/>
        <v>0</v>
      </c>
      <c r="G99" s="45">
        <v>900</v>
      </c>
      <c r="H99" s="30">
        <v>0</v>
      </c>
      <c r="I99" s="45">
        <f t="shared" si="1"/>
        <v>900</v>
      </c>
      <c r="J99" s="45">
        <f t="shared" si="2"/>
        <v>0</v>
      </c>
      <c r="K99" s="46" t="e">
        <f t="shared" si="3"/>
        <v>#DIV/0!</v>
      </c>
      <c r="L99" s="47">
        <v>0</v>
      </c>
      <c r="M99" s="32">
        <v>0</v>
      </c>
      <c r="N99" s="32">
        <v>0</v>
      </c>
      <c r="O99" s="47">
        <f t="shared" si="4"/>
        <v>0</v>
      </c>
      <c r="P99" s="47">
        <v>1800</v>
      </c>
      <c r="Q99" s="47">
        <v>0</v>
      </c>
      <c r="R99" s="47">
        <f t="shared" si="5"/>
        <v>1800</v>
      </c>
      <c r="S99" s="47">
        <f t="shared" si="6"/>
        <v>0</v>
      </c>
      <c r="T99" s="47" t="e">
        <f t="shared" si="7"/>
        <v>#DIV/0!</v>
      </c>
      <c r="U99" s="48">
        <v>0</v>
      </c>
      <c r="V99" s="48">
        <v>0</v>
      </c>
      <c r="W99" s="48">
        <v>0</v>
      </c>
      <c r="X99" s="48">
        <f t="shared" si="8"/>
        <v>0</v>
      </c>
      <c r="Y99" s="48">
        <v>910</v>
      </c>
      <c r="Z99" s="33">
        <v>0</v>
      </c>
      <c r="AA99" s="48">
        <f t="shared" si="9"/>
        <v>910</v>
      </c>
      <c r="AB99" s="48">
        <f t="shared" si="10"/>
        <v>0</v>
      </c>
      <c r="AC99" s="48" t="e">
        <f t="shared" si="11"/>
        <v>#DIV/0!</v>
      </c>
      <c r="AD99" s="49">
        <v>0</v>
      </c>
      <c r="AE99" s="49">
        <v>0</v>
      </c>
      <c r="AF99" s="49">
        <v>0</v>
      </c>
      <c r="AG99" s="49">
        <f t="shared" si="12"/>
        <v>0</v>
      </c>
      <c r="AH99" s="49">
        <v>1200</v>
      </c>
      <c r="AI99" s="49">
        <v>0</v>
      </c>
      <c r="AJ99" s="49">
        <f t="shared" si="13"/>
        <v>1200</v>
      </c>
      <c r="AK99" s="49">
        <f t="shared" si="14"/>
        <v>0</v>
      </c>
      <c r="AL99" s="49" t="e">
        <f t="shared" si="15"/>
        <v>#DIV/0!</v>
      </c>
      <c r="AM99" s="50">
        <v>0</v>
      </c>
      <c r="AN99" s="50">
        <v>0</v>
      </c>
      <c r="AO99" s="50">
        <v>0</v>
      </c>
      <c r="AP99" s="50">
        <f t="shared" si="16"/>
        <v>0</v>
      </c>
      <c r="AQ99" s="50">
        <v>600</v>
      </c>
      <c r="AR99" s="50">
        <v>0</v>
      </c>
      <c r="AS99" s="50">
        <f t="shared" si="17"/>
        <v>600</v>
      </c>
      <c r="AT99" s="50">
        <f t="shared" si="18"/>
        <v>0</v>
      </c>
      <c r="AU99" s="50" t="e">
        <f t="shared" si="19"/>
        <v>#DIV/0!</v>
      </c>
      <c r="AV99" s="51">
        <v>0</v>
      </c>
      <c r="AW99" s="36">
        <v>0</v>
      </c>
      <c r="AX99" s="36">
        <v>0</v>
      </c>
      <c r="AY99" s="51">
        <f t="shared" si="20"/>
        <v>0</v>
      </c>
      <c r="AZ99" s="51">
        <v>1500</v>
      </c>
      <c r="BA99" s="51">
        <v>0</v>
      </c>
      <c r="BB99" s="51">
        <f t="shared" si="21"/>
        <v>1500</v>
      </c>
      <c r="BC99" s="51">
        <f t="shared" si="22"/>
        <v>0</v>
      </c>
      <c r="BD99" s="51" t="e">
        <f t="shared" si="23"/>
        <v>#DIV/0!</v>
      </c>
      <c r="BE99" s="52">
        <v>0</v>
      </c>
      <c r="BF99" s="37">
        <v>0</v>
      </c>
      <c r="BG99" s="37">
        <v>0</v>
      </c>
      <c r="BH99" s="37">
        <f t="shared" si="24"/>
        <v>0</v>
      </c>
      <c r="BI99" s="52">
        <v>750</v>
      </c>
      <c r="BJ99" s="37">
        <v>0</v>
      </c>
      <c r="BK99" s="52">
        <f t="shared" si="25"/>
        <v>750</v>
      </c>
      <c r="BL99" s="52">
        <f t="shared" si="26"/>
        <v>0</v>
      </c>
      <c r="BM99" s="52" t="e">
        <f t="shared" si="27"/>
        <v>#DIV/0!</v>
      </c>
      <c r="BN99" s="53">
        <v>0</v>
      </c>
      <c r="BO99" s="38">
        <v>0</v>
      </c>
      <c r="BP99" s="38">
        <v>0</v>
      </c>
      <c r="BQ99" s="53">
        <f t="shared" si="28"/>
        <v>0</v>
      </c>
      <c r="BR99" s="53">
        <v>2450</v>
      </c>
      <c r="BS99" s="38">
        <v>0</v>
      </c>
      <c r="BT99" s="53">
        <f t="shared" si="29"/>
        <v>2450</v>
      </c>
      <c r="BU99" s="53">
        <f t="shared" si="30"/>
        <v>0</v>
      </c>
      <c r="BV99" s="53" t="e">
        <f t="shared" si="31"/>
        <v>#DIV/0!</v>
      </c>
      <c r="BW99" s="54">
        <v>0</v>
      </c>
      <c r="BX99" s="39">
        <v>0</v>
      </c>
      <c r="BY99" s="39">
        <v>0</v>
      </c>
      <c r="BZ99" s="54">
        <f t="shared" si="32"/>
        <v>0</v>
      </c>
      <c r="CA99" s="54">
        <v>750</v>
      </c>
      <c r="CB99" s="54">
        <v>0</v>
      </c>
      <c r="CC99" s="54">
        <f t="shared" si="33"/>
        <v>750</v>
      </c>
      <c r="CD99" s="54">
        <f t="shared" si="34"/>
        <v>0</v>
      </c>
      <c r="CE99" s="54" t="e">
        <f t="shared" si="35"/>
        <v>#DIV/0!</v>
      </c>
      <c r="CF99" s="55">
        <v>0</v>
      </c>
      <c r="CG99" s="55">
        <v>0</v>
      </c>
      <c r="CH99" s="55">
        <v>0</v>
      </c>
      <c r="CI99" s="55">
        <f t="shared" si="36"/>
        <v>0</v>
      </c>
      <c r="CJ99" s="55">
        <v>730</v>
      </c>
      <c r="CK99" s="55">
        <v>0</v>
      </c>
      <c r="CL99" s="55">
        <f t="shared" si="37"/>
        <v>730</v>
      </c>
      <c r="CM99" s="55">
        <f t="shared" si="38"/>
        <v>0</v>
      </c>
      <c r="CN99" s="55" t="e">
        <f t="shared" si="39"/>
        <v>#DIV/0!</v>
      </c>
      <c r="CO99" s="56">
        <v>0</v>
      </c>
      <c r="CP99" s="56">
        <v>0</v>
      </c>
      <c r="CQ99" s="56">
        <v>0</v>
      </c>
      <c r="CR99" s="56">
        <f t="shared" si="40"/>
        <v>0</v>
      </c>
      <c r="CS99" s="56">
        <v>730</v>
      </c>
      <c r="CT99" s="56">
        <v>0</v>
      </c>
      <c r="CU99" s="56">
        <f t="shared" si="41"/>
        <v>730</v>
      </c>
      <c r="CV99" s="56">
        <f t="shared" si="42"/>
        <v>0</v>
      </c>
      <c r="CW99" s="56" t="e">
        <f t="shared" si="43"/>
        <v>#DIV/0!</v>
      </c>
      <c r="CX99" s="57">
        <v>0</v>
      </c>
      <c r="CY99" s="57">
        <v>0</v>
      </c>
      <c r="CZ99" s="57">
        <v>0</v>
      </c>
      <c r="DA99" s="57">
        <f t="shared" si="44"/>
        <v>0</v>
      </c>
      <c r="DB99" s="57">
        <v>600</v>
      </c>
      <c r="DC99" s="57">
        <v>0</v>
      </c>
      <c r="DD99" s="57">
        <f t="shared" si="45"/>
        <v>600</v>
      </c>
      <c r="DE99" s="57">
        <f t="shared" si="46"/>
        <v>0</v>
      </c>
      <c r="DF99" s="57" t="e">
        <f t="shared" si="47"/>
        <v>#DIV/0!</v>
      </c>
    </row>
    <row r="100" spans="1:110" ht="14.25" customHeight="1">
      <c r="A100" s="43"/>
      <c r="B100" s="44"/>
      <c r="C100" s="45">
        <v>0</v>
      </c>
      <c r="D100" s="30">
        <v>0</v>
      </c>
      <c r="E100" s="30">
        <v>0</v>
      </c>
      <c r="F100" s="45">
        <f t="shared" si="0"/>
        <v>0</v>
      </c>
      <c r="G100" s="45">
        <v>900</v>
      </c>
      <c r="H100" s="30">
        <v>0</v>
      </c>
      <c r="I100" s="45">
        <f t="shared" si="1"/>
        <v>900</v>
      </c>
      <c r="J100" s="45">
        <f t="shared" si="2"/>
        <v>0</v>
      </c>
      <c r="K100" s="46" t="e">
        <f t="shared" si="3"/>
        <v>#DIV/0!</v>
      </c>
      <c r="L100" s="47">
        <v>0</v>
      </c>
      <c r="M100" s="32">
        <v>0</v>
      </c>
      <c r="N100" s="32">
        <v>0</v>
      </c>
      <c r="O100" s="47">
        <f t="shared" si="4"/>
        <v>0</v>
      </c>
      <c r="P100" s="47">
        <v>1800</v>
      </c>
      <c r="Q100" s="47">
        <v>0</v>
      </c>
      <c r="R100" s="47">
        <f t="shared" si="5"/>
        <v>1800</v>
      </c>
      <c r="S100" s="47">
        <f t="shared" si="6"/>
        <v>0</v>
      </c>
      <c r="T100" s="47" t="e">
        <f t="shared" si="7"/>
        <v>#DIV/0!</v>
      </c>
      <c r="U100" s="48">
        <v>0</v>
      </c>
      <c r="V100" s="48">
        <v>0</v>
      </c>
      <c r="W100" s="48">
        <v>0</v>
      </c>
      <c r="X100" s="48">
        <f t="shared" si="8"/>
        <v>0</v>
      </c>
      <c r="Y100" s="48">
        <v>910</v>
      </c>
      <c r="Z100" s="33">
        <v>0</v>
      </c>
      <c r="AA100" s="48">
        <f t="shared" si="9"/>
        <v>910</v>
      </c>
      <c r="AB100" s="48">
        <f t="shared" si="10"/>
        <v>0</v>
      </c>
      <c r="AC100" s="48" t="e">
        <f t="shared" si="11"/>
        <v>#DIV/0!</v>
      </c>
      <c r="AD100" s="49">
        <v>0</v>
      </c>
      <c r="AE100" s="49">
        <v>0</v>
      </c>
      <c r="AF100" s="49">
        <v>0</v>
      </c>
      <c r="AG100" s="49">
        <f t="shared" si="12"/>
        <v>0</v>
      </c>
      <c r="AH100" s="49">
        <v>1200</v>
      </c>
      <c r="AI100" s="49">
        <v>0</v>
      </c>
      <c r="AJ100" s="49">
        <f t="shared" si="13"/>
        <v>1200</v>
      </c>
      <c r="AK100" s="49">
        <f t="shared" si="14"/>
        <v>0</v>
      </c>
      <c r="AL100" s="49" t="e">
        <f t="shared" si="15"/>
        <v>#DIV/0!</v>
      </c>
      <c r="AM100" s="50">
        <v>0</v>
      </c>
      <c r="AN100" s="50">
        <v>0</v>
      </c>
      <c r="AO100" s="50">
        <v>0</v>
      </c>
      <c r="AP100" s="50">
        <f t="shared" si="16"/>
        <v>0</v>
      </c>
      <c r="AQ100" s="50">
        <v>600</v>
      </c>
      <c r="AR100" s="50">
        <v>0</v>
      </c>
      <c r="AS100" s="50">
        <f t="shared" si="17"/>
        <v>600</v>
      </c>
      <c r="AT100" s="50">
        <f t="shared" si="18"/>
        <v>0</v>
      </c>
      <c r="AU100" s="50" t="e">
        <f t="shared" si="19"/>
        <v>#DIV/0!</v>
      </c>
      <c r="AV100" s="51">
        <v>0</v>
      </c>
      <c r="AW100" s="36">
        <v>0</v>
      </c>
      <c r="AX100" s="36">
        <v>0</v>
      </c>
      <c r="AY100" s="51">
        <f t="shared" si="20"/>
        <v>0</v>
      </c>
      <c r="AZ100" s="51">
        <v>1500</v>
      </c>
      <c r="BA100" s="51">
        <v>0</v>
      </c>
      <c r="BB100" s="51">
        <f t="shared" si="21"/>
        <v>1500</v>
      </c>
      <c r="BC100" s="51">
        <f t="shared" si="22"/>
        <v>0</v>
      </c>
      <c r="BD100" s="51" t="e">
        <f t="shared" si="23"/>
        <v>#DIV/0!</v>
      </c>
      <c r="BE100" s="52">
        <v>0</v>
      </c>
      <c r="BF100" s="37">
        <v>0</v>
      </c>
      <c r="BG100" s="37">
        <v>0</v>
      </c>
      <c r="BH100" s="37">
        <f t="shared" si="24"/>
        <v>0</v>
      </c>
      <c r="BI100" s="52">
        <v>750</v>
      </c>
      <c r="BJ100" s="37">
        <v>0</v>
      </c>
      <c r="BK100" s="52">
        <f t="shared" si="25"/>
        <v>750</v>
      </c>
      <c r="BL100" s="52">
        <f t="shared" si="26"/>
        <v>0</v>
      </c>
      <c r="BM100" s="52" t="e">
        <f t="shared" si="27"/>
        <v>#DIV/0!</v>
      </c>
      <c r="BN100" s="53">
        <v>0</v>
      </c>
      <c r="BO100" s="38">
        <v>0</v>
      </c>
      <c r="BP100" s="38">
        <v>0</v>
      </c>
      <c r="BQ100" s="53">
        <f t="shared" si="28"/>
        <v>0</v>
      </c>
      <c r="BR100" s="53">
        <v>2450</v>
      </c>
      <c r="BS100" s="38">
        <v>0</v>
      </c>
      <c r="BT100" s="53">
        <f t="shared" si="29"/>
        <v>2450</v>
      </c>
      <c r="BU100" s="53">
        <f t="shared" si="30"/>
        <v>0</v>
      </c>
      <c r="BV100" s="53" t="e">
        <f t="shared" si="31"/>
        <v>#DIV/0!</v>
      </c>
      <c r="BW100" s="54">
        <v>0</v>
      </c>
      <c r="BX100" s="39">
        <v>0</v>
      </c>
      <c r="BY100" s="39">
        <v>0</v>
      </c>
      <c r="BZ100" s="54">
        <f t="shared" si="32"/>
        <v>0</v>
      </c>
      <c r="CA100" s="54">
        <v>750</v>
      </c>
      <c r="CB100" s="54">
        <v>0</v>
      </c>
      <c r="CC100" s="54">
        <f t="shared" si="33"/>
        <v>750</v>
      </c>
      <c r="CD100" s="54">
        <f t="shared" si="34"/>
        <v>0</v>
      </c>
      <c r="CE100" s="54" t="e">
        <f t="shared" si="35"/>
        <v>#DIV/0!</v>
      </c>
      <c r="CF100" s="55">
        <v>0</v>
      </c>
      <c r="CG100" s="55">
        <v>0</v>
      </c>
      <c r="CH100" s="55">
        <v>0</v>
      </c>
      <c r="CI100" s="55">
        <f t="shared" si="36"/>
        <v>0</v>
      </c>
      <c r="CJ100" s="55">
        <v>730</v>
      </c>
      <c r="CK100" s="55">
        <v>0</v>
      </c>
      <c r="CL100" s="55">
        <f t="shared" si="37"/>
        <v>730</v>
      </c>
      <c r="CM100" s="55">
        <f t="shared" si="38"/>
        <v>0</v>
      </c>
      <c r="CN100" s="55" t="e">
        <f t="shared" si="39"/>
        <v>#DIV/0!</v>
      </c>
      <c r="CO100" s="56">
        <v>0</v>
      </c>
      <c r="CP100" s="56">
        <v>0</v>
      </c>
      <c r="CQ100" s="56">
        <v>0</v>
      </c>
      <c r="CR100" s="56">
        <f t="shared" si="40"/>
        <v>0</v>
      </c>
      <c r="CS100" s="56">
        <v>730</v>
      </c>
      <c r="CT100" s="56">
        <v>0</v>
      </c>
      <c r="CU100" s="56">
        <f t="shared" si="41"/>
        <v>730</v>
      </c>
      <c r="CV100" s="56">
        <f t="shared" si="42"/>
        <v>0</v>
      </c>
      <c r="CW100" s="56" t="e">
        <f t="shared" si="43"/>
        <v>#DIV/0!</v>
      </c>
      <c r="CX100" s="57">
        <v>0</v>
      </c>
      <c r="CY100" s="57">
        <v>0</v>
      </c>
      <c r="CZ100" s="57">
        <v>0</v>
      </c>
      <c r="DA100" s="57">
        <f t="shared" si="44"/>
        <v>0</v>
      </c>
      <c r="DB100" s="57">
        <v>600</v>
      </c>
      <c r="DC100" s="57">
        <v>0</v>
      </c>
      <c r="DD100" s="57">
        <f t="shared" si="45"/>
        <v>600</v>
      </c>
      <c r="DE100" s="57">
        <f t="shared" si="46"/>
        <v>0</v>
      </c>
      <c r="DF100" s="57" t="e">
        <f t="shared" si="47"/>
        <v>#DIV/0!</v>
      </c>
    </row>
    <row r="101" spans="1:110" ht="14.25" customHeight="1">
      <c r="A101" s="43"/>
      <c r="B101" s="44"/>
      <c r="C101" s="45">
        <v>0</v>
      </c>
      <c r="D101" s="30">
        <v>0</v>
      </c>
      <c r="E101" s="30">
        <v>0</v>
      </c>
      <c r="F101" s="45">
        <f t="shared" si="0"/>
        <v>0</v>
      </c>
      <c r="G101" s="45">
        <v>900</v>
      </c>
      <c r="H101" s="30">
        <v>0</v>
      </c>
      <c r="I101" s="45">
        <f t="shared" si="1"/>
        <v>900</v>
      </c>
      <c r="J101" s="45">
        <f t="shared" si="2"/>
        <v>0</v>
      </c>
      <c r="K101" s="46" t="e">
        <f t="shared" si="3"/>
        <v>#DIV/0!</v>
      </c>
      <c r="L101" s="47">
        <v>0</v>
      </c>
      <c r="M101" s="32">
        <v>0</v>
      </c>
      <c r="N101" s="32">
        <v>0</v>
      </c>
      <c r="O101" s="47">
        <f t="shared" si="4"/>
        <v>0</v>
      </c>
      <c r="P101" s="47">
        <v>1800</v>
      </c>
      <c r="Q101" s="47">
        <v>0</v>
      </c>
      <c r="R101" s="47">
        <f t="shared" si="5"/>
        <v>1800</v>
      </c>
      <c r="S101" s="47">
        <f t="shared" si="6"/>
        <v>0</v>
      </c>
      <c r="T101" s="47" t="e">
        <f t="shared" si="7"/>
        <v>#DIV/0!</v>
      </c>
      <c r="U101" s="48">
        <v>0</v>
      </c>
      <c r="V101" s="48">
        <v>0</v>
      </c>
      <c r="W101" s="48">
        <v>0</v>
      </c>
      <c r="X101" s="48">
        <f t="shared" si="8"/>
        <v>0</v>
      </c>
      <c r="Y101" s="48">
        <v>910</v>
      </c>
      <c r="Z101" s="33">
        <v>0</v>
      </c>
      <c r="AA101" s="48">
        <f t="shared" si="9"/>
        <v>910</v>
      </c>
      <c r="AB101" s="48">
        <f t="shared" si="10"/>
        <v>0</v>
      </c>
      <c r="AC101" s="48" t="e">
        <f t="shared" si="11"/>
        <v>#DIV/0!</v>
      </c>
      <c r="AD101" s="49">
        <v>0</v>
      </c>
      <c r="AE101" s="49">
        <v>0</v>
      </c>
      <c r="AF101" s="49">
        <v>0</v>
      </c>
      <c r="AG101" s="49">
        <f t="shared" si="12"/>
        <v>0</v>
      </c>
      <c r="AH101" s="49">
        <v>1200</v>
      </c>
      <c r="AI101" s="49">
        <v>0</v>
      </c>
      <c r="AJ101" s="49">
        <f t="shared" si="13"/>
        <v>1200</v>
      </c>
      <c r="AK101" s="49">
        <f t="shared" si="14"/>
        <v>0</v>
      </c>
      <c r="AL101" s="49" t="e">
        <f t="shared" si="15"/>
        <v>#DIV/0!</v>
      </c>
      <c r="AM101" s="50">
        <v>0</v>
      </c>
      <c r="AN101" s="50">
        <v>0</v>
      </c>
      <c r="AO101" s="50">
        <v>0</v>
      </c>
      <c r="AP101" s="50">
        <f t="shared" si="16"/>
        <v>0</v>
      </c>
      <c r="AQ101" s="50">
        <v>600</v>
      </c>
      <c r="AR101" s="50">
        <v>0</v>
      </c>
      <c r="AS101" s="50">
        <f t="shared" si="17"/>
        <v>600</v>
      </c>
      <c r="AT101" s="50">
        <f t="shared" si="18"/>
        <v>0</v>
      </c>
      <c r="AU101" s="50" t="e">
        <f t="shared" si="19"/>
        <v>#DIV/0!</v>
      </c>
      <c r="AV101" s="51">
        <v>0</v>
      </c>
      <c r="AW101" s="36">
        <v>0</v>
      </c>
      <c r="AX101" s="36">
        <v>0</v>
      </c>
      <c r="AY101" s="51">
        <f t="shared" si="20"/>
        <v>0</v>
      </c>
      <c r="AZ101" s="51">
        <v>1500</v>
      </c>
      <c r="BA101" s="51">
        <v>0</v>
      </c>
      <c r="BB101" s="51">
        <f t="shared" si="21"/>
        <v>1500</v>
      </c>
      <c r="BC101" s="51">
        <f t="shared" si="22"/>
        <v>0</v>
      </c>
      <c r="BD101" s="51" t="e">
        <f t="shared" si="23"/>
        <v>#DIV/0!</v>
      </c>
      <c r="BE101" s="52">
        <v>0</v>
      </c>
      <c r="BF101" s="37">
        <v>0</v>
      </c>
      <c r="BG101" s="37">
        <v>0</v>
      </c>
      <c r="BH101" s="37">
        <f t="shared" si="24"/>
        <v>0</v>
      </c>
      <c r="BI101" s="52">
        <v>750</v>
      </c>
      <c r="BJ101" s="37">
        <v>0</v>
      </c>
      <c r="BK101" s="52">
        <f t="shared" si="25"/>
        <v>750</v>
      </c>
      <c r="BL101" s="52">
        <f t="shared" si="26"/>
        <v>0</v>
      </c>
      <c r="BM101" s="52" t="e">
        <f t="shared" si="27"/>
        <v>#DIV/0!</v>
      </c>
      <c r="BN101" s="53">
        <v>0</v>
      </c>
      <c r="BO101" s="38">
        <v>0</v>
      </c>
      <c r="BP101" s="38">
        <v>0</v>
      </c>
      <c r="BQ101" s="53">
        <f t="shared" si="28"/>
        <v>0</v>
      </c>
      <c r="BR101" s="53">
        <v>2450</v>
      </c>
      <c r="BS101" s="38">
        <v>0</v>
      </c>
      <c r="BT101" s="53">
        <f t="shared" si="29"/>
        <v>2450</v>
      </c>
      <c r="BU101" s="53">
        <f t="shared" si="30"/>
        <v>0</v>
      </c>
      <c r="BV101" s="53" t="e">
        <f t="shared" si="31"/>
        <v>#DIV/0!</v>
      </c>
      <c r="BW101" s="54">
        <v>0</v>
      </c>
      <c r="BX101" s="39">
        <v>0</v>
      </c>
      <c r="BY101" s="39">
        <v>0</v>
      </c>
      <c r="BZ101" s="54">
        <f t="shared" si="32"/>
        <v>0</v>
      </c>
      <c r="CA101" s="54">
        <v>750</v>
      </c>
      <c r="CB101" s="54">
        <v>0</v>
      </c>
      <c r="CC101" s="54">
        <f t="shared" si="33"/>
        <v>750</v>
      </c>
      <c r="CD101" s="54">
        <f t="shared" si="34"/>
        <v>0</v>
      </c>
      <c r="CE101" s="54" t="e">
        <f t="shared" si="35"/>
        <v>#DIV/0!</v>
      </c>
      <c r="CF101" s="55">
        <v>0</v>
      </c>
      <c r="CG101" s="55">
        <v>0</v>
      </c>
      <c r="CH101" s="55">
        <v>0</v>
      </c>
      <c r="CI101" s="55">
        <f t="shared" si="36"/>
        <v>0</v>
      </c>
      <c r="CJ101" s="55">
        <v>730</v>
      </c>
      <c r="CK101" s="55">
        <v>0</v>
      </c>
      <c r="CL101" s="55">
        <f t="shared" si="37"/>
        <v>730</v>
      </c>
      <c r="CM101" s="55">
        <f t="shared" si="38"/>
        <v>0</v>
      </c>
      <c r="CN101" s="55" t="e">
        <f t="shared" si="39"/>
        <v>#DIV/0!</v>
      </c>
      <c r="CO101" s="56">
        <v>0</v>
      </c>
      <c r="CP101" s="56">
        <v>0</v>
      </c>
      <c r="CQ101" s="56">
        <v>0</v>
      </c>
      <c r="CR101" s="56">
        <f t="shared" si="40"/>
        <v>0</v>
      </c>
      <c r="CS101" s="56">
        <v>730</v>
      </c>
      <c r="CT101" s="56">
        <v>0</v>
      </c>
      <c r="CU101" s="56">
        <f t="shared" si="41"/>
        <v>730</v>
      </c>
      <c r="CV101" s="56">
        <f t="shared" si="42"/>
        <v>0</v>
      </c>
      <c r="CW101" s="56" t="e">
        <f t="shared" si="43"/>
        <v>#DIV/0!</v>
      </c>
      <c r="CX101" s="57">
        <v>0</v>
      </c>
      <c r="CY101" s="57">
        <v>0</v>
      </c>
      <c r="CZ101" s="57">
        <v>0</v>
      </c>
      <c r="DA101" s="57">
        <f t="shared" si="44"/>
        <v>0</v>
      </c>
      <c r="DB101" s="57">
        <v>600</v>
      </c>
      <c r="DC101" s="57">
        <v>0</v>
      </c>
      <c r="DD101" s="57">
        <f t="shared" si="45"/>
        <v>600</v>
      </c>
      <c r="DE101" s="57">
        <f t="shared" si="46"/>
        <v>0</v>
      </c>
      <c r="DF101" s="57" t="e">
        <f t="shared" si="47"/>
        <v>#DIV/0!</v>
      </c>
    </row>
    <row r="102" spans="1:110" ht="14.25" customHeight="1">
      <c r="A102" s="43"/>
      <c r="B102" s="44"/>
      <c r="C102" s="45">
        <v>0</v>
      </c>
      <c r="D102" s="30">
        <v>0</v>
      </c>
      <c r="E102" s="30">
        <v>0</v>
      </c>
      <c r="F102" s="45">
        <f t="shared" si="0"/>
        <v>0</v>
      </c>
      <c r="G102" s="45">
        <v>900</v>
      </c>
      <c r="H102" s="30">
        <v>0</v>
      </c>
      <c r="I102" s="45">
        <f t="shared" si="1"/>
        <v>900</v>
      </c>
      <c r="J102" s="45">
        <f t="shared" si="2"/>
        <v>0</v>
      </c>
      <c r="K102" s="46" t="e">
        <f t="shared" si="3"/>
        <v>#DIV/0!</v>
      </c>
      <c r="L102" s="47">
        <v>0</v>
      </c>
      <c r="M102" s="32">
        <v>0</v>
      </c>
      <c r="N102" s="32">
        <v>0</v>
      </c>
      <c r="O102" s="47">
        <f t="shared" si="4"/>
        <v>0</v>
      </c>
      <c r="P102" s="47">
        <v>1800</v>
      </c>
      <c r="Q102" s="47">
        <v>0</v>
      </c>
      <c r="R102" s="47">
        <f t="shared" si="5"/>
        <v>1800</v>
      </c>
      <c r="S102" s="47">
        <f t="shared" si="6"/>
        <v>0</v>
      </c>
      <c r="T102" s="47" t="e">
        <f t="shared" si="7"/>
        <v>#DIV/0!</v>
      </c>
      <c r="U102" s="48">
        <v>0</v>
      </c>
      <c r="V102" s="48">
        <v>0</v>
      </c>
      <c r="W102" s="48">
        <v>0</v>
      </c>
      <c r="X102" s="48">
        <f t="shared" si="8"/>
        <v>0</v>
      </c>
      <c r="Y102" s="48">
        <v>910</v>
      </c>
      <c r="Z102" s="33">
        <v>0</v>
      </c>
      <c r="AA102" s="48">
        <f t="shared" si="9"/>
        <v>910</v>
      </c>
      <c r="AB102" s="48">
        <f t="shared" si="10"/>
        <v>0</v>
      </c>
      <c r="AC102" s="48" t="e">
        <f t="shared" si="11"/>
        <v>#DIV/0!</v>
      </c>
      <c r="AD102" s="49">
        <v>0</v>
      </c>
      <c r="AE102" s="49">
        <v>0</v>
      </c>
      <c r="AF102" s="49">
        <v>0</v>
      </c>
      <c r="AG102" s="49">
        <f t="shared" si="12"/>
        <v>0</v>
      </c>
      <c r="AH102" s="49">
        <v>1200</v>
      </c>
      <c r="AI102" s="49">
        <v>0</v>
      </c>
      <c r="AJ102" s="49">
        <f t="shared" si="13"/>
        <v>1200</v>
      </c>
      <c r="AK102" s="49">
        <f t="shared" si="14"/>
        <v>0</v>
      </c>
      <c r="AL102" s="49" t="e">
        <f t="shared" si="15"/>
        <v>#DIV/0!</v>
      </c>
      <c r="AM102" s="50">
        <v>0</v>
      </c>
      <c r="AN102" s="50">
        <v>0</v>
      </c>
      <c r="AO102" s="50">
        <v>0</v>
      </c>
      <c r="AP102" s="50">
        <f t="shared" si="16"/>
        <v>0</v>
      </c>
      <c r="AQ102" s="50">
        <v>600</v>
      </c>
      <c r="AR102" s="50">
        <v>0</v>
      </c>
      <c r="AS102" s="50">
        <f t="shared" si="17"/>
        <v>600</v>
      </c>
      <c r="AT102" s="50">
        <f t="shared" si="18"/>
        <v>0</v>
      </c>
      <c r="AU102" s="50" t="e">
        <f t="shared" si="19"/>
        <v>#DIV/0!</v>
      </c>
      <c r="AV102" s="51">
        <v>0</v>
      </c>
      <c r="AW102" s="36">
        <v>0</v>
      </c>
      <c r="AX102" s="36">
        <v>0</v>
      </c>
      <c r="AY102" s="51">
        <f t="shared" si="20"/>
        <v>0</v>
      </c>
      <c r="AZ102" s="51">
        <v>1500</v>
      </c>
      <c r="BA102" s="51">
        <v>0</v>
      </c>
      <c r="BB102" s="51">
        <f t="shared" si="21"/>
        <v>1500</v>
      </c>
      <c r="BC102" s="51">
        <f t="shared" si="22"/>
        <v>0</v>
      </c>
      <c r="BD102" s="51" t="e">
        <f t="shared" si="23"/>
        <v>#DIV/0!</v>
      </c>
      <c r="BE102" s="52">
        <v>0</v>
      </c>
      <c r="BF102" s="37">
        <v>0</v>
      </c>
      <c r="BG102" s="37">
        <v>0</v>
      </c>
      <c r="BH102" s="37">
        <f t="shared" si="24"/>
        <v>0</v>
      </c>
      <c r="BI102" s="52">
        <v>750</v>
      </c>
      <c r="BJ102" s="37">
        <v>0</v>
      </c>
      <c r="BK102" s="52">
        <f t="shared" si="25"/>
        <v>750</v>
      </c>
      <c r="BL102" s="52">
        <f t="shared" si="26"/>
        <v>0</v>
      </c>
      <c r="BM102" s="52" t="e">
        <f t="shared" si="27"/>
        <v>#DIV/0!</v>
      </c>
      <c r="BN102" s="53">
        <v>0</v>
      </c>
      <c r="BO102" s="38">
        <v>0</v>
      </c>
      <c r="BP102" s="38">
        <v>0</v>
      </c>
      <c r="BQ102" s="53">
        <f t="shared" si="28"/>
        <v>0</v>
      </c>
      <c r="BR102" s="53">
        <v>2450</v>
      </c>
      <c r="BS102" s="38">
        <v>0</v>
      </c>
      <c r="BT102" s="53">
        <f t="shared" si="29"/>
        <v>2450</v>
      </c>
      <c r="BU102" s="53">
        <f t="shared" si="30"/>
        <v>0</v>
      </c>
      <c r="BV102" s="53" t="e">
        <f t="shared" si="31"/>
        <v>#DIV/0!</v>
      </c>
      <c r="BW102" s="54">
        <v>0</v>
      </c>
      <c r="BX102" s="39">
        <v>0</v>
      </c>
      <c r="BY102" s="39">
        <v>0</v>
      </c>
      <c r="BZ102" s="54">
        <f t="shared" si="32"/>
        <v>0</v>
      </c>
      <c r="CA102" s="54">
        <v>750</v>
      </c>
      <c r="CB102" s="54">
        <v>0</v>
      </c>
      <c r="CC102" s="54">
        <f t="shared" si="33"/>
        <v>750</v>
      </c>
      <c r="CD102" s="54">
        <f t="shared" si="34"/>
        <v>0</v>
      </c>
      <c r="CE102" s="54" t="e">
        <f t="shared" si="35"/>
        <v>#DIV/0!</v>
      </c>
      <c r="CF102" s="55">
        <v>0</v>
      </c>
      <c r="CG102" s="55">
        <v>0</v>
      </c>
      <c r="CH102" s="55">
        <v>0</v>
      </c>
      <c r="CI102" s="55">
        <f t="shared" si="36"/>
        <v>0</v>
      </c>
      <c r="CJ102" s="55">
        <v>730</v>
      </c>
      <c r="CK102" s="55">
        <v>0</v>
      </c>
      <c r="CL102" s="55">
        <f t="shared" si="37"/>
        <v>730</v>
      </c>
      <c r="CM102" s="55">
        <f t="shared" si="38"/>
        <v>0</v>
      </c>
      <c r="CN102" s="55" t="e">
        <f t="shared" si="39"/>
        <v>#DIV/0!</v>
      </c>
      <c r="CO102" s="56">
        <v>0</v>
      </c>
      <c r="CP102" s="56">
        <v>0</v>
      </c>
      <c r="CQ102" s="56">
        <v>0</v>
      </c>
      <c r="CR102" s="56">
        <f t="shared" si="40"/>
        <v>0</v>
      </c>
      <c r="CS102" s="56">
        <v>730</v>
      </c>
      <c r="CT102" s="56">
        <v>0</v>
      </c>
      <c r="CU102" s="56">
        <f t="shared" si="41"/>
        <v>730</v>
      </c>
      <c r="CV102" s="56">
        <f t="shared" si="42"/>
        <v>0</v>
      </c>
      <c r="CW102" s="56" t="e">
        <f t="shared" si="43"/>
        <v>#DIV/0!</v>
      </c>
      <c r="CX102" s="57">
        <v>0</v>
      </c>
      <c r="CY102" s="57">
        <v>0</v>
      </c>
      <c r="CZ102" s="57">
        <v>0</v>
      </c>
      <c r="DA102" s="57">
        <f t="shared" si="44"/>
        <v>0</v>
      </c>
      <c r="DB102" s="57">
        <v>600</v>
      </c>
      <c r="DC102" s="57">
        <v>0</v>
      </c>
      <c r="DD102" s="57">
        <f t="shared" si="45"/>
        <v>600</v>
      </c>
      <c r="DE102" s="57">
        <f t="shared" si="46"/>
        <v>0</v>
      </c>
      <c r="DF102" s="57" t="e">
        <f t="shared" si="47"/>
        <v>#DIV/0!</v>
      </c>
    </row>
    <row r="103" spans="1:110" ht="14.25" customHeight="1">
      <c r="A103" s="43"/>
      <c r="B103" s="44"/>
      <c r="C103" s="45">
        <v>0</v>
      </c>
      <c r="D103" s="30">
        <v>0</v>
      </c>
      <c r="E103" s="30">
        <v>0</v>
      </c>
      <c r="F103" s="45">
        <f t="shared" si="0"/>
        <v>0</v>
      </c>
      <c r="G103" s="45">
        <v>900</v>
      </c>
      <c r="H103" s="30">
        <v>0</v>
      </c>
      <c r="I103" s="45">
        <f t="shared" si="1"/>
        <v>900</v>
      </c>
      <c r="J103" s="45">
        <f t="shared" si="2"/>
        <v>0</v>
      </c>
      <c r="K103" s="46" t="e">
        <f t="shared" si="3"/>
        <v>#DIV/0!</v>
      </c>
      <c r="L103" s="47">
        <v>0</v>
      </c>
      <c r="M103" s="32">
        <v>0</v>
      </c>
      <c r="N103" s="32">
        <v>0</v>
      </c>
      <c r="O103" s="47">
        <f t="shared" si="4"/>
        <v>0</v>
      </c>
      <c r="P103" s="47">
        <v>1800</v>
      </c>
      <c r="Q103" s="47">
        <v>0</v>
      </c>
      <c r="R103" s="47">
        <f t="shared" si="5"/>
        <v>1800</v>
      </c>
      <c r="S103" s="47">
        <f t="shared" si="6"/>
        <v>0</v>
      </c>
      <c r="T103" s="47" t="e">
        <f t="shared" si="7"/>
        <v>#DIV/0!</v>
      </c>
      <c r="U103" s="48">
        <v>0</v>
      </c>
      <c r="V103" s="48">
        <v>0</v>
      </c>
      <c r="W103" s="48">
        <v>0</v>
      </c>
      <c r="X103" s="48">
        <f t="shared" si="8"/>
        <v>0</v>
      </c>
      <c r="Y103" s="48">
        <v>910</v>
      </c>
      <c r="Z103" s="33">
        <v>0</v>
      </c>
      <c r="AA103" s="48">
        <f t="shared" si="9"/>
        <v>910</v>
      </c>
      <c r="AB103" s="48">
        <f t="shared" si="10"/>
        <v>0</v>
      </c>
      <c r="AC103" s="48" t="e">
        <f t="shared" si="11"/>
        <v>#DIV/0!</v>
      </c>
      <c r="AD103" s="49">
        <v>0</v>
      </c>
      <c r="AE103" s="49">
        <v>0</v>
      </c>
      <c r="AF103" s="49">
        <v>0</v>
      </c>
      <c r="AG103" s="49">
        <f t="shared" si="12"/>
        <v>0</v>
      </c>
      <c r="AH103" s="49">
        <v>1200</v>
      </c>
      <c r="AI103" s="49">
        <v>0</v>
      </c>
      <c r="AJ103" s="49">
        <f t="shared" si="13"/>
        <v>1200</v>
      </c>
      <c r="AK103" s="49">
        <f t="shared" si="14"/>
        <v>0</v>
      </c>
      <c r="AL103" s="49" t="e">
        <f t="shared" si="15"/>
        <v>#DIV/0!</v>
      </c>
      <c r="AM103" s="50">
        <v>0</v>
      </c>
      <c r="AN103" s="50">
        <v>0</v>
      </c>
      <c r="AO103" s="50">
        <v>0</v>
      </c>
      <c r="AP103" s="50">
        <f t="shared" si="16"/>
        <v>0</v>
      </c>
      <c r="AQ103" s="50">
        <v>600</v>
      </c>
      <c r="AR103" s="50">
        <v>0</v>
      </c>
      <c r="AS103" s="50">
        <f t="shared" si="17"/>
        <v>600</v>
      </c>
      <c r="AT103" s="50">
        <f t="shared" si="18"/>
        <v>0</v>
      </c>
      <c r="AU103" s="50" t="e">
        <f t="shared" si="19"/>
        <v>#DIV/0!</v>
      </c>
      <c r="AV103" s="51">
        <v>0</v>
      </c>
      <c r="AW103" s="36">
        <v>0</v>
      </c>
      <c r="AX103" s="36">
        <v>0</v>
      </c>
      <c r="AY103" s="51">
        <f t="shared" si="20"/>
        <v>0</v>
      </c>
      <c r="AZ103" s="51">
        <v>1500</v>
      </c>
      <c r="BA103" s="51">
        <v>0</v>
      </c>
      <c r="BB103" s="51">
        <f t="shared" si="21"/>
        <v>1500</v>
      </c>
      <c r="BC103" s="51">
        <f t="shared" si="22"/>
        <v>0</v>
      </c>
      <c r="BD103" s="51" t="e">
        <f t="shared" si="23"/>
        <v>#DIV/0!</v>
      </c>
      <c r="BE103" s="52">
        <v>0</v>
      </c>
      <c r="BF103" s="37">
        <v>0</v>
      </c>
      <c r="BG103" s="37">
        <v>0</v>
      </c>
      <c r="BH103" s="37">
        <f t="shared" si="24"/>
        <v>0</v>
      </c>
      <c r="BI103" s="52">
        <v>750</v>
      </c>
      <c r="BJ103" s="37">
        <v>0</v>
      </c>
      <c r="BK103" s="52">
        <f t="shared" si="25"/>
        <v>750</v>
      </c>
      <c r="BL103" s="52">
        <f t="shared" si="26"/>
        <v>0</v>
      </c>
      <c r="BM103" s="52" t="e">
        <f t="shared" si="27"/>
        <v>#DIV/0!</v>
      </c>
      <c r="BN103" s="53">
        <v>0</v>
      </c>
      <c r="BO103" s="38">
        <v>0</v>
      </c>
      <c r="BP103" s="38">
        <v>0</v>
      </c>
      <c r="BQ103" s="53">
        <f t="shared" si="28"/>
        <v>0</v>
      </c>
      <c r="BR103" s="53">
        <v>2450</v>
      </c>
      <c r="BS103" s="38">
        <v>0</v>
      </c>
      <c r="BT103" s="53">
        <f t="shared" si="29"/>
        <v>2450</v>
      </c>
      <c r="BU103" s="53">
        <f t="shared" si="30"/>
        <v>0</v>
      </c>
      <c r="BV103" s="53" t="e">
        <f t="shared" si="31"/>
        <v>#DIV/0!</v>
      </c>
      <c r="BW103" s="54">
        <v>0</v>
      </c>
      <c r="BX103" s="39">
        <v>0</v>
      </c>
      <c r="BY103" s="39">
        <v>0</v>
      </c>
      <c r="BZ103" s="54">
        <f t="shared" si="32"/>
        <v>0</v>
      </c>
      <c r="CA103" s="54">
        <v>750</v>
      </c>
      <c r="CB103" s="54">
        <v>0</v>
      </c>
      <c r="CC103" s="54">
        <f t="shared" si="33"/>
        <v>750</v>
      </c>
      <c r="CD103" s="54">
        <f t="shared" si="34"/>
        <v>0</v>
      </c>
      <c r="CE103" s="54" t="e">
        <f t="shared" si="35"/>
        <v>#DIV/0!</v>
      </c>
      <c r="CF103" s="55">
        <v>0</v>
      </c>
      <c r="CG103" s="55">
        <v>0</v>
      </c>
      <c r="CH103" s="55">
        <v>0</v>
      </c>
      <c r="CI103" s="55">
        <f t="shared" si="36"/>
        <v>0</v>
      </c>
      <c r="CJ103" s="55">
        <v>730</v>
      </c>
      <c r="CK103" s="55">
        <v>0</v>
      </c>
      <c r="CL103" s="55">
        <f t="shared" si="37"/>
        <v>730</v>
      </c>
      <c r="CM103" s="55">
        <f t="shared" si="38"/>
        <v>0</v>
      </c>
      <c r="CN103" s="55" t="e">
        <f t="shared" si="39"/>
        <v>#DIV/0!</v>
      </c>
      <c r="CO103" s="56">
        <v>0</v>
      </c>
      <c r="CP103" s="56">
        <v>0</v>
      </c>
      <c r="CQ103" s="56">
        <v>0</v>
      </c>
      <c r="CR103" s="56">
        <f t="shared" si="40"/>
        <v>0</v>
      </c>
      <c r="CS103" s="56">
        <v>730</v>
      </c>
      <c r="CT103" s="56">
        <v>0</v>
      </c>
      <c r="CU103" s="56">
        <f t="shared" si="41"/>
        <v>730</v>
      </c>
      <c r="CV103" s="56">
        <f t="shared" si="42"/>
        <v>0</v>
      </c>
      <c r="CW103" s="56" t="e">
        <f t="shared" si="43"/>
        <v>#DIV/0!</v>
      </c>
      <c r="CX103" s="57">
        <v>0</v>
      </c>
      <c r="CY103" s="57">
        <v>0</v>
      </c>
      <c r="CZ103" s="57">
        <v>0</v>
      </c>
      <c r="DA103" s="57">
        <f t="shared" si="44"/>
        <v>0</v>
      </c>
      <c r="DB103" s="57">
        <v>600</v>
      </c>
      <c r="DC103" s="57">
        <v>0</v>
      </c>
      <c r="DD103" s="57">
        <f t="shared" si="45"/>
        <v>600</v>
      </c>
      <c r="DE103" s="57">
        <f t="shared" si="46"/>
        <v>0</v>
      </c>
      <c r="DF103" s="57" t="e">
        <f t="shared" si="47"/>
        <v>#DIV/0!</v>
      </c>
    </row>
    <row r="104" spans="1:110" ht="14.25" customHeight="1">
      <c r="A104" s="43"/>
      <c r="B104" s="44"/>
      <c r="C104" s="45">
        <v>0</v>
      </c>
      <c r="D104" s="30">
        <v>0</v>
      </c>
      <c r="E104" s="30">
        <v>0</v>
      </c>
      <c r="F104" s="45">
        <f t="shared" si="0"/>
        <v>0</v>
      </c>
      <c r="G104" s="45">
        <v>900</v>
      </c>
      <c r="H104" s="30">
        <v>0</v>
      </c>
      <c r="I104" s="45">
        <f t="shared" si="1"/>
        <v>900</v>
      </c>
      <c r="J104" s="45">
        <f t="shared" si="2"/>
        <v>0</v>
      </c>
      <c r="K104" s="46" t="e">
        <f t="shared" si="3"/>
        <v>#DIV/0!</v>
      </c>
      <c r="L104" s="47">
        <v>0</v>
      </c>
      <c r="M104" s="32">
        <v>0</v>
      </c>
      <c r="N104" s="32">
        <v>0</v>
      </c>
      <c r="O104" s="47">
        <f t="shared" si="4"/>
        <v>0</v>
      </c>
      <c r="P104" s="47">
        <v>1800</v>
      </c>
      <c r="Q104" s="47">
        <v>0</v>
      </c>
      <c r="R104" s="47">
        <f t="shared" si="5"/>
        <v>1800</v>
      </c>
      <c r="S104" s="47">
        <f t="shared" si="6"/>
        <v>0</v>
      </c>
      <c r="T104" s="47" t="e">
        <f t="shared" si="7"/>
        <v>#DIV/0!</v>
      </c>
      <c r="U104" s="48">
        <v>0</v>
      </c>
      <c r="V104" s="48">
        <v>0</v>
      </c>
      <c r="W104" s="48">
        <v>0</v>
      </c>
      <c r="X104" s="48">
        <f t="shared" si="8"/>
        <v>0</v>
      </c>
      <c r="Y104" s="48">
        <v>910</v>
      </c>
      <c r="Z104" s="33">
        <v>0</v>
      </c>
      <c r="AA104" s="48">
        <f t="shared" si="9"/>
        <v>910</v>
      </c>
      <c r="AB104" s="48">
        <f t="shared" si="10"/>
        <v>0</v>
      </c>
      <c r="AC104" s="48" t="e">
        <f t="shared" si="11"/>
        <v>#DIV/0!</v>
      </c>
      <c r="AD104" s="49">
        <v>0</v>
      </c>
      <c r="AE104" s="49">
        <v>0</v>
      </c>
      <c r="AF104" s="49">
        <v>0</v>
      </c>
      <c r="AG104" s="49">
        <f t="shared" si="12"/>
        <v>0</v>
      </c>
      <c r="AH104" s="49">
        <v>1200</v>
      </c>
      <c r="AI104" s="49">
        <v>0</v>
      </c>
      <c r="AJ104" s="49">
        <f t="shared" si="13"/>
        <v>1200</v>
      </c>
      <c r="AK104" s="49">
        <f t="shared" si="14"/>
        <v>0</v>
      </c>
      <c r="AL104" s="49" t="e">
        <f t="shared" si="15"/>
        <v>#DIV/0!</v>
      </c>
      <c r="AM104" s="50">
        <v>0</v>
      </c>
      <c r="AN104" s="50">
        <v>0</v>
      </c>
      <c r="AO104" s="50">
        <v>0</v>
      </c>
      <c r="AP104" s="50">
        <f t="shared" si="16"/>
        <v>0</v>
      </c>
      <c r="AQ104" s="50">
        <v>600</v>
      </c>
      <c r="AR104" s="50">
        <v>0</v>
      </c>
      <c r="AS104" s="50">
        <f t="shared" si="17"/>
        <v>600</v>
      </c>
      <c r="AT104" s="50">
        <f t="shared" si="18"/>
        <v>0</v>
      </c>
      <c r="AU104" s="50" t="e">
        <f t="shared" si="19"/>
        <v>#DIV/0!</v>
      </c>
      <c r="AV104" s="51">
        <v>0</v>
      </c>
      <c r="AW104" s="36">
        <v>0</v>
      </c>
      <c r="AX104" s="36">
        <v>0</v>
      </c>
      <c r="AY104" s="51">
        <f t="shared" si="20"/>
        <v>0</v>
      </c>
      <c r="AZ104" s="51">
        <v>1500</v>
      </c>
      <c r="BA104" s="51">
        <v>0</v>
      </c>
      <c r="BB104" s="51">
        <f t="shared" si="21"/>
        <v>1500</v>
      </c>
      <c r="BC104" s="51">
        <f t="shared" si="22"/>
        <v>0</v>
      </c>
      <c r="BD104" s="51" t="e">
        <f t="shared" si="23"/>
        <v>#DIV/0!</v>
      </c>
      <c r="BE104" s="52">
        <v>0</v>
      </c>
      <c r="BF104" s="37">
        <v>0</v>
      </c>
      <c r="BG104" s="37">
        <v>0</v>
      </c>
      <c r="BH104" s="37">
        <f t="shared" si="24"/>
        <v>0</v>
      </c>
      <c r="BI104" s="52">
        <v>750</v>
      </c>
      <c r="BJ104" s="37">
        <v>0</v>
      </c>
      <c r="BK104" s="52">
        <f t="shared" si="25"/>
        <v>750</v>
      </c>
      <c r="BL104" s="52">
        <f t="shared" si="26"/>
        <v>0</v>
      </c>
      <c r="BM104" s="52" t="e">
        <f t="shared" si="27"/>
        <v>#DIV/0!</v>
      </c>
      <c r="BN104" s="53">
        <v>0</v>
      </c>
      <c r="BO104" s="38">
        <v>0</v>
      </c>
      <c r="BP104" s="38">
        <v>0</v>
      </c>
      <c r="BQ104" s="53">
        <f t="shared" si="28"/>
        <v>0</v>
      </c>
      <c r="BR104" s="53">
        <v>2450</v>
      </c>
      <c r="BS104" s="38">
        <v>0</v>
      </c>
      <c r="BT104" s="53">
        <f t="shared" si="29"/>
        <v>2450</v>
      </c>
      <c r="BU104" s="53">
        <f t="shared" si="30"/>
        <v>0</v>
      </c>
      <c r="BV104" s="53" t="e">
        <f t="shared" si="31"/>
        <v>#DIV/0!</v>
      </c>
      <c r="BW104" s="54">
        <v>0</v>
      </c>
      <c r="BX104" s="39">
        <v>0</v>
      </c>
      <c r="BY104" s="39">
        <v>0</v>
      </c>
      <c r="BZ104" s="54">
        <f t="shared" si="32"/>
        <v>0</v>
      </c>
      <c r="CA104" s="54">
        <v>750</v>
      </c>
      <c r="CB104" s="54">
        <v>0</v>
      </c>
      <c r="CC104" s="54">
        <f t="shared" si="33"/>
        <v>750</v>
      </c>
      <c r="CD104" s="54">
        <f t="shared" si="34"/>
        <v>0</v>
      </c>
      <c r="CE104" s="54" t="e">
        <f t="shared" si="35"/>
        <v>#DIV/0!</v>
      </c>
      <c r="CF104" s="55">
        <v>0</v>
      </c>
      <c r="CG104" s="55">
        <v>0</v>
      </c>
      <c r="CH104" s="55">
        <v>0</v>
      </c>
      <c r="CI104" s="55">
        <f t="shared" si="36"/>
        <v>0</v>
      </c>
      <c r="CJ104" s="55">
        <v>730</v>
      </c>
      <c r="CK104" s="55">
        <v>0</v>
      </c>
      <c r="CL104" s="55">
        <f t="shared" si="37"/>
        <v>730</v>
      </c>
      <c r="CM104" s="55">
        <f t="shared" si="38"/>
        <v>0</v>
      </c>
      <c r="CN104" s="55" t="e">
        <f t="shared" si="39"/>
        <v>#DIV/0!</v>
      </c>
      <c r="CO104" s="56">
        <v>0</v>
      </c>
      <c r="CP104" s="56">
        <v>0</v>
      </c>
      <c r="CQ104" s="56">
        <v>0</v>
      </c>
      <c r="CR104" s="56">
        <f t="shared" si="40"/>
        <v>0</v>
      </c>
      <c r="CS104" s="56">
        <v>730</v>
      </c>
      <c r="CT104" s="56">
        <v>0</v>
      </c>
      <c r="CU104" s="56">
        <f t="shared" si="41"/>
        <v>730</v>
      </c>
      <c r="CV104" s="56">
        <f t="shared" si="42"/>
        <v>0</v>
      </c>
      <c r="CW104" s="56" t="e">
        <f t="shared" si="43"/>
        <v>#DIV/0!</v>
      </c>
      <c r="CX104" s="57">
        <v>0</v>
      </c>
      <c r="CY104" s="57">
        <v>0</v>
      </c>
      <c r="CZ104" s="57">
        <v>0</v>
      </c>
      <c r="DA104" s="57">
        <f t="shared" si="44"/>
        <v>0</v>
      </c>
      <c r="DB104" s="57">
        <v>600</v>
      </c>
      <c r="DC104" s="57">
        <v>0</v>
      </c>
      <c r="DD104" s="57">
        <f t="shared" si="45"/>
        <v>600</v>
      </c>
      <c r="DE104" s="57">
        <f t="shared" si="46"/>
        <v>0</v>
      </c>
      <c r="DF104" s="57" t="e">
        <f t="shared" si="47"/>
        <v>#DIV/0!</v>
      </c>
    </row>
    <row r="105" spans="1:110" ht="14.25" customHeight="1">
      <c r="A105" s="43"/>
      <c r="B105" s="44"/>
      <c r="C105" s="45">
        <v>0</v>
      </c>
      <c r="D105" s="30">
        <v>0</v>
      </c>
      <c r="E105" s="30">
        <v>0</v>
      </c>
      <c r="F105" s="45">
        <f t="shared" si="0"/>
        <v>0</v>
      </c>
      <c r="G105" s="45">
        <v>900</v>
      </c>
      <c r="H105" s="30">
        <v>0</v>
      </c>
      <c r="I105" s="45">
        <f t="shared" si="1"/>
        <v>900</v>
      </c>
      <c r="J105" s="45">
        <f t="shared" si="2"/>
        <v>0</v>
      </c>
      <c r="K105" s="46" t="e">
        <f t="shared" si="3"/>
        <v>#DIV/0!</v>
      </c>
      <c r="L105" s="47">
        <v>0</v>
      </c>
      <c r="M105" s="32">
        <v>0</v>
      </c>
      <c r="N105" s="32">
        <v>0</v>
      </c>
      <c r="O105" s="47">
        <f t="shared" si="4"/>
        <v>0</v>
      </c>
      <c r="P105" s="47">
        <v>1800</v>
      </c>
      <c r="Q105" s="47">
        <v>0</v>
      </c>
      <c r="R105" s="47">
        <f t="shared" si="5"/>
        <v>1800</v>
      </c>
      <c r="S105" s="47">
        <f t="shared" si="6"/>
        <v>0</v>
      </c>
      <c r="T105" s="47" t="e">
        <f t="shared" si="7"/>
        <v>#DIV/0!</v>
      </c>
      <c r="U105" s="48">
        <v>0</v>
      </c>
      <c r="V105" s="48">
        <v>0</v>
      </c>
      <c r="W105" s="48">
        <v>0</v>
      </c>
      <c r="X105" s="48">
        <f t="shared" si="8"/>
        <v>0</v>
      </c>
      <c r="Y105" s="48">
        <v>910</v>
      </c>
      <c r="Z105" s="33">
        <v>0</v>
      </c>
      <c r="AA105" s="48">
        <f t="shared" si="9"/>
        <v>910</v>
      </c>
      <c r="AB105" s="48">
        <f t="shared" si="10"/>
        <v>0</v>
      </c>
      <c r="AC105" s="48" t="e">
        <f t="shared" si="11"/>
        <v>#DIV/0!</v>
      </c>
      <c r="AD105" s="49">
        <v>0</v>
      </c>
      <c r="AE105" s="49">
        <v>0</v>
      </c>
      <c r="AF105" s="49">
        <v>0</v>
      </c>
      <c r="AG105" s="49">
        <f t="shared" si="12"/>
        <v>0</v>
      </c>
      <c r="AH105" s="49">
        <v>1200</v>
      </c>
      <c r="AI105" s="49">
        <v>0</v>
      </c>
      <c r="AJ105" s="49">
        <f t="shared" si="13"/>
        <v>1200</v>
      </c>
      <c r="AK105" s="49">
        <f t="shared" si="14"/>
        <v>0</v>
      </c>
      <c r="AL105" s="49" t="e">
        <f t="shared" si="15"/>
        <v>#DIV/0!</v>
      </c>
      <c r="AM105" s="50">
        <v>0</v>
      </c>
      <c r="AN105" s="50">
        <v>0</v>
      </c>
      <c r="AO105" s="50">
        <v>0</v>
      </c>
      <c r="AP105" s="50">
        <f t="shared" si="16"/>
        <v>0</v>
      </c>
      <c r="AQ105" s="50">
        <v>600</v>
      </c>
      <c r="AR105" s="50">
        <v>0</v>
      </c>
      <c r="AS105" s="50">
        <f t="shared" si="17"/>
        <v>600</v>
      </c>
      <c r="AT105" s="50">
        <f t="shared" si="18"/>
        <v>0</v>
      </c>
      <c r="AU105" s="50" t="e">
        <f t="shared" si="19"/>
        <v>#DIV/0!</v>
      </c>
      <c r="AV105" s="51">
        <v>0</v>
      </c>
      <c r="AW105" s="36">
        <v>0</v>
      </c>
      <c r="AX105" s="36">
        <v>0</v>
      </c>
      <c r="AY105" s="51">
        <f t="shared" si="20"/>
        <v>0</v>
      </c>
      <c r="AZ105" s="51">
        <v>1500</v>
      </c>
      <c r="BA105" s="51">
        <v>0</v>
      </c>
      <c r="BB105" s="51">
        <f t="shared" si="21"/>
        <v>1500</v>
      </c>
      <c r="BC105" s="51">
        <f t="shared" si="22"/>
        <v>0</v>
      </c>
      <c r="BD105" s="51" t="e">
        <f t="shared" si="23"/>
        <v>#DIV/0!</v>
      </c>
      <c r="BE105" s="52">
        <v>0</v>
      </c>
      <c r="BF105" s="37">
        <v>0</v>
      </c>
      <c r="BG105" s="37">
        <v>0</v>
      </c>
      <c r="BH105" s="37">
        <f t="shared" si="24"/>
        <v>0</v>
      </c>
      <c r="BI105" s="52">
        <v>750</v>
      </c>
      <c r="BJ105" s="37">
        <v>0</v>
      </c>
      <c r="BK105" s="52">
        <f t="shared" si="25"/>
        <v>750</v>
      </c>
      <c r="BL105" s="52">
        <f t="shared" si="26"/>
        <v>0</v>
      </c>
      <c r="BM105" s="52" t="e">
        <f t="shared" si="27"/>
        <v>#DIV/0!</v>
      </c>
      <c r="BN105" s="53">
        <v>0</v>
      </c>
      <c r="BO105" s="38">
        <v>0</v>
      </c>
      <c r="BP105" s="38">
        <v>0</v>
      </c>
      <c r="BQ105" s="53">
        <f t="shared" si="28"/>
        <v>0</v>
      </c>
      <c r="BR105" s="53">
        <v>2450</v>
      </c>
      <c r="BS105" s="38">
        <v>0</v>
      </c>
      <c r="BT105" s="53">
        <f t="shared" si="29"/>
        <v>2450</v>
      </c>
      <c r="BU105" s="53">
        <f t="shared" si="30"/>
        <v>0</v>
      </c>
      <c r="BV105" s="53" t="e">
        <f t="shared" si="31"/>
        <v>#DIV/0!</v>
      </c>
      <c r="BW105" s="54">
        <v>0</v>
      </c>
      <c r="BX105" s="39">
        <v>0</v>
      </c>
      <c r="BY105" s="39">
        <v>0</v>
      </c>
      <c r="BZ105" s="54">
        <f t="shared" si="32"/>
        <v>0</v>
      </c>
      <c r="CA105" s="54">
        <v>750</v>
      </c>
      <c r="CB105" s="54">
        <v>0</v>
      </c>
      <c r="CC105" s="54">
        <f t="shared" si="33"/>
        <v>750</v>
      </c>
      <c r="CD105" s="54">
        <f t="shared" si="34"/>
        <v>0</v>
      </c>
      <c r="CE105" s="54" t="e">
        <f t="shared" si="35"/>
        <v>#DIV/0!</v>
      </c>
      <c r="CF105" s="55">
        <v>0</v>
      </c>
      <c r="CG105" s="55">
        <v>0</v>
      </c>
      <c r="CH105" s="55">
        <v>0</v>
      </c>
      <c r="CI105" s="55">
        <f t="shared" si="36"/>
        <v>0</v>
      </c>
      <c r="CJ105" s="55">
        <v>730</v>
      </c>
      <c r="CK105" s="55">
        <v>0</v>
      </c>
      <c r="CL105" s="55">
        <f t="shared" si="37"/>
        <v>730</v>
      </c>
      <c r="CM105" s="55">
        <f t="shared" si="38"/>
        <v>0</v>
      </c>
      <c r="CN105" s="55" t="e">
        <f t="shared" si="39"/>
        <v>#DIV/0!</v>
      </c>
      <c r="CO105" s="56">
        <v>0</v>
      </c>
      <c r="CP105" s="56">
        <v>0</v>
      </c>
      <c r="CQ105" s="56">
        <v>0</v>
      </c>
      <c r="CR105" s="56">
        <f t="shared" si="40"/>
        <v>0</v>
      </c>
      <c r="CS105" s="56">
        <v>730</v>
      </c>
      <c r="CT105" s="56">
        <v>0</v>
      </c>
      <c r="CU105" s="56">
        <f t="shared" si="41"/>
        <v>730</v>
      </c>
      <c r="CV105" s="56">
        <f t="shared" si="42"/>
        <v>0</v>
      </c>
      <c r="CW105" s="56" t="e">
        <f t="shared" si="43"/>
        <v>#DIV/0!</v>
      </c>
      <c r="CX105" s="57">
        <v>0</v>
      </c>
      <c r="CY105" s="57">
        <v>0</v>
      </c>
      <c r="CZ105" s="57">
        <v>0</v>
      </c>
      <c r="DA105" s="57">
        <f t="shared" si="44"/>
        <v>0</v>
      </c>
      <c r="DB105" s="57">
        <v>600</v>
      </c>
      <c r="DC105" s="57">
        <v>0</v>
      </c>
      <c r="DD105" s="57">
        <f t="shared" si="45"/>
        <v>600</v>
      </c>
      <c r="DE105" s="57">
        <f t="shared" si="46"/>
        <v>0</v>
      </c>
      <c r="DF105" s="57" t="e">
        <f t="shared" si="47"/>
        <v>#DIV/0!</v>
      </c>
    </row>
    <row r="106" spans="1:110" ht="14.25" customHeight="1">
      <c r="A106" s="43"/>
      <c r="B106" s="44"/>
      <c r="C106" s="45">
        <v>0</v>
      </c>
      <c r="D106" s="30">
        <v>0</v>
      </c>
      <c r="E106" s="30">
        <v>0</v>
      </c>
      <c r="F106" s="45">
        <f t="shared" si="0"/>
        <v>0</v>
      </c>
      <c r="G106" s="45">
        <v>900</v>
      </c>
      <c r="H106" s="30">
        <v>0</v>
      </c>
      <c r="I106" s="45">
        <f t="shared" si="1"/>
        <v>900</v>
      </c>
      <c r="J106" s="45">
        <f t="shared" si="2"/>
        <v>0</v>
      </c>
      <c r="K106" s="46" t="e">
        <f t="shared" si="3"/>
        <v>#DIV/0!</v>
      </c>
      <c r="L106" s="47">
        <v>0</v>
      </c>
      <c r="M106" s="32">
        <v>0</v>
      </c>
      <c r="N106" s="32">
        <v>0</v>
      </c>
      <c r="O106" s="47">
        <f t="shared" si="4"/>
        <v>0</v>
      </c>
      <c r="P106" s="47">
        <v>1800</v>
      </c>
      <c r="Q106" s="47">
        <v>0</v>
      </c>
      <c r="R106" s="47">
        <f t="shared" si="5"/>
        <v>1800</v>
      </c>
      <c r="S106" s="47">
        <f t="shared" si="6"/>
        <v>0</v>
      </c>
      <c r="T106" s="47" t="e">
        <f t="shared" si="7"/>
        <v>#DIV/0!</v>
      </c>
      <c r="U106" s="48">
        <v>0</v>
      </c>
      <c r="V106" s="48">
        <v>0</v>
      </c>
      <c r="W106" s="48">
        <v>0</v>
      </c>
      <c r="X106" s="48">
        <f t="shared" si="8"/>
        <v>0</v>
      </c>
      <c r="Y106" s="48">
        <v>910</v>
      </c>
      <c r="Z106" s="33">
        <v>0</v>
      </c>
      <c r="AA106" s="48">
        <f t="shared" si="9"/>
        <v>910</v>
      </c>
      <c r="AB106" s="48">
        <f t="shared" si="10"/>
        <v>0</v>
      </c>
      <c r="AC106" s="48" t="e">
        <f t="shared" si="11"/>
        <v>#DIV/0!</v>
      </c>
      <c r="AD106" s="49">
        <v>0</v>
      </c>
      <c r="AE106" s="49">
        <v>0</v>
      </c>
      <c r="AF106" s="49">
        <v>0</v>
      </c>
      <c r="AG106" s="49">
        <f t="shared" si="12"/>
        <v>0</v>
      </c>
      <c r="AH106" s="49">
        <v>1200</v>
      </c>
      <c r="AI106" s="49">
        <v>0</v>
      </c>
      <c r="AJ106" s="49">
        <f t="shared" si="13"/>
        <v>1200</v>
      </c>
      <c r="AK106" s="49">
        <f t="shared" si="14"/>
        <v>0</v>
      </c>
      <c r="AL106" s="49" t="e">
        <f t="shared" si="15"/>
        <v>#DIV/0!</v>
      </c>
      <c r="AM106" s="50">
        <v>0</v>
      </c>
      <c r="AN106" s="50">
        <v>0</v>
      </c>
      <c r="AO106" s="50">
        <v>0</v>
      </c>
      <c r="AP106" s="50">
        <f t="shared" si="16"/>
        <v>0</v>
      </c>
      <c r="AQ106" s="50">
        <v>600</v>
      </c>
      <c r="AR106" s="50">
        <v>0</v>
      </c>
      <c r="AS106" s="50">
        <f t="shared" si="17"/>
        <v>600</v>
      </c>
      <c r="AT106" s="50">
        <f t="shared" si="18"/>
        <v>0</v>
      </c>
      <c r="AU106" s="50" t="e">
        <f t="shared" si="19"/>
        <v>#DIV/0!</v>
      </c>
      <c r="AV106" s="51">
        <v>0</v>
      </c>
      <c r="AW106" s="36">
        <v>0</v>
      </c>
      <c r="AX106" s="36">
        <v>0</v>
      </c>
      <c r="AY106" s="51">
        <f t="shared" si="20"/>
        <v>0</v>
      </c>
      <c r="AZ106" s="51">
        <v>1500</v>
      </c>
      <c r="BA106" s="51">
        <v>0</v>
      </c>
      <c r="BB106" s="51">
        <f t="shared" si="21"/>
        <v>1500</v>
      </c>
      <c r="BC106" s="51">
        <f t="shared" si="22"/>
        <v>0</v>
      </c>
      <c r="BD106" s="51" t="e">
        <f t="shared" si="23"/>
        <v>#DIV/0!</v>
      </c>
      <c r="BE106" s="52">
        <v>0</v>
      </c>
      <c r="BF106" s="37">
        <v>0</v>
      </c>
      <c r="BG106" s="37">
        <v>0</v>
      </c>
      <c r="BH106" s="37">
        <f t="shared" si="24"/>
        <v>0</v>
      </c>
      <c r="BI106" s="52">
        <v>750</v>
      </c>
      <c r="BJ106" s="37">
        <v>0</v>
      </c>
      <c r="BK106" s="52">
        <f t="shared" si="25"/>
        <v>750</v>
      </c>
      <c r="BL106" s="52">
        <f t="shared" si="26"/>
        <v>0</v>
      </c>
      <c r="BM106" s="52" t="e">
        <f t="shared" si="27"/>
        <v>#DIV/0!</v>
      </c>
      <c r="BN106" s="53">
        <v>0</v>
      </c>
      <c r="BO106" s="38">
        <v>0</v>
      </c>
      <c r="BP106" s="38">
        <v>0</v>
      </c>
      <c r="BQ106" s="53">
        <f t="shared" si="28"/>
        <v>0</v>
      </c>
      <c r="BR106" s="53">
        <v>2450</v>
      </c>
      <c r="BS106" s="38">
        <v>0</v>
      </c>
      <c r="BT106" s="53">
        <f t="shared" si="29"/>
        <v>2450</v>
      </c>
      <c r="BU106" s="53">
        <f t="shared" si="30"/>
        <v>0</v>
      </c>
      <c r="BV106" s="53" t="e">
        <f t="shared" si="31"/>
        <v>#DIV/0!</v>
      </c>
      <c r="BW106" s="54">
        <v>0</v>
      </c>
      <c r="BX106" s="39">
        <v>0</v>
      </c>
      <c r="BY106" s="39">
        <v>0</v>
      </c>
      <c r="BZ106" s="54">
        <f t="shared" si="32"/>
        <v>0</v>
      </c>
      <c r="CA106" s="54">
        <v>750</v>
      </c>
      <c r="CB106" s="54">
        <v>0</v>
      </c>
      <c r="CC106" s="54">
        <f t="shared" si="33"/>
        <v>750</v>
      </c>
      <c r="CD106" s="54">
        <f t="shared" si="34"/>
        <v>0</v>
      </c>
      <c r="CE106" s="54" t="e">
        <f t="shared" si="35"/>
        <v>#DIV/0!</v>
      </c>
      <c r="CF106" s="55">
        <v>0</v>
      </c>
      <c r="CG106" s="55">
        <v>0</v>
      </c>
      <c r="CH106" s="55">
        <v>0</v>
      </c>
      <c r="CI106" s="55">
        <f t="shared" si="36"/>
        <v>0</v>
      </c>
      <c r="CJ106" s="55">
        <v>730</v>
      </c>
      <c r="CK106" s="55">
        <v>0</v>
      </c>
      <c r="CL106" s="55">
        <f t="shared" si="37"/>
        <v>730</v>
      </c>
      <c r="CM106" s="55">
        <f t="shared" si="38"/>
        <v>0</v>
      </c>
      <c r="CN106" s="55" t="e">
        <f t="shared" si="39"/>
        <v>#DIV/0!</v>
      </c>
      <c r="CO106" s="56">
        <v>0</v>
      </c>
      <c r="CP106" s="56">
        <v>0</v>
      </c>
      <c r="CQ106" s="56">
        <v>0</v>
      </c>
      <c r="CR106" s="56">
        <f t="shared" si="40"/>
        <v>0</v>
      </c>
      <c r="CS106" s="56">
        <v>730</v>
      </c>
      <c r="CT106" s="56">
        <v>0</v>
      </c>
      <c r="CU106" s="56">
        <f t="shared" si="41"/>
        <v>730</v>
      </c>
      <c r="CV106" s="56">
        <f t="shared" si="42"/>
        <v>0</v>
      </c>
      <c r="CW106" s="56" t="e">
        <f t="shared" si="43"/>
        <v>#DIV/0!</v>
      </c>
      <c r="CX106" s="57">
        <v>0</v>
      </c>
      <c r="CY106" s="57">
        <v>0</v>
      </c>
      <c r="CZ106" s="57">
        <v>0</v>
      </c>
      <c r="DA106" s="57">
        <f t="shared" si="44"/>
        <v>0</v>
      </c>
      <c r="DB106" s="57">
        <v>600</v>
      </c>
      <c r="DC106" s="57">
        <v>0</v>
      </c>
      <c r="DD106" s="57">
        <f t="shared" si="45"/>
        <v>600</v>
      </c>
      <c r="DE106" s="57">
        <f t="shared" si="46"/>
        <v>0</v>
      </c>
      <c r="DF106" s="57" t="e">
        <f t="shared" si="47"/>
        <v>#DIV/0!</v>
      </c>
    </row>
    <row r="107" spans="1:110" ht="14.25" customHeight="1">
      <c r="A107" s="43"/>
      <c r="B107" s="44"/>
      <c r="C107" s="45">
        <v>0</v>
      </c>
      <c r="D107" s="30">
        <v>0</v>
      </c>
      <c r="E107" s="30">
        <v>0</v>
      </c>
      <c r="F107" s="45">
        <f t="shared" si="0"/>
        <v>0</v>
      </c>
      <c r="G107" s="45">
        <v>900</v>
      </c>
      <c r="H107" s="30">
        <v>0</v>
      </c>
      <c r="I107" s="45">
        <f t="shared" si="1"/>
        <v>900</v>
      </c>
      <c r="J107" s="45">
        <f t="shared" si="2"/>
        <v>0</v>
      </c>
      <c r="K107" s="46" t="e">
        <f t="shared" si="3"/>
        <v>#DIV/0!</v>
      </c>
      <c r="L107" s="47">
        <v>0</v>
      </c>
      <c r="M107" s="32">
        <v>0</v>
      </c>
      <c r="N107" s="32">
        <v>0</v>
      </c>
      <c r="O107" s="47">
        <f t="shared" si="4"/>
        <v>0</v>
      </c>
      <c r="P107" s="47">
        <v>1800</v>
      </c>
      <c r="Q107" s="47">
        <v>0</v>
      </c>
      <c r="R107" s="47">
        <f t="shared" si="5"/>
        <v>1800</v>
      </c>
      <c r="S107" s="47">
        <f t="shared" si="6"/>
        <v>0</v>
      </c>
      <c r="T107" s="47" t="e">
        <f t="shared" si="7"/>
        <v>#DIV/0!</v>
      </c>
      <c r="U107" s="48">
        <v>0</v>
      </c>
      <c r="V107" s="48">
        <v>0</v>
      </c>
      <c r="W107" s="48">
        <v>0</v>
      </c>
      <c r="X107" s="48">
        <f t="shared" si="8"/>
        <v>0</v>
      </c>
      <c r="Y107" s="48">
        <v>910</v>
      </c>
      <c r="Z107" s="33">
        <v>0</v>
      </c>
      <c r="AA107" s="48">
        <f t="shared" si="9"/>
        <v>910</v>
      </c>
      <c r="AB107" s="48">
        <f t="shared" si="10"/>
        <v>0</v>
      </c>
      <c r="AC107" s="48" t="e">
        <f t="shared" si="11"/>
        <v>#DIV/0!</v>
      </c>
      <c r="AD107" s="49">
        <v>0</v>
      </c>
      <c r="AE107" s="49">
        <v>0</v>
      </c>
      <c r="AF107" s="49">
        <v>0</v>
      </c>
      <c r="AG107" s="49">
        <f t="shared" si="12"/>
        <v>0</v>
      </c>
      <c r="AH107" s="49">
        <v>1200</v>
      </c>
      <c r="AI107" s="49">
        <v>0</v>
      </c>
      <c r="AJ107" s="49">
        <f t="shared" si="13"/>
        <v>1200</v>
      </c>
      <c r="AK107" s="49">
        <f t="shared" si="14"/>
        <v>0</v>
      </c>
      <c r="AL107" s="49" t="e">
        <f t="shared" si="15"/>
        <v>#DIV/0!</v>
      </c>
      <c r="AM107" s="50">
        <v>0</v>
      </c>
      <c r="AN107" s="50">
        <v>0</v>
      </c>
      <c r="AO107" s="50">
        <v>0</v>
      </c>
      <c r="AP107" s="50">
        <f t="shared" si="16"/>
        <v>0</v>
      </c>
      <c r="AQ107" s="50">
        <v>600</v>
      </c>
      <c r="AR107" s="50">
        <v>0</v>
      </c>
      <c r="AS107" s="50">
        <f t="shared" si="17"/>
        <v>600</v>
      </c>
      <c r="AT107" s="50">
        <f t="shared" si="18"/>
        <v>0</v>
      </c>
      <c r="AU107" s="50" t="e">
        <f t="shared" si="19"/>
        <v>#DIV/0!</v>
      </c>
      <c r="AV107" s="51">
        <v>0</v>
      </c>
      <c r="AW107" s="36">
        <v>0</v>
      </c>
      <c r="AX107" s="36">
        <v>0</v>
      </c>
      <c r="AY107" s="51">
        <f t="shared" si="20"/>
        <v>0</v>
      </c>
      <c r="AZ107" s="51">
        <v>1500</v>
      </c>
      <c r="BA107" s="51">
        <v>0</v>
      </c>
      <c r="BB107" s="51">
        <f t="shared" si="21"/>
        <v>1500</v>
      </c>
      <c r="BC107" s="51">
        <f t="shared" si="22"/>
        <v>0</v>
      </c>
      <c r="BD107" s="51" t="e">
        <f t="shared" si="23"/>
        <v>#DIV/0!</v>
      </c>
      <c r="BE107" s="52">
        <v>0</v>
      </c>
      <c r="BF107" s="37">
        <v>0</v>
      </c>
      <c r="BG107" s="37">
        <v>0</v>
      </c>
      <c r="BH107" s="37">
        <f t="shared" si="24"/>
        <v>0</v>
      </c>
      <c r="BI107" s="52">
        <v>750</v>
      </c>
      <c r="BJ107" s="37">
        <v>0</v>
      </c>
      <c r="BK107" s="52">
        <f t="shared" si="25"/>
        <v>750</v>
      </c>
      <c r="BL107" s="52">
        <f t="shared" si="26"/>
        <v>0</v>
      </c>
      <c r="BM107" s="52" t="e">
        <f t="shared" si="27"/>
        <v>#DIV/0!</v>
      </c>
      <c r="BN107" s="53">
        <v>0</v>
      </c>
      <c r="BO107" s="38">
        <v>0</v>
      </c>
      <c r="BP107" s="38">
        <v>0</v>
      </c>
      <c r="BQ107" s="53">
        <f t="shared" si="28"/>
        <v>0</v>
      </c>
      <c r="BR107" s="53">
        <v>2450</v>
      </c>
      <c r="BS107" s="38">
        <v>0</v>
      </c>
      <c r="BT107" s="53">
        <f t="shared" si="29"/>
        <v>2450</v>
      </c>
      <c r="BU107" s="53">
        <f t="shared" si="30"/>
        <v>0</v>
      </c>
      <c r="BV107" s="53" t="e">
        <f t="shared" si="31"/>
        <v>#DIV/0!</v>
      </c>
      <c r="BW107" s="54">
        <v>0</v>
      </c>
      <c r="BX107" s="39">
        <v>0</v>
      </c>
      <c r="BY107" s="39">
        <v>0</v>
      </c>
      <c r="BZ107" s="54">
        <f t="shared" si="32"/>
        <v>0</v>
      </c>
      <c r="CA107" s="54">
        <v>750</v>
      </c>
      <c r="CB107" s="54">
        <v>0</v>
      </c>
      <c r="CC107" s="54">
        <f t="shared" si="33"/>
        <v>750</v>
      </c>
      <c r="CD107" s="54">
        <f t="shared" si="34"/>
        <v>0</v>
      </c>
      <c r="CE107" s="54" t="e">
        <f t="shared" si="35"/>
        <v>#DIV/0!</v>
      </c>
      <c r="CF107" s="55">
        <v>0</v>
      </c>
      <c r="CG107" s="55">
        <v>0</v>
      </c>
      <c r="CH107" s="55">
        <v>0</v>
      </c>
      <c r="CI107" s="55">
        <f t="shared" si="36"/>
        <v>0</v>
      </c>
      <c r="CJ107" s="55">
        <v>730</v>
      </c>
      <c r="CK107" s="55">
        <v>0</v>
      </c>
      <c r="CL107" s="55">
        <f t="shared" si="37"/>
        <v>730</v>
      </c>
      <c r="CM107" s="55">
        <f t="shared" si="38"/>
        <v>0</v>
      </c>
      <c r="CN107" s="55" t="e">
        <f t="shared" si="39"/>
        <v>#DIV/0!</v>
      </c>
      <c r="CO107" s="56">
        <v>0</v>
      </c>
      <c r="CP107" s="56">
        <v>0</v>
      </c>
      <c r="CQ107" s="56">
        <v>0</v>
      </c>
      <c r="CR107" s="56">
        <f t="shared" si="40"/>
        <v>0</v>
      </c>
      <c r="CS107" s="56">
        <v>730</v>
      </c>
      <c r="CT107" s="56">
        <v>0</v>
      </c>
      <c r="CU107" s="56">
        <f t="shared" si="41"/>
        <v>730</v>
      </c>
      <c r="CV107" s="56">
        <f t="shared" si="42"/>
        <v>0</v>
      </c>
      <c r="CW107" s="56" t="e">
        <f t="shared" si="43"/>
        <v>#DIV/0!</v>
      </c>
      <c r="CX107" s="57">
        <v>0</v>
      </c>
      <c r="CY107" s="57">
        <v>0</v>
      </c>
      <c r="CZ107" s="57">
        <v>0</v>
      </c>
      <c r="DA107" s="57">
        <f t="shared" si="44"/>
        <v>0</v>
      </c>
      <c r="DB107" s="57">
        <v>600</v>
      </c>
      <c r="DC107" s="57">
        <v>0</v>
      </c>
      <c r="DD107" s="57">
        <f t="shared" si="45"/>
        <v>600</v>
      </c>
      <c r="DE107" s="57">
        <f t="shared" si="46"/>
        <v>0</v>
      </c>
      <c r="DF107" s="57" t="e">
        <f t="shared" si="47"/>
        <v>#DIV/0!</v>
      </c>
    </row>
    <row r="108" spans="1:110" ht="14.25" customHeight="1">
      <c r="A108" s="43"/>
      <c r="B108" s="44"/>
      <c r="C108" s="45">
        <v>0</v>
      </c>
      <c r="D108" s="30">
        <v>0</v>
      </c>
      <c r="E108" s="30">
        <v>0</v>
      </c>
      <c r="F108" s="45">
        <f t="shared" si="0"/>
        <v>0</v>
      </c>
      <c r="G108" s="45">
        <v>900</v>
      </c>
      <c r="H108" s="30">
        <v>0</v>
      </c>
      <c r="I108" s="45">
        <f t="shared" si="1"/>
        <v>900</v>
      </c>
      <c r="J108" s="45">
        <f t="shared" si="2"/>
        <v>0</v>
      </c>
      <c r="K108" s="46" t="e">
        <f t="shared" si="3"/>
        <v>#DIV/0!</v>
      </c>
      <c r="L108" s="47">
        <v>0</v>
      </c>
      <c r="M108" s="32">
        <v>0</v>
      </c>
      <c r="N108" s="32">
        <v>0</v>
      </c>
      <c r="O108" s="47">
        <f t="shared" si="4"/>
        <v>0</v>
      </c>
      <c r="P108" s="47">
        <v>1800</v>
      </c>
      <c r="Q108" s="47">
        <v>0</v>
      </c>
      <c r="R108" s="47">
        <f t="shared" si="5"/>
        <v>1800</v>
      </c>
      <c r="S108" s="47">
        <f t="shared" si="6"/>
        <v>0</v>
      </c>
      <c r="T108" s="47" t="e">
        <f t="shared" si="7"/>
        <v>#DIV/0!</v>
      </c>
      <c r="U108" s="48">
        <v>0</v>
      </c>
      <c r="V108" s="48">
        <v>0</v>
      </c>
      <c r="W108" s="48">
        <v>0</v>
      </c>
      <c r="X108" s="48">
        <f t="shared" si="8"/>
        <v>0</v>
      </c>
      <c r="Y108" s="48">
        <v>910</v>
      </c>
      <c r="Z108" s="33">
        <v>0</v>
      </c>
      <c r="AA108" s="48">
        <f t="shared" si="9"/>
        <v>910</v>
      </c>
      <c r="AB108" s="48">
        <f t="shared" si="10"/>
        <v>0</v>
      </c>
      <c r="AC108" s="48" t="e">
        <f t="shared" si="11"/>
        <v>#DIV/0!</v>
      </c>
      <c r="AD108" s="49">
        <v>0</v>
      </c>
      <c r="AE108" s="49">
        <v>0</v>
      </c>
      <c r="AF108" s="49">
        <v>0</v>
      </c>
      <c r="AG108" s="49">
        <f t="shared" si="12"/>
        <v>0</v>
      </c>
      <c r="AH108" s="49">
        <v>1200</v>
      </c>
      <c r="AI108" s="49">
        <v>0</v>
      </c>
      <c r="AJ108" s="49">
        <f t="shared" si="13"/>
        <v>1200</v>
      </c>
      <c r="AK108" s="49">
        <f t="shared" si="14"/>
        <v>0</v>
      </c>
      <c r="AL108" s="49" t="e">
        <f t="shared" si="15"/>
        <v>#DIV/0!</v>
      </c>
      <c r="AM108" s="50">
        <v>0</v>
      </c>
      <c r="AN108" s="50">
        <v>0</v>
      </c>
      <c r="AO108" s="50">
        <v>0</v>
      </c>
      <c r="AP108" s="50">
        <f t="shared" si="16"/>
        <v>0</v>
      </c>
      <c r="AQ108" s="50">
        <v>600</v>
      </c>
      <c r="AR108" s="50">
        <v>0</v>
      </c>
      <c r="AS108" s="50">
        <f t="shared" si="17"/>
        <v>600</v>
      </c>
      <c r="AT108" s="50">
        <f t="shared" si="18"/>
        <v>0</v>
      </c>
      <c r="AU108" s="50" t="e">
        <f t="shared" si="19"/>
        <v>#DIV/0!</v>
      </c>
      <c r="AV108" s="51">
        <v>0</v>
      </c>
      <c r="AW108" s="36">
        <v>0</v>
      </c>
      <c r="AX108" s="36">
        <v>0</v>
      </c>
      <c r="AY108" s="51">
        <f t="shared" si="20"/>
        <v>0</v>
      </c>
      <c r="AZ108" s="51">
        <v>1500</v>
      </c>
      <c r="BA108" s="51">
        <v>0</v>
      </c>
      <c r="BB108" s="51">
        <f t="shared" si="21"/>
        <v>1500</v>
      </c>
      <c r="BC108" s="51">
        <f t="shared" si="22"/>
        <v>0</v>
      </c>
      <c r="BD108" s="51" t="e">
        <f t="shared" si="23"/>
        <v>#DIV/0!</v>
      </c>
      <c r="BE108" s="52">
        <v>0</v>
      </c>
      <c r="BF108" s="37">
        <v>0</v>
      </c>
      <c r="BG108" s="37">
        <v>0</v>
      </c>
      <c r="BH108" s="37">
        <f t="shared" si="24"/>
        <v>0</v>
      </c>
      <c r="BI108" s="52">
        <v>750</v>
      </c>
      <c r="BJ108" s="37">
        <v>0</v>
      </c>
      <c r="BK108" s="52">
        <f t="shared" si="25"/>
        <v>750</v>
      </c>
      <c r="BL108" s="52">
        <f t="shared" si="26"/>
        <v>0</v>
      </c>
      <c r="BM108" s="52" t="e">
        <f t="shared" si="27"/>
        <v>#DIV/0!</v>
      </c>
      <c r="BN108" s="53">
        <v>0</v>
      </c>
      <c r="BO108" s="38">
        <v>0</v>
      </c>
      <c r="BP108" s="38">
        <v>0</v>
      </c>
      <c r="BQ108" s="53">
        <f t="shared" si="28"/>
        <v>0</v>
      </c>
      <c r="BR108" s="53">
        <v>2450</v>
      </c>
      <c r="BS108" s="38">
        <v>0</v>
      </c>
      <c r="BT108" s="53">
        <f t="shared" si="29"/>
        <v>2450</v>
      </c>
      <c r="BU108" s="53">
        <f t="shared" si="30"/>
        <v>0</v>
      </c>
      <c r="BV108" s="53" t="e">
        <f t="shared" si="31"/>
        <v>#DIV/0!</v>
      </c>
      <c r="BW108" s="54">
        <v>0</v>
      </c>
      <c r="BX108" s="39">
        <v>0</v>
      </c>
      <c r="BY108" s="39">
        <v>0</v>
      </c>
      <c r="BZ108" s="54">
        <f t="shared" si="32"/>
        <v>0</v>
      </c>
      <c r="CA108" s="54">
        <v>750</v>
      </c>
      <c r="CB108" s="54">
        <v>0</v>
      </c>
      <c r="CC108" s="54">
        <f t="shared" si="33"/>
        <v>750</v>
      </c>
      <c r="CD108" s="54">
        <f t="shared" si="34"/>
        <v>0</v>
      </c>
      <c r="CE108" s="54" t="e">
        <f t="shared" si="35"/>
        <v>#DIV/0!</v>
      </c>
      <c r="CF108" s="55">
        <v>0</v>
      </c>
      <c r="CG108" s="55">
        <v>0</v>
      </c>
      <c r="CH108" s="55">
        <v>0</v>
      </c>
      <c r="CI108" s="55">
        <f t="shared" si="36"/>
        <v>0</v>
      </c>
      <c r="CJ108" s="55">
        <v>730</v>
      </c>
      <c r="CK108" s="55">
        <v>0</v>
      </c>
      <c r="CL108" s="55">
        <f t="shared" si="37"/>
        <v>730</v>
      </c>
      <c r="CM108" s="55">
        <f t="shared" si="38"/>
        <v>0</v>
      </c>
      <c r="CN108" s="55" t="e">
        <f t="shared" si="39"/>
        <v>#DIV/0!</v>
      </c>
      <c r="CO108" s="56">
        <v>0</v>
      </c>
      <c r="CP108" s="56">
        <v>0</v>
      </c>
      <c r="CQ108" s="56">
        <v>0</v>
      </c>
      <c r="CR108" s="56">
        <f t="shared" si="40"/>
        <v>0</v>
      </c>
      <c r="CS108" s="56">
        <v>730</v>
      </c>
      <c r="CT108" s="56">
        <v>0</v>
      </c>
      <c r="CU108" s="56">
        <f t="shared" si="41"/>
        <v>730</v>
      </c>
      <c r="CV108" s="56">
        <f t="shared" si="42"/>
        <v>0</v>
      </c>
      <c r="CW108" s="56" t="e">
        <f t="shared" si="43"/>
        <v>#DIV/0!</v>
      </c>
      <c r="CX108" s="57">
        <v>0</v>
      </c>
      <c r="CY108" s="57">
        <v>0</v>
      </c>
      <c r="CZ108" s="57">
        <v>0</v>
      </c>
      <c r="DA108" s="57">
        <f t="shared" si="44"/>
        <v>0</v>
      </c>
      <c r="DB108" s="57">
        <v>600</v>
      </c>
      <c r="DC108" s="57">
        <v>0</v>
      </c>
      <c r="DD108" s="57">
        <f t="shared" si="45"/>
        <v>600</v>
      </c>
      <c r="DE108" s="57">
        <f t="shared" si="46"/>
        <v>0</v>
      </c>
      <c r="DF108" s="57" t="e">
        <f t="shared" si="47"/>
        <v>#DIV/0!</v>
      </c>
    </row>
    <row r="109" spans="1:110" ht="14.25" customHeight="1">
      <c r="A109" s="43"/>
      <c r="B109" s="44"/>
      <c r="C109" s="45">
        <v>0</v>
      </c>
      <c r="D109" s="30">
        <v>0</v>
      </c>
      <c r="E109" s="30">
        <v>0</v>
      </c>
      <c r="F109" s="45">
        <f t="shared" si="0"/>
        <v>0</v>
      </c>
      <c r="G109" s="45">
        <v>900</v>
      </c>
      <c r="H109" s="30">
        <v>0</v>
      </c>
      <c r="I109" s="45">
        <f t="shared" si="1"/>
        <v>900</v>
      </c>
      <c r="J109" s="45">
        <f t="shared" si="2"/>
        <v>0</v>
      </c>
      <c r="K109" s="46" t="e">
        <f t="shared" si="3"/>
        <v>#DIV/0!</v>
      </c>
      <c r="L109" s="47">
        <v>0</v>
      </c>
      <c r="M109" s="32">
        <v>0</v>
      </c>
      <c r="N109" s="32">
        <v>0</v>
      </c>
      <c r="O109" s="47">
        <f t="shared" si="4"/>
        <v>0</v>
      </c>
      <c r="P109" s="47">
        <v>1800</v>
      </c>
      <c r="Q109" s="47">
        <v>0</v>
      </c>
      <c r="R109" s="47">
        <f t="shared" si="5"/>
        <v>1800</v>
      </c>
      <c r="S109" s="47">
        <f t="shared" si="6"/>
        <v>0</v>
      </c>
      <c r="T109" s="47" t="e">
        <f t="shared" si="7"/>
        <v>#DIV/0!</v>
      </c>
      <c r="U109" s="48">
        <v>0</v>
      </c>
      <c r="V109" s="48">
        <v>0</v>
      </c>
      <c r="W109" s="48">
        <v>0</v>
      </c>
      <c r="X109" s="48">
        <f t="shared" si="8"/>
        <v>0</v>
      </c>
      <c r="Y109" s="48">
        <v>910</v>
      </c>
      <c r="Z109" s="33">
        <v>0</v>
      </c>
      <c r="AA109" s="48">
        <f t="shared" si="9"/>
        <v>910</v>
      </c>
      <c r="AB109" s="48">
        <f t="shared" si="10"/>
        <v>0</v>
      </c>
      <c r="AC109" s="48" t="e">
        <f t="shared" si="11"/>
        <v>#DIV/0!</v>
      </c>
      <c r="AD109" s="49">
        <v>0</v>
      </c>
      <c r="AE109" s="49">
        <v>0</v>
      </c>
      <c r="AF109" s="49">
        <v>0</v>
      </c>
      <c r="AG109" s="49">
        <f t="shared" si="12"/>
        <v>0</v>
      </c>
      <c r="AH109" s="49">
        <v>1200</v>
      </c>
      <c r="AI109" s="49">
        <v>0</v>
      </c>
      <c r="AJ109" s="49">
        <f t="shared" si="13"/>
        <v>1200</v>
      </c>
      <c r="AK109" s="49">
        <f t="shared" si="14"/>
        <v>0</v>
      </c>
      <c r="AL109" s="49" t="e">
        <f t="shared" si="15"/>
        <v>#DIV/0!</v>
      </c>
      <c r="AM109" s="50">
        <v>0</v>
      </c>
      <c r="AN109" s="50">
        <v>0</v>
      </c>
      <c r="AO109" s="50">
        <v>0</v>
      </c>
      <c r="AP109" s="50">
        <f t="shared" si="16"/>
        <v>0</v>
      </c>
      <c r="AQ109" s="50">
        <v>600</v>
      </c>
      <c r="AR109" s="50">
        <v>0</v>
      </c>
      <c r="AS109" s="50">
        <f t="shared" si="17"/>
        <v>600</v>
      </c>
      <c r="AT109" s="50">
        <f t="shared" si="18"/>
        <v>0</v>
      </c>
      <c r="AU109" s="50" t="e">
        <f t="shared" si="19"/>
        <v>#DIV/0!</v>
      </c>
      <c r="AV109" s="51">
        <v>0</v>
      </c>
      <c r="AW109" s="36">
        <v>0</v>
      </c>
      <c r="AX109" s="36">
        <v>0</v>
      </c>
      <c r="AY109" s="51">
        <f t="shared" si="20"/>
        <v>0</v>
      </c>
      <c r="AZ109" s="51">
        <v>1500</v>
      </c>
      <c r="BA109" s="51">
        <v>0</v>
      </c>
      <c r="BB109" s="51">
        <f t="shared" si="21"/>
        <v>1500</v>
      </c>
      <c r="BC109" s="51">
        <f t="shared" si="22"/>
        <v>0</v>
      </c>
      <c r="BD109" s="51" t="e">
        <f t="shared" si="23"/>
        <v>#DIV/0!</v>
      </c>
      <c r="BE109" s="52">
        <v>0</v>
      </c>
      <c r="BF109" s="37">
        <v>0</v>
      </c>
      <c r="BG109" s="37">
        <v>0</v>
      </c>
      <c r="BH109" s="37">
        <f t="shared" si="24"/>
        <v>0</v>
      </c>
      <c r="BI109" s="52">
        <v>750</v>
      </c>
      <c r="BJ109" s="37">
        <v>0</v>
      </c>
      <c r="BK109" s="52">
        <f t="shared" si="25"/>
        <v>750</v>
      </c>
      <c r="BL109" s="52">
        <f t="shared" si="26"/>
        <v>0</v>
      </c>
      <c r="BM109" s="52" t="e">
        <f t="shared" si="27"/>
        <v>#DIV/0!</v>
      </c>
      <c r="BN109" s="53">
        <v>0</v>
      </c>
      <c r="BO109" s="38">
        <v>0</v>
      </c>
      <c r="BP109" s="38">
        <v>0</v>
      </c>
      <c r="BQ109" s="53">
        <f t="shared" si="28"/>
        <v>0</v>
      </c>
      <c r="BR109" s="53">
        <v>2450</v>
      </c>
      <c r="BS109" s="38">
        <v>0</v>
      </c>
      <c r="BT109" s="53">
        <f t="shared" si="29"/>
        <v>2450</v>
      </c>
      <c r="BU109" s="53">
        <f t="shared" si="30"/>
        <v>0</v>
      </c>
      <c r="BV109" s="53" t="e">
        <f t="shared" si="31"/>
        <v>#DIV/0!</v>
      </c>
      <c r="BW109" s="54">
        <v>0</v>
      </c>
      <c r="BX109" s="39">
        <v>0</v>
      </c>
      <c r="BY109" s="39">
        <v>0</v>
      </c>
      <c r="BZ109" s="54">
        <f t="shared" si="32"/>
        <v>0</v>
      </c>
      <c r="CA109" s="54">
        <v>750</v>
      </c>
      <c r="CB109" s="54">
        <v>0</v>
      </c>
      <c r="CC109" s="54">
        <f t="shared" si="33"/>
        <v>750</v>
      </c>
      <c r="CD109" s="54">
        <f t="shared" si="34"/>
        <v>0</v>
      </c>
      <c r="CE109" s="54" t="e">
        <f t="shared" si="35"/>
        <v>#DIV/0!</v>
      </c>
      <c r="CF109" s="55">
        <v>0</v>
      </c>
      <c r="CG109" s="55">
        <v>0</v>
      </c>
      <c r="CH109" s="55">
        <v>0</v>
      </c>
      <c r="CI109" s="55">
        <f t="shared" si="36"/>
        <v>0</v>
      </c>
      <c r="CJ109" s="55">
        <v>730</v>
      </c>
      <c r="CK109" s="55">
        <v>0</v>
      </c>
      <c r="CL109" s="55">
        <f t="shared" si="37"/>
        <v>730</v>
      </c>
      <c r="CM109" s="55">
        <f t="shared" si="38"/>
        <v>0</v>
      </c>
      <c r="CN109" s="55" t="e">
        <f t="shared" si="39"/>
        <v>#DIV/0!</v>
      </c>
      <c r="CO109" s="56">
        <v>0</v>
      </c>
      <c r="CP109" s="56">
        <v>0</v>
      </c>
      <c r="CQ109" s="56">
        <v>0</v>
      </c>
      <c r="CR109" s="56">
        <f t="shared" si="40"/>
        <v>0</v>
      </c>
      <c r="CS109" s="56">
        <v>730</v>
      </c>
      <c r="CT109" s="56">
        <v>0</v>
      </c>
      <c r="CU109" s="56">
        <f t="shared" si="41"/>
        <v>730</v>
      </c>
      <c r="CV109" s="56">
        <f t="shared" si="42"/>
        <v>0</v>
      </c>
      <c r="CW109" s="56" t="e">
        <f t="shared" si="43"/>
        <v>#DIV/0!</v>
      </c>
      <c r="CX109" s="57">
        <v>0</v>
      </c>
      <c r="CY109" s="57">
        <v>0</v>
      </c>
      <c r="CZ109" s="57">
        <v>0</v>
      </c>
      <c r="DA109" s="57">
        <f t="shared" si="44"/>
        <v>0</v>
      </c>
      <c r="DB109" s="57">
        <v>600</v>
      </c>
      <c r="DC109" s="57">
        <v>0</v>
      </c>
      <c r="DD109" s="57">
        <f t="shared" si="45"/>
        <v>600</v>
      </c>
      <c r="DE109" s="57">
        <f t="shared" si="46"/>
        <v>0</v>
      </c>
      <c r="DF109" s="57" t="e">
        <f t="shared" si="47"/>
        <v>#DIV/0!</v>
      </c>
    </row>
    <row r="110" spans="1:110" ht="14.25" customHeight="1">
      <c r="A110" s="43"/>
      <c r="B110" s="44"/>
      <c r="C110" s="45">
        <v>0</v>
      </c>
      <c r="D110" s="30">
        <v>0</v>
      </c>
      <c r="E110" s="30">
        <v>0</v>
      </c>
      <c r="F110" s="45">
        <f t="shared" si="0"/>
        <v>0</v>
      </c>
      <c r="G110" s="45">
        <v>900</v>
      </c>
      <c r="H110" s="30">
        <v>0</v>
      </c>
      <c r="I110" s="45">
        <f t="shared" si="1"/>
        <v>900</v>
      </c>
      <c r="J110" s="45">
        <f t="shared" si="2"/>
        <v>0</v>
      </c>
      <c r="K110" s="46" t="e">
        <f t="shared" si="3"/>
        <v>#DIV/0!</v>
      </c>
      <c r="L110" s="47">
        <v>0</v>
      </c>
      <c r="M110" s="32">
        <v>0</v>
      </c>
      <c r="N110" s="32">
        <v>0</v>
      </c>
      <c r="O110" s="47">
        <f t="shared" si="4"/>
        <v>0</v>
      </c>
      <c r="P110" s="47">
        <v>1800</v>
      </c>
      <c r="Q110" s="47">
        <v>0</v>
      </c>
      <c r="R110" s="47">
        <f t="shared" si="5"/>
        <v>1800</v>
      </c>
      <c r="S110" s="47">
        <f t="shared" si="6"/>
        <v>0</v>
      </c>
      <c r="T110" s="47" t="e">
        <f t="shared" si="7"/>
        <v>#DIV/0!</v>
      </c>
      <c r="U110" s="48">
        <v>0</v>
      </c>
      <c r="V110" s="48">
        <v>0</v>
      </c>
      <c r="W110" s="48">
        <v>0</v>
      </c>
      <c r="X110" s="48">
        <f t="shared" si="8"/>
        <v>0</v>
      </c>
      <c r="Y110" s="48">
        <v>910</v>
      </c>
      <c r="Z110" s="33">
        <v>0</v>
      </c>
      <c r="AA110" s="48">
        <f t="shared" si="9"/>
        <v>910</v>
      </c>
      <c r="AB110" s="48">
        <f t="shared" si="10"/>
        <v>0</v>
      </c>
      <c r="AC110" s="48" t="e">
        <f t="shared" si="11"/>
        <v>#DIV/0!</v>
      </c>
      <c r="AD110" s="49">
        <v>0</v>
      </c>
      <c r="AE110" s="49">
        <v>0</v>
      </c>
      <c r="AF110" s="49">
        <v>0</v>
      </c>
      <c r="AG110" s="49">
        <f t="shared" si="12"/>
        <v>0</v>
      </c>
      <c r="AH110" s="49">
        <v>1200</v>
      </c>
      <c r="AI110" s="49">
        <v>0</v>
      </c>
      <c r="AJ110" s="49">
        <f t="shared" si="13"/>
        <v>1200</v>
      </c>
      <c r="AK110" s="49">
        <f t="shared" si="14"/>
        <v>0</v>
      </c>
      <c r="AL110" s="49" t="e">
        <f t="shared" si="15"/>
        <v>#DIV/0!</v>
      </c>
      <c r="AM110" s="50">
        <v>0</v>
      </c>
      <c r="AN110" s="50">
        <v>0</v>
      </c>
      <c r="AO110" s="50">
        <v>0</v>
      </c>
      <c r="AP110" s="50">
        <f t="shared" si="16"/>
        <v>0</v>
      </c>
      <c r="AQ110" s="50">
        <v>600</v>
      </c>
      <c r="AR110" s="50">
        <v>0</v>
      </c>
      <c r="AS110" s="50">
        <f t="shared" si="17"/>
        <v>600</v>
      </c>
      <c r="AT110" s="50">
        <f t="shared" si="18"/>
        <v>0</v>
      </c>
      <c r="AU110" s="50" t="e">
        <f t="shared" si="19"/>
        <v>#DIV/0!</v>
      </c>
      <c r="AV110" s="51">
        <v>0</v>
      </c>
      <c r="AW110" s="36">
        <v>0</v>
      </c>
      <c r="AX110" s="36">
        <v>0</v>
      </c>
      <c r="AY110" s="51">
        <f t="shared" si="20"/>
        <v>0</v>
      </c>
      <c r="AZ110" s="51">
        <v>1500</v>
      </c>
      <c r="BA110" s="51">
        <v>0</v>
      </c>
      <c r="BB110" s="51">
        <f t="shared" si="21"/>
        <v>1500</v>
      </c>
      <c r="BC110" s="51">
        <f t="shared" si="22"/>
        <v>0</v>
      </c>
      <c r="BD110" s="51" t="e">
        <f t="shared" si="23"/>
        <v>#DIV/0!</v>
      </c>
      <c r="BE110" s="52">
        <v>0</v>
      </c>
      <c r="BF110" s="37">
        <v>0</v>
      </c>
      <c r="BG110" s="37">
        <v>0</v>
      </c>
      <c r="BH110" s="37">
        <f t="shared" si="24"/>
        <v>0</v>
      </c>
      <c r="BI110" s="52">
        <v>750</v>
      </c>
      <c r="BJ110" s="37">
        <v>0</v>
      </c>
      <c r="BK110" s="52">
        <f t="shared" si="25"/>
        <v>750</v>
      </c>
      <c r="BL110" s="52">
        <f t="shared" si="26"/>
        <v>0</v>
      </c>
      <c r="BM110" s="52" t="e">
        <f t="shared" si="27"/>
        <v>#DIV/0!</v>
      </c>
      <c r="BN110" s="53">
        <v>0</v>
      </c>
      <c r="BO110" s="38">
        <v>0</v>
      </c>
      <c r="BP110" s="38">
        <v>0</v>
      </c>
      <c r="BQ110" s="53">
        <f t="shared" si="28"/>
        <v>0</v>
      </c>
      <c r="BR110" s="53">
        <v>2450</v>
      </c>
      <c r="BS110" s="38">
        <v>0</v>
      </c>
      <c r="BT110" s="53">
        <f t="shared" si="29"/>
        <v>2450</v>
      </c>
      <c r="BU110" s="53">
        <f t="shared" si="30"/>
        <v>0</v>
      </c>
      <c r="BV110" s="53" t="e">
        <f t="shared" si="31"/>
        <v>#DIV/0!</v>
      </c>
      <c r="BW110" s="54">
        <v>0</v>
      </c>
      <c r="BX110" s="39">
        <v>0</v>
      </c>
      <c r="BY110" s="39">
        <v>0</v>
      </c>
      <c r="BZ110" s="54">
        <f t="shared" si="32"/>
        <v>0</v>
      </c>
      <c r="CA110" s="54">
        <v>750</v>
      </c>
      <c r="CB110" s="54">
        <v>0</v>
      </c>
      <c r="CC110" s="54">
        <f t="shared" si="33"/>
        <v>750</v>
      </c>
      <c r="CD110" s="54">
        <f t="shared" si="34"/>
        <v>0</v>
      </c>
      <c r="CE110" s="54" t="e">
        <f t="shared" si="35"/>
        <v>#DIV/0!</v>
      </c>
      <c r="CF110" s="55">
        <v>0</v>
      </c>
      <c r="CG110" s="55">
        <v>0</v>
      </c>
      <c r="CH110" s="55">
        <v>0</v>
      </c>
      <c r="CI110" s="55">
        <f t="shared" si="36"/>
        <v>0</v>
      </c>
      <c r="CJ110" s="55">
        <v>730</v>
      </c>
      <c r="CK110" s="55">
        <v>0</v>
      </c>
      <c r="CL110" s="55">
        <f t="shared" si="37"/>
        <v>730</v>
      </c>
      <c r="CM110" s="55">
        <f t="shared" si="38"/>
        <v>0</v>
      </c>
      <c r="CN110" s="55" t="e">
        <f t="shared" si="39"/>
        <v>#DIV/0!</v>
      </c>
      <c r="CO110" s="56">
        <v>0</v>
      </c>
      <c r="CP110" s="56">
        <v>0</v>
      </c>
      <c r="CQ110" s="56">
        <v>0</v>
      </c>
      <c r="CR110" s="56">
        <f t="shared" si="40"/>
        <v>0</v>
      </c>
      <c r="CS110" s="56">
        <v>730</v>
      </c>
      <c r="CT110" s="56">
        <v>0</v>
      </c>
      <c r="CU110" s="56">
        <f t="shared" si="41"/>
        <v>730</v>
      </c>
      <c r="CV110" s="56">
        <f t="shared" si="42"/>
        <v>0</v>
      </c>
      <c r="CW110" s="56" t="e">
        <f t="shared" si="43"/>
        <v>#DIV/0!</v>
      </c>
      <c r="CX110" s="57">
        <v>0</v>
      </c>
      <c r="CY110" s="57">
        <v>0</v>
      </c>
      <c r="CZ110" s="57">
        <v>0</v>
      </c>
      <c r="DA110" s="57">
        <f t="shared" si="44"/>
        <v>0</v>
      </c>
      <c r="DB110" s="57">
        <v>600</v>
      </c>
      <c r="DC110" s="57">
        <v>0</v>
      </c>
      <c r="DD110" s="57">
        <f t="shared" si="45"/>
        <v>600</v>
      </c>
      <c r="DE110" s="57">
        <f t="shared" si="46"/>
        <v>0</v>
      </c>
      <c r="DF110" s="57" t="e">
        <f t="shared" si="47"/>
        <v>#DIV/0!</v>
      </c>
    </row>
    <row r="111" spans="1:110" ht="14.25" customHeight="1">
      <c r="A111" s="43"/>
      <c r="B111" s="44"/>
      <c r="C111" s="45">
        <v>0</v>
      </c>
      <c r="D111" s="30">
        <v>0</v>
      </c>
      <c r="E111" s="30">
        <v>0</v>
      </c>
      <c r="F111" s="45">
        <f t="shared" si="0"/>
        <v>0</v>
      </c>
      <c r="G111" s="45">
        <v>900</v>
      </c>
      <c r="H111" s="30">
        <v>0</v>
      </c>
      <c r="I111" s="45">
        <f t="shared" si="1"/>
        <v>900</v>
      </c>
      <c r="J111" s="45">
        <f t="shared" si="2"/>
        <v>0</v>
      </c>
      <c r="K111" s="46" t="e">
        <f t="shared" si="3"/>
        <v>#DIV/0!</v>
      </c>
      <c r="L111" s="47">
        <v>0</v>
      </c>
      <c r="M111" s="32">
        <v>0</v>
      </c>
      <c r="N111" s="32">
        <v>0</v>
      </c>
      <c r="O111" s="47">
        <f t="shared" si="4"/>
        <v>0</v>
      </c>
      <c r="P111" s="47">
        <v>1800</v>
      </c>
      <c r="Q111" s="47">
        <v>0</v>
      </c>
      <c r="R111" s="47">
        <f t="shared" si="5"/>
        <v>1800</v>
      </c>
      <c r="S111" s="47">
        <f t="shared" si="6"/>
        <v>0</v>
      </c>
      <c r="T111" s="47" t="e">
        <f t="shared" si="7"/>
        <v>#DIV/0!</v>
      </c>
      <c r="U111" s="48">
        <v>0</v>
      </c>
      <c r="V111" s="48">
        <v>0</v>
      </c>
      <c r="W111" s="48">
        <v>0</v>
      </c>
      <c r="X111" s="48">
        <f t="shared" si="8"/>
        <v>0</v>
      </c>
      <c r="Y111" s="48">
        <v>910</v>
      </c>
      <c r="Z111" s="33">
        <v>0</v>
      </c>
      <c r="AA111" s="48">
        <f t="shared" si="9"/>
        <v>910</v>
      </c>
      <c r="AB111" s="48">
        <f t="shared" si="10"/>
        <v>0</v>
      </c>
      <c r="AC111" s="48" t="e">
        <f t="shared" si="11"/>
        <v>#DIV/0!</v>
      </c>
      <c r="AD111" s="49">
        <v>0</v>
      </c>
      <c r="AE111" s="49">
        <v>0</v>
      </c>
      <c r="AF111" s="49">
        <v>0</v>
      </c>
      <c r="AG111" s="49">
        <f t="shared" si="12"/>
        <v>0</v>
      </c>
      <c r="AH111" s="49">
        <v>1200</v>
      </c>
      <c r="AI111" s="49">
        <v>0</v>
      </c>
      <c r="AJ111" s="49">
        <f t="shared" si="13"/>
        <v>1200</v>
      </c>
      <c r="AK111" s="49">
        <f t="shared" si="14"/>
        <v>0</v>
      </c>
      <c r="AL111" s="49" t="e">
        <f t="shared" si="15"/>
        <v>#DIV/0!</v>
      </c>
      <c r="AM111" s="50">
        <v>0</v>
      </c>
      <c r="AN111" s="50">
        <v>0</v>
      </c>
      <c r="AO111" s="50">
        <v>0</v>
      </c>
      <c r="AP111" s="50">
        <f t="shared" si="16"/>
        <v>0</v>
      </c>
      <c r="AQ111" s="50">
        <v>600</v>
      </c>
      <c r="AR111" s="50">
        <v>0</v>
      </c>
      <c r="AS111" s="50">
        <f t="shared" si="17"/>
        <v>600</v>
      </c>
      <c r="AT111" s="50">
        <f t="shared" si="18"/>
        <v>0</v>
      </c>
      <c r="AU111" s="50" t="e">
        <f t="shared" si="19"/>
        <v>#DIV/0!</v>
      </c>
      <c r="AV111" s="51">
        <v>0</v>
      </c>
      <c r="AW111" s="36">
        <v>0</v>
      </c>
      <c r="AX111" s="36">
        <v>0</v>
      </c>
      <c r="AY111" s="51">
        <f t="shared" si="20"/>
        <v>0</v>
      </c>
      <c r="AZ111" s="51">
        <v>1500</v>
      </c>
      <c r="BA111" s="51">
        <v>0</v>
      </c>
      <c r="BB111" s="51">
        <f t="shared" si="21"/>
        <v>1500</v>
      </c>
      <c r="BC111" s="51">
        <f t="shared" si="22"/>
        <v>0</v>
      </c>
      <c r="BD111" s="51" t="e">
        <f t="shared" si="23"/>
        <v>#DIV/0!</v>
      </c>
      <c r="BE111" s="52">
        <v>0</v>
      </c>
      <c r="BF111" s="37">
        <v>0</v>
      </c>
      <c r="BG111" s="37">
        <v>0</v>
      </c>
      <c r="BH111" s="37">
        <f t="shared" si="24"/>
        <v>0</v>
      </c>
      <c r="BI111" s="52">
        <v>750</v>
      </c>
      <c r="BJ111" s="37">
        <v>0</v>
      </c>
      <c r="BK111" s="52">
        <f t="shared" si="25"/>
        <v>750</v>
      </c>
      <c r="BL111" s="52">
        <f t="shared" si="26"/>
        <v>0</v>
      </c>
      <c r="BM111" s="52" t="e">
        <f t="shared" si="27"/>
        <v>#DIV/0!</v>
      </c>
      <c r="BN111" s="53">
        <v>0</v>
      </c>
      <c r="BO111" s="38">
        <v>0</v>
      </c>
      <c r="BP111" s="38">
        <v>0</v>
      </c>
      <c r="BQ111" s="53">
        <f t="shared" si="28"/>
        <v>0</v>
      </c>
      <c r="BR111" s="53">
        <v>2450</v>
      </c>
      <c r="BS111" s="38">
        <v>0</v>
      </c>
      <c r="BT111" s="53">
        <f t="shared" si="29"/>
        <v>2450</v>
      </c>
      <c r="BU111" s="53">
        <f t="shared" si="30"/>
        <v>0</v>
      </c>
      <c r="BV111" s="53" t="e">
        <f t="shared" si="31"/>
        <v>#DIV/0!</v>
      </c>
      <c r="BW111" s="54">
        <v>0</v>
      </c>
      <c r="BX111" s="39">
        <v>0</v>
      </c>
      <c r="BY111" s="39">
        <v>0</v>
      </c>
      <c r="BZ111" s="54">
        <f t="shared" si="32"/>
        <v>0</v>
      </c>
      <c r="CA111" s="54">
        <v>750</v>
      </c>
      <c r="CB111" s="54">
        <v>0</v>
      </c>
      <c r="CC111" s="54">
        <f t="shared" si="33"/>
        <v>750</v>
      </c>
      <c r="CD111" s="54">
        <f t="shared" si="34"/>
        <v>0</v>
      </c>
      <c r="CE111" s="54" t="e">
        <f t="shared" si="35"/>
        <v>#DIV/0!</v>
      </c>
      <c r="CF111" s="55">
        <v>0</v>
      </c>
      <c r="CG111" s="55">
        <v>0</v>
      </c>
      <c r="CH111" s="55">
        <v>0</v>
      </c>
      <c r="CI111" s="55">
        <f t="shared" si="36"/>
        <v>0</v>
      </c>
      <c r="CJ111" s="55">
        <v>730</v>
      </c>
      <c r="CK111" s="55">
        <v>0</v>
      </c>
      <c r="CL111" s="55">
        <f t="shared" si="37"/>
        <v>730</v>
      </c>
      <c r="CM111" s="55">
        <f t="shared" si="38"/>
        <v>0</v>
      </c>
      <c r="CN111" s="55" t="e">
        <f t="shared" si="39"/>
        <v>#DIV/0!</v>
      </c>
      <c r="CO111" s="56">
        <v>0</v>
      </c>
      <c r="CP111" s="56">
        <v>0</v>
      </c>
      <c r="CQ111" s="56">
        <v>0</v>
      </c>
      <c r="CR111" s="56">
        <f t="shared" si="40"/>
        <v>0</v>
      </c>
      <c r="CS111" s="56">
        <v>730</v>
      </c>
      <c r="CT111" s="56">
        <v>0</v>
      </c>
      <c r="CU111" s="56">
        <f t="shared" si="41"/>
        <v>730</v>
      </c>
      <c r="CV111" s="56">
        <f t="shared" si="42"/>
        <v>0</v>
      </c>
      <c r="CW111" s="56" t="e">
        <f t="shared" si="43"/>
        <v>#DIV/0!</v>
      </c>
      <c r="CX111" s="57">
        <v>0</v>
      </c>
      <c r="CY111" s="57">
        <v>0</v>
      </c>
      <c r="CZ111" s="57">
        <v>0</v>
      </c>
      <c r="DA111" s="57">
        <f t="shared" si="44"/>
        <v>0</v>
      </c>
      <c r="DB111" s="57">
        <v>600</v>
      </c>
      <c r="DC111" s="57">
        <v>0</v>
      </c>
      <c r="DD111" s="57">
        <f t="shared" si="45"/>
        <v>600</v>
      </c>
      <c r="DE111" s="57">
        <f t="shared" si="46"/>
        <v>0</v>
      </c>
      <c r="DF111" s="57" t="e">
        <f t="shared" si="47"/>
        <v>#DIV/0!</v>
      </c>
    </row>
    <row r="112" spans="1:110" ht="14.25" customHeight="1">
      <c r="A112" s="43"/>
      <c r="B112" s="44"/>
      <c r="C112" s="45">
        <v>0</v>
      </c>
      <c r="D112" s="30">
        <v>0</v>
      </c>
      <c r="E112" s="30">
        <v>0</v>
      </c>
      <c r="F112" s="45">
        <f t="shared" si="0"/>
        <v>0</v>
      </c>
      <c r="G112" s="45">
        <v>900</v>
      </c>
      <c r="H112" s="30">
        <v>0</v>
      </c>
      <c r="I112" s="45">
        <f t="shared" si="1"/>
        <v>900</v>
      </c>
      <c r="J112" s="45">
        <f t="shared" si="2"/>
        <v>0</v>
      </c>
      <c r="K112" s="46" t="e">
        <f t="shared" si="3"/>
        <v>#DIV/0!</v>
      </c>
      <c r="L112" s="47">
        <v>0</v>
      </c>
      <c r="M112" s="32">
        <v>0</v>
      </c>
      <c r="N112" s="32">
        <v>0</v>
      </c>
      <c r="O112" s="47">
        <f t="shared" si="4"/>
        <v>0</v>
      </c>
      <c r="P112" s="47">
        <v>1800</v>
      </c>
      <c r="Q112" s="47">
        <v>0</v>
      </c>
      <c r="R112" s="47">
        <f t="shared" si="5"/>
        <v>1800</v>
      </c>
      <c r="S112" s="47">
        <f t="shared" si="6"/>
        <v>0</v>
      </c>
      <c r="T112" s="47" t="e">
        <f t="shared" si="7"/>
        <v>#DIV/0!</v>
      </c>
      <c r="U112" s="48">
        <v>0</v>
      </c>
      <c r="V112" s="48">
        <v>0</v>
      </c>
      <c r="W112" s="48">
        <v>0</v>
      </c>
      <c r="X112" s="48">
        <f t="shared" si="8"/>
        <v>0</v>
      </c>
      <c r="Y112" s="48">
        <v>910</v>
      </c>
      <c r="Z112" s="33">
        <v>0</v>
      </c>
      <c r="AA112" s="48">
        <f t="shared" si="9"/>
        <v>910</v>
      </c>
      <c r="AB112" s="48">
        <f t="shared" si="10"/>
        <v>0</v>
      </c>
      <c r="AC112" s="48" t="e">
        <f t="shared" si="11"/>
        <v>#DIV/0!</v>
      </c>
      <c r="AD112" s="49">
        <v>0</v>
      </c>
      <c r="AE112" s="49">
        <v>0</v>
      </c>
      <c r="AF112" s="49">
        <v>0</v>
      </c>
      <c r="AG112" s="49">
        <f t="shared" si="12"/>
        <v>0</v>
      </c>
      <c r="AH112" s="49">
        <v>1200</v>
      </c>
      <c r="AI112" s="49">
        <v>0</v>
      </c>
      <c r="AJ112" s="49">
        <f t="shared" si="13"/>
        <v>1200</v>
      </c>
      <c r="AK112" s="49">
        <f t="shared" si="14"/>
        <v>0</v>
      </c>
      <c r="AL112" s="49" t="e">
        <f t="shared" si="15"/>
        <v>#DIV/0!</v>
      </c>
      <c r="AM112" s="50">
        <v>0</v>
      </c>
      <c r="AN112" s="50">
        <v>0</v>
      </c>
      <c r="AO112" s="50">
        <v>0</v>
      </c>
      <c r="AP112" s="50">
        <f t="shared" si="16"/>
        <v>0</v>
      </c>
      <c r="AQ112" s="50">
        <v>600</v>
      </c>
      <c r="AR112" s="50">
        <v>0</v>
      </c>
      <c r="AS112" s="50">
        <f t="shared" si="17"/>
        <v>600</v>
      </c>
      <c r="AT112" s="50">
        <f t="shared" si="18"/>
        <v>0</v>
      </c>
      <c r="AU112" s="50" t="e">
        <f t="shared" si="19"/>
        <v>#DIV/0!</v>
      </c>
      <c r="AV112" s="51">
        <v>0</v>
      </c>
      <c r="AW112" s="36">
        <v>0</v>
      </c>
      <c r="AX112" s="36">
        <v>0</v>
      </c>
      <c r="AY112" s="51">
        <f t="shared" si="20"/>
        <v>0</v>
      </c>
      <c r="AZ112" s="51">
        <v>1500</v>
      </c>
      <c r="BA112" s="51">
        <v>0</v>
      </c>
      <c r="BB112" s="51">
        <f t="shared" si="21"/>
        <v>1500</v>
      </c>
      <c r="BC112" s="51">
        <f t="shared" si="22"/>
        <v>0</v>
      </c>
      <c r="BD112" s="51" t="e">
        <f t="shared" si="23"/>
        <v>#DIV/0!</v>
      </c>
      <c r="BE112" s="52">
        <v>0</v>
      </c>
      <c r="BF112" s="37">
        <v>0</v>
      </c>
      <c r="BG112" s="37">
        <v>0</v>
      </c>
      <c r="BH112" s="37">
        <f t="shared" si="24"/>
        <v>0</v>
      </c>
      <c r="BI112" s="52">
        <v>750</v>
      </c>
      <c r="BJ112" s="37">
        <v>0</v>
      </c>
      <c r="BK112" s="52">
        <f t="shared" si="25"/>
        <v>750</v>
      </c>
      <c r="BL112" s="52">
        <f t="shared" si="26"/>
        <v>0</v>
      </c>
      <c r="BM112" s="52" t="e">
        <f t="shared" si="27"/>
        <v>#DIV/0!</v>
      </c>
      <c r="BN112" s="53">
        <v>0</v>
      </c>
      <c r="BO112" s="38">
        <v>0</v>
      </c>
      <c r="BP112" s="38">
        <v>0</v>
      </c>
      <c r="BQ112" s="53">
        <f t="shared" si="28"/>
        <v>0</v>
      </c>
      <c r="BR112" s="53">
        <v>2450</v>
      </c>
      <c r="BS112" s="38">
        <v>0</v>
      </c>
      <c r="BT112" s="53">
        <f t="shared" si="29"/>
        <v>2450</v>
      </c>
      <c r="BU112" s="53">
        <f t="shared" si="30"/>
        <v>0</v>
      </c>
      <c r="BV112" s="53" t="e">
        <f t="shared" si="31"/>
        <v>#DIV/0!</v>
      </c>
      <c r="BW112" s="54">
        <v>0</v>
      </c>
      <c r="BX112" s="39">
        <v>0</v>
      </c>
      <c r="BY112" s="39">
        <v>0</v>
      </c>
      <c r="BZ112" s="54">
        <f t="shared" si="32"/>
        <v>0</v>
      </c>
      <c r="CA112" s="54">
        <v>750</v>
      </c>
      <c r="CB112" s="54">
        <v>0</v>
      </c>
      <c r="CC112" s="54">
        <f t="shared" si="33"/>
        <v>750</v>
      </c>
      <c r="CD112" s="54">
        <f t="shared" si="34"/>
        <v>0</v>
      </c>
      <c r="CE112" s="54" t="e">
        <f t="shared" si="35"/>
        <v>#DIV/0!</v>
      </c>
      <c r="CF112" s="55">
        <v>0</v>
      </c>
      <c r="CG112" s="55">
        <v>0</v>
      </c>
      <c r="CH112" s="55">
        <v>0</v>
      </c>
      <c r="CI112" s="55">
        <f t="shared" si="36"/>
        <v>0</v>
      </c>
      <c r="CJ112" s="55">
        <v>730</v>
      </c>
      <c r="CK112" s="55">
        <v>0</v>
      </c>
      <c r="CL112" s="55">
        <f t="shared" si="37"/>
        <v>730</v>
      </c>
      <c r="CM112" s="55">
        <f t="shared" si="38"/>
        <v>0</v>
      </c>
      <c r="CN112" s="55" t="e">
        <f t="shared" si="39"/>
        <v>#DIV/0!</v>
      </c>
      <c r="CO112" s="56">
        <v>0</v>
      </c>
      <c r="CP112" s="56">
        <v>0</v>
      </c>
      <c r="CQ112" s="56">
        <v>0</v>
      </c>
      <c r="CR112" s="56">
        <f t="shared" si="40"/>
        <v>0</v>
      </c>
      <c r="CS112" s="56">
        <v>730</v>
      </c>
      <c r="CT112" s="56">
        <v>0</v>
      </c>
      <c r="CU112" s="56">
        <f t="shared" si="41"/>
        <v>730</v>
      </c>
      <c r="CV112" s="56">
        <f t="shared" si="42"/>
        <v>0</v>
      </c>
      <c r="CW112" s="56" t="e">
        <f t="shared" si="43"/>
        <v>#DIV/0!</v>
      </c>
      <c r="CX112" s="57">
        <v>0</v>
      </c>
      <c r="CY112" s="57">
        <v>0</v>
      </c>
      <c r="CZ112" s="57">
        <v>0</v>
      </c>
      <c r="DA112" s="57">
        <f t="shared" si="44"/>
        <v>0</v>
      </c>
      <c r="DB112" s="57">
        <v>600</v>
      </c>
      <c r="DC112" s="57">
        <v>0</v>
      </c>
      <c r="DD112" s="57">
        <f t="shared" si="45"/>
        <v>600</v>
      </c>
      <c r="DE112" s="57">
        <f t="shared" si="46"/>
        <v>0</v>
      </c>
      <c r="DF112" s="57" t="e">
        <f t="shared" si="47"/>
        <v>#DIV/0!</v>
      </c>
    </row>
    <row r="113" spans="1:110" ht="14.25" customHeight="1">
      <c r="A113" s="43"/>
      <c r="B113" s="44"/>
      <c r="C113" s="45">
        <v>0</v>
      </c>
      <c r="D113" s="30">
        <v>0</v>
      </c>
      <c r="E113" s="30">
        <v>0</v>
      </c>
      <c r="F113" s="45">
        <f t="shared" si="0"/>
        <v>0</v>
      </c>
      <c r="G113" s="45">
        <v>900</v>
      </c>
      <c r="H113" s="30">
        <v>0</v>
      </c>
      <c r="I113" s="45">
        <f t="shared" si="1"/>
        <v>900</v>
      </c>
      <c r="J113" s="45">
        <f t="shared" si="2"/>
        <v>0</v>
      </c>
      <c r="K113" s="46" t="e">
        <f t="shared" si="3"/>
        <v>#DIV/0!</v>
      </c>
      <c r="L113" s="47">
        <v>0</v>
      </c>
      <c r="M113" s="32">
        <v>0</v>
      </c>
      <c r="N113" s="32">
        <v>0</v>
      </c>
      <c r="O113" s="47">
        <f t="shared" si="4"/>
        <v>0</v>
      </c>
      <c r="P113" s="47">
        <v>1800</v>
      </c>
      <c r="Q113" s="47">
        <v>0</v>
      </c>
      <c r="R113" s="47">
        <f t="shared" si="5"/>
        <v>1800</v>
      </c>
      <c r="S113" s="47">
        <f t="shared" si="6"/>
        <v>0</v>
      </c>
      <c r="T113" s="47" t="e">
        <f t="shared" si="7"/>
        <v>#DIV/0!</v>
      </c>
      <c r="U113" s="48">
        <v>0</v>
      </c>
      <c r="V113" s="48">
        <v>0</v>
      </c>
      <c r="W113" s="48">
        <v>0</v>
      </c>
      <c r="X113" s="48">
        <f t="shared" si="8"/>
        <v>0</v>
      </c>
      <c r="Y113" s="48">
        <v>910</v>
      </c>
      <c r="Z113" s="33">
        <v>0</v>
      </c>
      <c r="AA113" s="48">
        <f t="shared" si="9"/>
        <v>910</v>
      </c>
      <c r="AB113" s="48">
        <f t="shared" si="10"/>
        <v>0</v>
      </c>
      <c r="AC113" s="48" t="e">
        <f t="shared" si="11"/>
        <v>#DIV/0!</v>
      </c>
      <c r="AD113" s="49">
        <v>0</v>
      </c>
      <c r="AE113" s="49">
        <v>0</v>
      </c>
      <c r="AF113" s="49">
        <v>0</v>
      </c>
      <c r="AG113" s="49">
        <f t="shared" si="12"/>
        <v>0</v>
      </c>
      <c r="AH113" s="49">
        <v>1200</v>
      </c>
      <c r="AI113" s="49">
        <v>0</v>
      </c>
      <c r="AJ113" s="49">
        <f t="shared" si="13"/>
        <v>1200</v>
      </c>
      <c r="AK113" s="49">
        <f t="shared" si="14"/>
        <v>0</v>
      </c>
      <c r="AL113" s="49" t="e">
        <f t="shared" si="15"/>
        <v>#DIV/0!</v>
      </c>
      <c r="AM113" s="50">
        <v>0</v>
      </c>
      <c r="AN113" s="50">
        <v>0</v>
      </c>
      <c r="AO113" s="50">
        <v>0</v>
      </c>
      <c r="AP113" s="50">
        <f t="shared" si="16"/>
        <v>0</v>
      </c>
      <c r="AQ113" s="50">
        <v>600</v>
      </c>
      <c r="AR113" s="50">
        <v>0</v>
      </c>
      <c r="AS113" s="50">
        <f t="shared" si="17"/>
        <v>600</v>
      </c>
      <c r="AT113" s="50">
        <f t="shared" si="18"/>
        <v>0</v>
      </c>
      <c r="AU113" s="50" t="e">
        <f t="shared" si="19"/>
        <v>#DIV/0!</v>
      </c>
      <c r="AV113" s="51">
        <v>0</v>
      </c>
      <c r="AW113" s="36">
        <v>0</v>
      </c>
      <c r="AX113" s="36">
        <v>0</v>
      </c>
      <c r="AY113" s="51">
        <f t="shared" si="20"/>
        <v>0</v>
      </c>
      <c r="AZ113" s="51">
        <v>1500</v>
      </c>
      <c r="BA113" s="51">
        <v>0</v>
      </c>
      <c r="BB113" s="51">
        <f t="shared" si="21"/>
        <v>1500</v>
      </c>
      <c r="BC113" s="51">
        <f t="shared" si="22"/>
        <v>0</v>
      </c>
      <c r="BD113" s="51" t="e">
        <f t="shared" si="23"/>
        <v>#DIV/0!</v>
      </c>
      <c r="BE113" s="52">
        <v>0</v>
      </c>
      <c r="BF113" s="37">
        <v>0</v>
      </c>
      <c r="BG113" s="37">
        <v>0</v>
      </c>
      <c r="BH113" s="37">
        <f t="shared" si="24"/>
        <v>0</v>
      </c>
      <c r="BI113" s="52">
        <v>750</v>
      </c>
      <c r="BJ113" s="37">
        <v>0</v>
      </c>
      <c r="BK113" s="52">
        <f t="shared" si="25"/>
        <v>750</v>
      </c>
      <c r="BL113" s="52">
        <f t="shared" si="26"/>
        <v>0</v>
      </c>
      <c r="BM113" s="52" t="e">
        <f t="shared" si="27"/>
        <v>#DIV/0!</v>
      </c>
      <c r="BN113" s="53">
        <v>0</v>
      </c>
      <c r="BO113" s="38">
        <v>0</v>
      </c>
      <c r="BP113" s="38">
        <v>0</v>
      </c>
      <c r="BQ113" s="53">
        <f t="shared" si="28"/>
        <v>0</v>
      </c>
      <c r="BR113" s="53">
        <v>2450</v>
      </c>
      <c r="BS113" s="38">
        <v>0</v>
      </c>
      <c r="BT113" s="53">
        <f t="shared" si="29"/>
        <v>2450</v>
      </c>
      <c r="BU113" s="53">
        <f t="shared" si="30"/>
        <v>0</v>
      </c>
      <c r="BV113" s="53" t="e">
        <f t="shared" si="31"/>
        <v>#DIV/0!</v>
      </c>
      <c r="BW113" s="54">
        <v>0</v>
      </c>
      <c r="BX113" s="39">
        <v>0</v>
      </c>
      <c r="BY113" s="39">
        <v>0</v>
      </c>
      <c r="BZ113" s="54">
        <f t="shared" si="32"/>
        <v>0</v>
      </c>
      <c r="CA113" s="54">
        <v>750</v>
      </c>
      <c r="CB113" s="54">
        <v>0</v>
      </c>
      <c r="CC113" s="54">
        <f t="shared" si="33"/>
        <v>750</v>
      </c>
      <c r="CD113" s="54">
        <f t="shared" si="34"/>
        <v>0</v>
      </c>
      <c r="CE113" s="54" t="e">
        <f t="shared" si="35"/>
        <v>#DIV/0!</v>
      </c>
      <c r="CF113" s="55">
        <v>0</v>
      </c>
      <c r="CG113" s="55">
        <v>0</v>
      </c>
      <c r="CH113" s="55">
        <v>0</v>
      </c>
      <c r="CI113" s="55">
        <f t="shared" si="36"/>
        <v>0</v>
      </c>
      <c r="CJ113" s="55">
        <v>730</v>
      </c>
      <c r="CK113" s="55">
        <v>0</v>
      </c>
      <c r="CL113" s="55">
        <f t="shared" si="37"/>
        <v>730</v>
      </c>
      <c r="CM113" s="55">
        <f t="shared" si="38"/>
        <v>0</v>
      </c>
      <c r="CN113" s="55" t="e">
        <f t="shared" si="39"/>
        <v>#DIV/0!</v>
      </c>
      <c r="CO113" s="56">
        <v>0</v>
      </c>
      <c r="CP113" s="56">
        <v>0</v>
      </c>
      <c r="CQ113" s="56">
        <v>0</v>
      </c>
      <c r="CR113" s="56">
        <f t="shared" si="40"/>
        <v>0</v>
      </c>
      <c r="CS113" s="56">
        <v>730</v>
      </c>
      <c r="CT113" s="56">
        <v>0</v>
      </c>
      <c r="CU113" s="56">
        <f t="shared" si="41"/>
        <v>730</v>
      </c>
      <c r="CV113" s="56">
        <f t="shared" si="42"/>
        <v>0</v>
      </c>
      <c r="CW113" s="56" t="e">
        <f t="shared" si="43"/>
        <v>#DIV/0!</v>
      </c>
      <c r="CX113" s="57">
        <v>0</v>
      </c>
      <c r="CY113" s="57">
        <v>0</v>
      </c>
      <c r="CZ113" s="57">
        <v>0</v>
      </c>
      <c r="DA113" s="57">
        <f t="shared" si="44"/>
        <v>0</v>
      </c>
      <c r="DB113" s="57">
        <v>600</v>
      </c>
      <c r="DC113" s="57">
        <v>0</v>
      </c>
      <c r="DD113" s="57">
        <f t="shared" si="45"/>
        <v>600</v>
      </c>
      <c r="DE113" s="57">
        <f t="shared" si="46"/>
        <v>0</v>
      </c>
      <c r="DF113" s="57" t="e">
        <f t="shared" si="47"/>
        <v>#DIV/0!</v>
      </c>
    </row>
    <row r="114" spans="1:110" ht="14.25" customHeight="1">
      <c r="A114" s="43"/>
      <c r="B114" s="44"/>
      <c r="C114" s="45">
        <v>0</v>
      </c>
      <c r="D114" s="30">
        <v>0</v>
      </c>
      <c r="E114" s="30">
        <v>0</v>
      </c>
      <c r="F114" s="45">
        <f t="shared" si="0"/>
        <v>0</v>
      </c>
      <c r="G114" s="45">
        <v>900</v>
      </c>
      <c r="H114" s="30">
        <v>0</v>
      </c>
      <c r="I114" s="45">
        <f t="shared" si="1"/>
        <v>900</v>
      </c>
      <c r="J114" s="45">
        <f t="shared" si="2"/>
        <v>0</v>
      </c>
      <c r="K114" s="46" t="e">
        <f t="shared" si="3"/>
        <v>#DIV/0!</v>
      </c>
      <c r="L114" s="47">
        <v>0</v>
      </c>
      <c r="M114" s="32">
        <v>0</v>
      </c>
      <c r="N114" s="32">
        <v>0</v>
      </c>
      <c r="O114" s="47">
        <f t="shared" si="4"/>
        <v>0</v>
      </c>
      <c r="P114" s="47">
        <v>1800</v>
      </c>
      <c r="Q114" s="47">
        <v>0</v>
      </c>
      <c r="R114" s="47">
        <f t="shared" si="5"/>
        <v>1800</v>
      </c>
      <c r="S114" s="47">
        <f t="shared" si="6"/>
        <v>0</v>
      </c>
      <c r="T114" s="47" t="e">
        <f t="shared" si="7"/>
        <v>#DIV/0!</v>
      </c>
      <c r="U114" s="48">
        <v>0</v>
      </c>
      <c r="V114" s="48">
        <v>0</v>
      </c>
      <c r="W114" s="48">
        <v>0</v>
      </c>
      <c r="X114" s="48">
        <f t="shared" si="8"/>
        <v>0</v>
      </c>
      <c r="Y114" s="48">
        <v>910</v>
      </c>
      <c r="Z114" s="33">
        <v>0</v>
      </c>
      <c r="AA114" s="48">
        <f t="shared" si="9"/>
        <v>910</v>
      </c>
      <c r="AB114" s="48">
        <f t="shared" si="10"/>
        <v>0</v>
      </c>
      <c r="AC114" s="48" t="e">
        <f t="shared" si="11"/>
        <v>#DIV/0!</v>
      </c>
      <c r="AD114" s="49">
        <v>0</v>
      </c>
      <c r="AE114" s="49">
        <v>0</v>
      </c>
      <c r="AF114" s="49">
        <v>0</v>
      </c>
      <c r="AG114" s="49">
        <f t="shared" si="12"/>
        <v>0</v>
      </c>
      <c r="AH114" s="49">
        <v>1200</v>
      </c>
      <c r="AI114" s="49">
        <v>0</v>
      </c>
      <c r="AJ114" s="49">
        <f t="shared" si="13"/>
        <v>1200</v>
      </c>
      <c r="AK114" s="49">
        <f t="shared" si="14"/>
        <v>0</v>
      </c>
      <c r="AL114" s="49" t="e">
        <f t="shared" si="15"/>
        <v>#DIV/0!</v>
      </c>
      <c r="AM114" s="50">
        <v>0</v>
      </c>
      <c r="AN114" s="50">
        <v>0</v>
      </c>
      <c r="AO114" s="50">
        <v>0</v>
      </c>
      <c r="AP114" s="50">
        <f t="shared" si="16"/>
        <v>0</v>
      </c>
      <c r="AQ114" s="50">
        <v>600</v>
      </c>
      <c r="AR114" s="50">
        <v>0</v>
      </c>
      <c r="AS114" s="50">
        <f t="shared" si="17"/>
        <v>600</v>
      </c>
      <c r="AT114" s="50">
        <f t="shared" si="18"/>
        <v>0</v>
      </c>
      <c r="AU114" s="50" t="e">
        <f t="shared" si="19"/>
        <v>#DIV/0!</v>
      </c>
      <c r="AV114" s="51">
        <v>0</v>
      </c>
      <c r="AW114" s="36">
        <v>0</v>
      </c>
      <c r="AX114" s="36">
        <v>0</v>
      </c>
      <c r="AY114" s="51">
        <f t="shared" si="20"/>
        <v>0</v>
      </c>
      <c r="AZ114" s="51">
        <v>1500</v>
      </c>
      <c r="BA114" s="51">
        <v>0</v>
      </c>
      <c r="BB114" s="51">
        <f t="shared" si="21"/>
        <v>1500</v>
      </c>
      <c r="BC114" s="51">
        <f t="shared" si="22"/>
        <v>0</v>
      </c>
      <c r="BD114" s="51" t="e">
        <f t="shared" si="23"/>
        <v>#DIV/0!</v>
      </c>
      <c r="BE114" s="52">
        <v>0</v>
      </c>
      <c r="BF114" s="37">
        <v>0</v>
      </c>
      <c r="BG114" s="37">
        <v>0</v>
      </c>
      <c r="BH114" s="37">
        <f t="shared" si="24"/>
        <v>0</v>
      </c>
      <c r="BI114" s="52">
        <v>750</v>
      </c>
      <c r="BJ114" s="37">
        <v>0</v>
      </c>
      <c r="BK114" s="52">
        <f t="shared" si="25"/>
        <v>750</v>
      </c>
      <c r="BL114" s="52">
        <f t="shared" si="26"/>
        <v>0</v>
      </c>
      <c r="BM114" s="52" t="e">
        <f t="shared" si="27"/>
        <v>#DIV/0!</v>
      </c>
      <c r="BN114" s="53">
        <v>0</v>
      </c>
      <c r="BO114" s="38">
        <v>0</v>
      </c>
      <c r="BP114" s="38">
        <v>0</v>
      </c>
      <c r="BQ114" s="53">
        <f t="shared" si="28"/>
        <v>0</v>
      </c>
      <c r="BR114" s="53">
        <v>2450</v>
      </c>
      <c r="BS114" s="38">
        <v>0</v>
      </c>
      <c r="BT114" s="53">
        <f t="shared" si="29"/>
        <v>2450</v>
      </c>
      <c r="BU114" s="53">
        <f t="shared" si="30"/>
        <v>0</v>
      </c>
      <c r="BV114" s="53" t="e">
        <f t="shared" si="31"/>
        <v>#DIV/0!</v>
      </c>
      <c r="BW114" s="54">
        <v>0</v>
      </c>
      <c r="BX114" s="39">
        <v>0</v>
      </c>
      <c r="BY114" s="39">
        <v>0</v>
      </c>
      <c r="BZ114" s="54">
        <f t="shared" si="32"/>
        <v>0</v>
      </c>
      <c r="CA114" s="54">
        <v>750</v>
      </c>
      <c r="CB114" s="54">
        <v>0</v>
      </c>
      <c r="CC114" s="54">
        <f t="shared" si="33"/>
        <v>750</v>
      </c>
      <c r="CD114" s="54">
        <f t="shared" si="34"/>
        <v>0</v>
      </c>
      <c r="CE114" s="54" t="e">
        <f t="shared" si="35"/>
        <v>#DIV/0!</v>
      </c>
      <c r="CF114" s="55">
        <v>0</v>
      </c>
      <c r="CG114" s="55">
        <v>0</v>
      </c>
      <c r="CH114" s="55">
        <v>0</v>
      </c>
      <c r="CI114" s="55">
        <f t="shared" si="36"/>
        <v>0</v>
      </c>
      <c r="CJ114" s="55">
        <v>730</v>
      </c>
      <c r="CK114" s="55">
        <v>0</v>
      </c>
      <c r="CL114" s="55">
        <f t="shared" si="37"/>
        <v>730</v>
      </c>
      <c r="CM114" s="55">
        <f t="shared" si="38"/>
        <v>0</v>
      </c>
      <c r="CN114" s="55" t="e">
        <f t="shared" si="39"/>
        <v>#DIV/0!</v>
      </c>
      <c r="CO114" s="56">
        <v>0</v>
      </c>
      <c r="CP114" s="56">
        <v>0</v>
      </c>
      <c r="CQ114" s="56">
        <v>0</v>
      </c>
      <c r="CR114" s="56">
        <f t="shared" si="40"/>
        <v>0</v>
      </c>
      <c r="CS114" s="56">
        <v>730</v>
      </c>
      <c r="CT114" s="56">
        <v>0</v>
      </c>
      <c r="CU114" s="56">
        <f t="shared" si="41"/>
        <v>730</v>
      </c>
      <c r="CV114" s="56">
        <f t="shared" si="42"/>
        <v>0</v>
      </c>
      <c r="CW114" s="56" t="e">
        <f t="shared" si="43"/>
        <v>#DIV/0!</v>
      </c>
      <c r="CX114" s="57">
        <v>0</v>
      </c>
      <c r="CY114" s="57">
        <v>0</v>
      </c>
      <c r="CZ114" s="57">
        <v>0</v>
      </c>
      <c r="DA114" s="57">
        <f t="shared" si="44"/>
        <v>0</v>
      </c>
      <c r="DB114" s="57">
        <v>600</v>
      </c>
      <c r="DC114" s="57">
        <v>0</v>
      </c>
      <c r="DD114" s="57">
        <f t="shared" si="45"/>
        <v>600</v>
      </c>
      <c r="DE114" s="57">
        <f t="shared" si="46"/>
        <v>0</v>
      </c>
      <c r="DF114" s="57" t="e">
        <f t="shared" si="47"/>
        <v>#DIV/0!</v>
      </c>
    </row>
    <row r="115" spans="1:110" ht="14.25" customHeight="1">
      <c r="A115" s="43"/>
      <c r="B115" s="44"/>
      <c r="C115" s="45">
        <v>0</v>
      </c>
      <c r="D115" s="30">
        <v>0</v>
      </c>
      <c r="E115" s="30">
        <v>0</v>
      </c>
      <c r="F115" s="45">
        <f t="shared" si="0"/>
        <v>0</v>
      </c>
      <c r="G115" s="45">
        <v>900</v>
      </c>
      <c r="H115" s="30">
        <v>0</v>
      </c>
      <c r="I115" s="45">
        <f t="shared" si="1"/>
        <v>900</v>
      </c>
      <c r="J115" s="45">
        <f t="shared" si="2"/>
        <v>0</v>
      </c>
      <c r="K115" s="46" t="e">
        <f t="shared" si="3"/>
        <v>#DIV/0!</v>
      </c>
      <c r="L115" s="47">
        <v>0</v>
      </c>
      <c r="M115" s="32">
        <v>0</v>
      </c>
      <c r="N115" s="32">
        <v>0</v>
      </c>
      <c r="O115" s="47">
        <f t="shared" si="4"/>
        <v>0</v>
      </c>
      <c r="P115" s="47">
        <v>1800</v>
      </c>
      <c r="Q115" s="47">
        <v>0</v>
      </c>
      <c r="R115" s="47">
        <f t="shared" si="5"/>
        <v>1800</v>
      </c>
      <c r="S115" s="47">
        <f t="shared" si="6"/>
        <v>0</v>
      </c>
      <c r="T115" s="47" t="e">
        <f t="shared" si="7"/>
        <v>#DIV/0!</v>
      </c>
      <c r="U115" s="48">
        <v>0</v>
      </c>
      <c r="V115" s="48">
        <v>0</v>
      </c>
      <c r="W115" s="48">
        <v>0</v>
      </c>
      <c r="X115" s="48">
        <f t="shared" si="8"/>
        <v>0</v>
      </c>
      <c r="Y115" s="48">
        <v>910</v>
      </c>
      <c r="Z115" s="33">
        <v>0</v>
      </c>
      <c r="AA115" s="48">
        <f t="shared" si="9"/>
        <v>910</v>
      </c>
      <c r="AB115" s="48">
        <f t="shared" si="10"/>
        <v>0</v>
      </c>
      <c r="AC115" s="48" t="e">
        <f t="shared" si="11"/>
        <v>#DIV/0!</v>
      </c>
      <c r="AD115" s="49">
        <v>0</v>
      </c>
      <c r="AE115" s="49">
        <v>0</v>
      </c>
      <c r="AF115" s="49">
        <v>0</v>
      </c>
      <c r="AG115" s="49">
        <f t="shared" si="12"/>
        <v>0</v>
      </c>
      <c r="AH115" s="49">
        <v>1200</v>
      </c>
      <c r="AI115" s="49">
        <v>0</v>
      </c>
      <c r="AJ115" s="49">
        <f t="shared" si="13"/>
        <v>1200</v>
      </c>
      <c r="AK115" s="49">
        <f t="shared" si="14"/>
        <v>0</v>
      </c>
      <c r="AL115" s="49" t="e">
        <f t="shared" si="15"/>
        <v>#DIV/0!</v>
      </c>
      <c r="AM115" s="50">
        <v>0</v>
      </c>
      <c r="AN115" s="50">
        <v>0</v>
      </c>
      <c r="AO115" s="50">
        <v>0</v>
      </c>
      <c r="AP115" s="50">
        <f t="shared" si="16"/>
        <v>0</v>
      </c>
      <c r="AQ115" s="50">
        <v>600</v>
      </c>
      <c r="AR115" s="50">
        <v>0</v>
      </c>
      <c r="AS115" s="50">
        <f t="shared" si="17"/>
        <v>600</v>
      </c>
      <c r="AT115" s="50">
        <f t="shared" si="18"/>
        <v>0</v>
      </c>
      <c r="AU115" s="50" t="e">
        <f t="shared" si="19"/>
        <v>#DIV/0!</v>
      </c>
      <c r="AV115" s="51">
        <v>0</v>
      </c>
      <c r="AW115" s="36">
        <v>0</v>
      </c>
      <c r="AX115" s="36">
        <v>0</v>
      </c>
      <c r="AY115" s="51">
        <f t="shared" si="20"/>
        <v>0</v>
      </c>
      <c r="AZ115" s="51">
        <v>1500</v>
      </c>
      <c r="BA115" s="51">
        <v>0</v>
      </c>
      <c r="BB115" s="51">
        <f t="shared" si="21"/>
        <v>1500</v>
      </c>
      <c r="BC115" s="51">
        <f t="shared" si="22"/>
        <v>0</v>
      </c>
      <c r="BD115" s="51" t="e">
        <f t="shared" si="23"/>
        <v>#DIV/0!</v>
      </c>
      <c r="BE115" s="52">
        <v>0</v>
      </c>
      <c r="BF115" s="37">
        <v>0</v>
      </c>
      <c r="BG115" s="37">
        <v>0</v>
      </c>
      <c r="BH115" s="37">
        <f t="shared" si="24"/>
        <v>0</v>
      </c>
      <c r="BI115" s="52">
        <v>750</v>
      </c>
      <c r="BJ115" s="37">
        <v>0</v>
      </c>
      <c r="BK115" s="52">
        <f t="shared" si="25"/>
        <v>750</v>
      </c>
      <c r="BL115" s="52">
        <f t="shared" si="26"/>
        <v>0</v>
      </c>
      <c r="BM115" s="52" t="e">
        <f t="shared" si="27"/>
        <v>#DIV/0!</v>
      </c>
      <c r="BN115" s="53">
        <v>0</v>
      </c>
      <c r="BO115" s="38">
        <v>0</v>
      </c>
      <c r="BP115" s="38">
        <v>0</v>
      </c>
      <c r="BQ115" s="53">
        <f t="shared" si="28"/>
        <v>0</v>
      </c>
      <c r="BR115" s="53">
        <v>2450</v>
      </c>
      <c r="BS115" s="38">
        <v>0</v>
      </c>
      <c r="BT115" s="53">
        <f t="shared" si="29"/>
        <v>2450</v>
      </c>
      <c r="BU115" s="53">
        <f t="shared" si="30"/>
        <v>0</v>
      </c>
      <c r="BV115" s="53" t="e">
        <f t="shared" si="31"/>
        <v>#DIV/0!</v>
      </c>
      <c r="BW115" s="54">
        <v>0</v>
      </c>
      <c r="BX115" s="39">
        <v>0</v>
      </c>
      <c r="BY115" s="39">
        <v>0</v>
      </c>
      <c r="BZ115" s="54">
        <f t="shared" si="32"/>
        <v>0</v>
      </c>
      <c r="CA115" s="54">
        <v>750</v>
      </c>
      <c r="CB115" s="54">
        <v>0</v>
      </c>
      <c r="CC115" s="54">
        <f t="shared" si="33"/>
        <v>750</v>
      </c>
      <c r="CD115" s="54">
        <f t="shared" si="34"/>
        <v>0</v>
      </c>
      <c r="CE115" s="54" t="e">
        <f t="shared" si="35"/>
        <v>#DIV/0!</v>
      </c>
      <c r="CF115" s="55">
        <v>0</v>
      </c>
      <c r="CG115" s="55">
        <v>0</v>
      </c>
      <c r="CH115" s="55">
        <v>0</v>
      </c>
      <c r="CI115" s="55">
        <f t="shared" si="36"/>
        <v>0</v>
      </c>
      <c r="CJ115" s="55">
        <v>730</v>
      </c>
      <c r="CK115" s="55">
        <v>0</v>
      </c>
      <c r="CL115" s="55">
        <f t="shared" si="37"/>
        <v>730</v>
      </c>
      <c r="CM115" s="55">
        <f t="shared" si="38"/>
        <v>0</v>
      </c>
      <c r="CN115" s="55" t="e">
        <f t="shared" si="39"/>
        <v>#DIV/0!</v>
      </c>
      <c r="CO115" s="56">
        <v>0</v>
      </c>
      <c r="CP115" s="56">
        <v>0</v>
      </c>
      <c r="CQ115" s="56">
        <v>0</v>
      </c>
      <c r="CR115" s="56">
        <f t="shared" si="40"/>
        <v>0</v>
      </c>
      <c r="CS115" s="56">
        <v>730</v>
      </c>
      <c r="CT115" s="56">
        <v>0</v>
      </c>
      <c r="CU115" s="56">
        <f t="shared" si="41"/>
        <v>730</v>
      </c>
      <c r="CV115" s="56">
        <f t="shared" si="42"/>
        <v>0</v>
      </c>
      <c r="CW115" s="56" t="e">
        <f t="shared" si="43"/>
        <v>#DIV/0!</v>
      </c>
      <c r="CX115" s="57">
        <v>0</v>
      </c>
      <c r="CY115" s="57">
        <v>0</v>
      </c>
      <c r="CZ115" s="57">
        <v>0</v>
      </c>
      <c r="DA115" s="57">
        <f t="shared" si="44"/>
        <v>0</v>
      </c>
      <c r="DB115" s="57">
        <v>600</v>
      </c>
      <c r="DC115" s="57">
        <v>0</v>
      </c>
      <c r="DD115" s="57">
        <f t="shared" si="45"/>
        <v>600</v>
      </c>
      <c r="DE115" s="57">
        <f t="shared" si="46"/>
        <v>0</v>
      </c>
      <c r="DF115" s="57" t="e">
        <f t="shared" si="47"/>
        <v>#DIV/0!</v>
      </c>
    </row>
    <row r="116" spans="1:110" ht="14.25" customHeight="1">
      <c r="A116" s="43"/>
      <c r="B116" s="44"/>
      <c r="C116" s="45">
        <v>0</v>
      </c>
      <c r="D116" s="30">
        <v>0</v>
      </c>
      <c r="E116" s="30">
        <v>0</v>
      </c>
      <c r="F116" s="45">
        <f t="shared" si="0"/>
        <v>0</v>
      </c>
      <c r="G116" s="45">
        <v>900</v>
      </c>
      <c r="H116" s="30">
        <v>0</v>
      </c>
      <c r="I116" s="45">
        <f t="shared" si="1"/>
        <v>900</v>
      </c>
      <c r="J116" s="45">
        <f t="shared" si="2"/>
        <v>0</v>
      </c>
      <c r="K116" s="46" t="e">
        <f t="shared" si="3"/>
        <v>#DIV/0!</v>
      </c>
      <c r="L116" s="47">
        <v>0</v>
      </c>
      <c r="M116" s="32">
        <v>0</v>
      </c>
      <c r="N116" s="32">
        <v>0</v>
      </c>
      <c r="O116" s="47">
        <f t="shared" si="4"/>
        <v>0</v>
      </c>
      <c r="P116" s="47">
        <v>1800</v>
      </c>
      <c r="Q116" s="47">
        <v>0</v>
      </c>
      <c r="R116" s="47">
        <f t="shared" si="5"/>
        <v>1800</v>
      </c>
      <c r="S116" s="47">
        <f t="shared" si="6"/>
        <v>0</v>
      </c>
      <c r="T116" s="47" t="e">
        <f t="shared" si="7"/>
        <v>#DIV/0!</v>
      </c>
      <c r="U116" s="48">
        <v>0</v>
      </c>
      <c r="V116" s="48">
        <v>0</v>
      </c>
      <c r="W116" s="48">
        <v>0</v>
      </c>
      <c r="X116" s="48">
        <f t="shared" si="8"/>
        <v>0</v>
      </c>
      <c r="Y116" s="48">
        <v>910</v>
      </c>
      <c r="Z116" s="33">
        <v>0</v>
      </c>
      <c r="AA116" s="48">
        <f t="shared" si="9"/>
        <v>910</v>
      </c>
      <c r="AB116" s="48">
        <f t="shared" si="10"/>
        <v>0</v>
      </c>
      <c r="AC116" s="48" t="e">
        <f t="shared" si="11"/>
        <v>#DIV/0!</v>
      </c>
      <c r="AD116" s="49">
        <v>0</v>
      </c>
      <c r="AE116" s="49">
        <v>0</v>
      </c>
      <c r="AF116" s="49">
        <v>0</v>
      </c>
      <c r="AG116" s="49">
        <f t="shared" si="12"/>
        <v>0</v>
      </c>
      <c r="AH116" s="49">
        <v>1200</v>
      </c>
      <c r="AI116" s="49">
        <v>0</v>
      </c>
      <c r="AJ116" s="49">
        <f t="shared" si="13"/>
        <v>1200</v>
      </c>
      <c r="AK116" s="49">
        <f t="shared" si="14"/>
        <v>0</v>
      </c>
      <c r="AL116" s="49" t="e">
        <f t="shared" si="15"/>
        <v>#DIV/0!</v>
      </c>
      <c r="AM116" s="50">
        <v>0</v>
      </c>
      <c r="AN116" s="50">
        <v>0</v>
      </c>
      <c r="AO116" s="50">
        <v>0</v>
      </c>
      <c r="AP116" s="50">
        <f t="shared" si="16"/>
        <v>0</v>
      </c>
      <c r="AQ116" s="50">
        <v>600</v>
      </c>
      <c r="AR116" s="50">
        <v>0</v>
      </c>
      <c r="AS116" s="50">
        <f t="shared" si="17"/>
        <v>600</v>
      </c>
      <c r="AT116" s="50">
        <f t="shared" si="18"/>
        <v>0</v>
      </c>
      <c r="AU116" s="50" t="e">
        <f t="shared" si="19"/>
        <v>#DIV/0!</v>
      </c>
      <c r="AV116" s="51">
        <v>0</v>
      </c>
      <c r="AW116" s="36">
        <v>0</v>
      </c>
      <c r="AX116" s="36">
        <v>0</v>
      </c>
      <c r="AY116" s="51">
        <f t="shared" si="20"/>
        <v>0</v>
      </c>
      <c r="AZ116" s="51">
        <v>1500</v>
      </c>
      <c r="BA116" s="51">
        <v>0</v>
      </c>
      <c r="BB116" s="51">
        <f t="shared" si="21"/>
        <v>1500</v>
      </c>
      <c r="BC116" s="51">
        <f t="shared" si="22"/>
        <v>0</v>
      </c>
      <c r="BD116" s="51" t="e">
        <f t="shared" si="23"/>
        <v>#DIV/0!</v>
      </c>
      <c r="BE116" s="52">
        <v>0</v>
      </c>
      <c r="BF116" s="37">
        <v>0</v>
      </c>
      <c r="BG116" s="37">
        <v>0</v>
      </c>
      <c r="BH116" s="37">
        <f t="shared" si="24"/>
        <v>0</v>
      </c>
      <c r="BI116" s="52">
        <v>750</v>
      </c>
      <c r="BJ116" s="37">
        <v>0</v>
      </c>
      <c r="BK116" s="52">
        <f t="shared" si="25"/>
        <v>750</v>
      </c>
      <c r="BL116" s="52">
        <f t="shared" si="26"/>
        <v>0</v>
      </c>
      <c r="BM116" s="52" t="e">
        <f t="shared" si="27"/>
        <v>#DIV/0!</v>
      </c>
      <c r="BN116" s="53">
        <v>0</v>
      </c>
      <c r="BO116" s="38">
        <v>0</v>
      </c>
      <c r="BP116" s="38">
        <v>0</v>
      </c>
      <c r="BQ116" s="53">
        <f t="shared" si="28"/>
        <v>0</v>
      </c>
      <c r="BR116" s="53">
        <v>2450</v>
      </c>
      <c r="BS116" s="38">
        <v>0</v>
      </c>
      <c r="BT116" s="53">
        <f t="shared" si="29"/>
        <v>2450</v>
      </c>
      <c r="BU116" s="53">
        <f t="shared" si="30"/>
        <v>0</v>
      </c>
      <c r="BV116" s="53" t="e">
        <f t="shared" si="31"/>
        <v>#DIV/0!</v>
      </c>
      <c r="BW116" s="54">
        <v>0</v>
      </c>
      <c r="BX116" s="39">
        <v>0</v>
      </c>
      <c r="BY116" s="39">
        <v>0</v>
      </c>
      <c r="BZ116" s="54">
        <f t="shared" si="32"/>
        <v>0</v>
      </c>
      <c r="CA116" s="54">
        <v>750</v>
      </c>
      <c r="CB116" s="54">
        <v>0</v>
      </c>
      <c r="CC116" s="54">
        <f t="shared" si="33"/>
        <v>750</v>
      </c>
      <c r="CD116" s="54">
        <f t="shared" si="34"/>
        <v>0</v>
      </c>
      <c r="CE116" s="54" t="e">
        <f t="shared" si="35"/>
        <v>#DIV/0!</v>
      </c>
      <c r="CF116" s="55">
        <v>0</v>
      </c>
      <c r="CG116" s="55">
        <v>0</v>
      </c>
      <c r="CH116" s="55">
        <v>0</v>
      </c>
      <c r="CI116" s="55">
        <f t="shared" si="36"/>
        <v>0</v>
      </c>
      <c r="CJ116" s="55">
        <v>730</v>
      </c>
      <c r="CK116" s="55">
        <v>0</v>
      </c>
      <c r="CL116" s="55">
        <f t="shared" si="37"/>
        <v>730</v>
      </c>
      <c r="CM116" s="55">
        <f t="shared" si="38"/>
        <v>0</v>
      </c>
      <c r="CN116" s="55" t="e">
        <f t="shared" si="39"/>
        <v>#DIV/0!</v>
      </c>
      <c r="CO116" s="56">
        <v>0</v>
      </c>
      <c r="CP116" s="56">
        <v>0</v>
      </c>
      <c r="CQ116" s="56">
        <v>0</v>
      </c>
      <c r="CR116" s="56">
        <f t="shared" si="40"/>
        <v>0</v>
      </c>
      <c r="CS116" s="56">
        <v>730</v>
      </c>
      <c r="CT116" s="56">
        <v>0</v>
      </c>
      <c r="CU116" s="56">
        <f t="shared" si="41"/>
        <v>730</v>
      </c>
      <c r="CV116" s="56">
        <f t="shared" si="42"/>
        <v>0</v>
      </c>
      <c r="CW116" s="56" t="e">
        <f t="shared" si="43"/>
        <v>#DIV/0!</v>
      </c>
      <c r="CX116" s="57">
        <v>0</v>
      </c>
      <c r="CY116" s="57">
        <v>0</v>
      </c>
      <c r="CZ116" s="57">
        <v>0</v>
      </c>
      <c r="DA116" s="57">
        <f t="shared" si="44"/>
        <v>0</v>
      </c>
      <c r="DB116" s="57">
        <v>600</v>
      </c>
      <c r="DC116" s="57">
        <v>0</v>
      </c>
      <c r="DD116" s="57">
        <f t="shared" si="45"/>
        <v>600</v>
      </c>
      <c r="DE116" s="57">
        <f t="shared" si="46"/>
        <v>0</v>
      </c>
      <c r="DF116" s="57" t="e">
        <f t="shared" si="47"/>
        <v>#DIV/0!</v>
      </c>
    </row>
    <row r="120" spans="1:110" ht="15" customHeight="1">
      <c r="E120" s="120" t="s">
        <v>43</v>
      </c>
      <c r="F120">
        <v>800</v>
      </c>
      <c r="N120" s="120" t="s">
        <v>43</v>
      </c>
      <c r="O120">
        <v>1700</v>
      </c>
      <c r="W120" s="120" t="s">
        <v>43</v>
      </c>
      <c r="AG120" s="120" t="s">
        <v>43</v>
      </c>
      <c r="AH120">
        <v>1000</v>
      </c>
      <c r="AP120" s="120" t="s">
        <v>43</v>
      </c>
      <c r="AQ120">
        <v>500</v>
      </c>
      <c r="AX120" s="120" t="s">
        <v>43</v>
      </c>
      <c r="AY120">
        <v>1300</v>
      </c>
      <c r="BG120" s="120" t="s">
        <v>43</v>
      </c>
      <c r="BH120">
        <v>700</v>
      </c>
      <c r="BP120" s="120" t="s">
        <v>43</v>
      </c>
      <c r="BQ120">
        <v>2300</v>
      </c>
      <c r="BZ120" s="120" t="s">
        <v>43</v>
      </c>
      <c r="CA120">
        <v>710</v>
      </c>
      <c r="CG120" s="120" t="s">
        <v>43</v>
      </c>
      <c r="CH120">
        <v>660</v>
      </c>
      <c r="CQ120" s="120" t="s">
        <v>43</v>
      </c>
      <c r="CR120">
        <v>650</v>
      </c>
      <c r="CX120" s="120" t="s">
        <v>43</v>
      </c>
      <c r="CY120">
        <v>500</v>
      </c>
    </row>
    <row r="121" spans="1:110" ht="15" customHeight="1">
      <c r="E121" s="121"/>
    </row>
  </sheetData>
  <autoFilter ref="A2:BU116" xr:uid="{00000000-0009-0000-0000-000000000000}"/>
  <mergeCells count="12">
    <mergeCell ref="BN1:BV1"/>
    <mergeCell ref="BW1:CE1"/>
    <mergeCell ref="CF1:CN1"/>
    <mergeCell ref="CO1:CW1"/>
    <mergeCell ref="CX1:DF1"/>
    <mergeCell ref="AV1:BD1"/>
    <mergeCell ref="BE1:BM1"/>
    <mergeCell ref="C1:K1"/>
    <mergeCell ref="L1:T1"/>
    <mergeCell ref="U1:AC1"/>
    <mergeCell ref="AD1:AL1"/>
    <mergeCell ref="AM1:AU1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F123"/>
  <sheetViews>
    <sheetView topLeftCell="T1" workbookViewId="0">
      <pane ySplit="2" topLeftCell="A112" activePane="bottomLeft" state="frozen"/>
      <selection pane="bottomLeft" activeCell="V123" sqref="V123"/>
    </sheetView>
  </sheetViews>
  <sheetFormatPr defaultColWidth="14.44140625" defaultRowHeight="15" customHeight="1"/>
  <cols>
    <col min="1" max="1" width="50.6640625" customWidth="1"/>
    <col min="2" max="2" width="23.6640625" customWidth="1"/>
    <col min="3" max="110" width="15.44140625" customWidth="1"/>
  </cols>
  <sheetData>
    <row r="1" spans="1:110" ht="14.25" customHeight="1">
      <c r="A1" s="1"/>
      <c r="B1" s="2"/>
      <c r="C1" s="127" t="s">
        <v>0</v>
      </c>
      <c r="D1" s="124"/>
      <c r="E1" s="124"/>
      <c r="F1" s="124"/>
      <c r="G1" s="124"/>
      <c r="H1" s="124"/>
      <c r="I1" s="124"/>
      <c r="J1" s="124"/>
      <c r="K1" s="125"/>
      <c r="L1" s="128" t="s">
        <v>1</v>
      </c>
      <c r="M1" s="124"/>
      <c r="N1" s="124"/>
      <c r="O1" s="124"/>
      <c r="P1" s="124"/>
      <c r="Q1" s="124"/>
      <c r="R1" s="124"/>
      <c r="S1" s="124"/>
      <c r="T1" s="125"/>
      <c r="U1" s="129" t="s">
        <v>2</v>
      </c>
      <c r="V1" s="124"/>
      <c r="W1" s="124"/>
      <c r="X1" s="124"/>
      <c r="Y1" s="124"/>
      <c r="Z1" s="124"/>
      <c r="AA1" s="124"/>
      <c r="AB1" s="124"/>
      <c r="AC1" s="125"/>
      <c r="AD1" s="130" t="s">
        <v>3</v>
      </c>
      <c r="AE1" s="124"/>
      <c r="AF1" s="124"/>
      <c r="AG1" s="124"/>
      <c r="AH1" s="124"/>
      <c r="AI1" s="124"/>
      <c r="AJ1" s="124"/>
      <c r="AK1" s="124"/>
      <c r="AL1" s="125"/>
      <c r="AM1" s="131" t="s">
        <v>4</v>
      </c>
      <c r="AN1" s="124"/>
      <c r="AO1" s="124"/>
      <c r="AP1" s="124"/>
      <c r="AQ1" s="124"/>
      <c r="AR1" s="124"/>
      <c r="AS1" s="124"/>
      <c r="AT1" s="124"/>
      <c r="AU1" s="125"/>
      <c r="AV1" s="123" t="s">
        <v>5</v>
      </c>
      <c r="AW1" s="124"/>
      <c r="AX1" s="124"/>
      <c r="AY1" s="124"/>
      <c r="AZ1" s="124"/>
      <c r="BA1" s="124"/>
      <c r="BB1" s="124"/>
      <c r="BC1" s="124"/>
      <c r="BD1" s="125"/>
      <c r="BE1" s="126" t="s">
        <v>6</v>
      </c>
      <c r="BF1" s="124"/>
      <c r="BG1" s="124"/>
      <c r="BH1" s="124"/>
      <c r="BI1" s="124"/>
      <c r="BJ1" s="124"/>
      <c r="BK1" s="124"/>
      <c r="BL1" s="124"/>
      <c r="BM1" s="125"/>
      <c r="BN1" s="132" t="s">
        <v>7</v>
      </c>
      <c r="BO1" s="124"/>
      <c r="BP1" s="124"/>
      <c r="BQ1" s="124"/>
      <c r="BR1" s="124"/>
      <c r="BS1" s="124"/>
      <c r="BT1" s="124"/>
      <c r="BU1" s="124"/>
      <c r="BV1" s="125"/>
      <c r="BW1" s="133" t="s">
        <v>8</v>
      </c>
      <c r="BX1" s="124"/>
      <c r="BY1" s="124"/>
      <c r="BZ1" s="124"/>
      <c r="CA1" s="124"/>
      <c r="CB1" s="124"/>
      <c r="CC1" s="124"/>
      <c r="CD1" s="124"/>
      <c r="CE1" s="125"/>
      <c r="CF1" s="134" t="s">
        <v>9</v>
      </c>
      <c r="CG1" s="124"/>
      <c r="CH1" s="124"/>
      <c r="CI1" s="124"/>
      <c r="CJ1" s="124"/>
      <c r="CK1" s="124"/>
      <c r="CL1" s="124"/>
      <c r="CM1" s="124"/>
      <c r="CN1" s="125"/>
      <c r="CO1" s="135" t="s">
        <v>10</v>
      </c>
      <c r="CP1" s="124"/>
      <c r="CQ1" s="124"/>
      <c r="CR1" s="124"/>
      <c r="CS1" s="124"/>
      <c r="CT1" s="124"/>
      <c r="CU1" s="124"/>
      <c r="CV1" s="124"/>
      <c r="CW1" s="125"/>
      <c r="CX1" s="136" t="s">
        <v>11</v>
      </c>
      <c r="CY1" s="124"/>
      <c r="CZ1" s="124"/>
      <c r="DA1" s="124"/>
      <c r="DB1" s="124"/>
      <c r="DC1" s="124"/>
      <c r="DD1" s="124"/>
      <c r="DE1" s="124"/>
      <c r="DF1" s="125"/>
    </row>
    <row r="2" spans="1:110" ht="14.25" customHeight="1">
      <c r="A2" s="3" t="s">
        <v>12</v>
      </c>
      <c r="B2" s="58" t="s">
        <v>23</v>
      </c>
      <c r="C2" s="4" t="s">
        <v>14</v>
      </c>
      <c r="D2" s="4" t="s">
        <v>15</v>
      </c>
      <c r="E2" s="4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4" t="s">
        <v>21</v>
      </c>
      <c r="K2" s="4" t="s">
        <v>22</v>
      </c>
      <c r="L2" s="6" t="s">
        <v>14</v>
      </c>
      <c r="M2" s="6" t="s">
        <v>15</v>
      </c>
      <c r="N2" s="6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6" t="s">
        <v>21</v>
      </c>
      <c r="T2" s="6" t="s">
        <v>22</v>
      </c>
      <c r="U2" s="8" t="s">
        <v>14</v>
      </c>
      <c r="V2" s="8" t="s">
        <v>15</v>
      </c>
      <c r="W2" s="8" t="s">
        <v>16</v>
      </c>
      <c r="X2" s="9" t="s">
        <v>17</v>
      </c>
      <c r="Y2" s="9" t="s">
        <v>18</v>
      </c>
      <c r="Z2" s="9" t="s">
        <v>19</v>
      </c>
      <c r="AA2" s="9" t="s">
        <v>20</v>
      </c>
      <c r="AB2" s="8" t="s">
        <v>21</v>
      </c>
      <c r="AC2" s="8" t="s">
        <v>22</v>
      </c>
      <c r="AD2" s="10" t="s">
        <v>14</v>
      </c>
      <c r="AE2" s="10" t="s">
        <v>15</v>
      </c>
      <c r="AF2" s="10" t="s">
        <v>16</v>
      </c>
      <c r="AG2" s="11" t="s">
        <v>17</v>
      </c>
      <c r="AH2" s="11" t="s">
        <v>18</v>
      </c>
      <c r="AI2" s="11" t="s">
        <v>19</v>
      </c>
      <c r="AJ2" s="11" t="s">
        <v>20</v>
      </c>
      <c r="AK2" s="10" t="s">
        <v>21</v>
      </c>
      <c r="AL2" s="10" t="s">
        <v>22</v>
      </c>
      <c r="AM2" s="12" t="s">
        <v>14</v>
      </c>
      <c r="AN2" s="12" t="s">
        <v>15</v>
      </c>
      <c r="AO2" s="12" t="s">
        <v>16</v>
      </c>
      <c r="AP2" s="13" t="s">
        <v>17</v>
      </c>
      <c r="AQ2" s="13" t="s">
        <v>18</v>
      </c>
      <c r="AR2" s="13" t="s">
        <v>19</v>
      </c>
      <c r="AS2" s="13" t="s">
        <v>20</v>
      </c>
      <c r="AT2" s="12" t="s">
        <v>21</v>
      </c>
      <c r="AU2" s="12" t="s">
        <v>22</v>
      </c>
      <c r="AV2" s="14" t="s">
        <v>14</v>
      </c>
      <c r="AW2" s="14" t="s">
        <v>15</v>
      </c>
      <c r="AX2" s="14" t="s">
        <v>16</v>
      </c>
      <c r="AY2" s="15" t="s">
        <v>17</v>
      </c>
      <c r="AZ2" s="15" t="s">
        <v>18</v>
      </c>
      <c r="BA2" s="15" t="s">
        <v>19</v>
      </c>
      <c r="BB2" s="15" t="s">
        <v>20</v>
      </c>
      <c r="BC2" s="14" t="s">
        <v>21</v>
      </c>
      <c r="BD2" s="14" t="s">
        <v>22</v>
      </c>
      <c r="BE2" s="16" t="s">
        <v>14</v>
      </c>
      <c r="BF2" s="16" t="s">
        <v>15</v>
      </c>
      <c r="BG2" s="16" t="s">
        <v>16</v>
      </c>
      <c r="BH2" s="17" t="s">
        <v>17</v>
      </c>
      <c r="BI2" s="17" t="s">
        <v>18</v>
      </c>
      <c r="BJ2" s="17" t="s">
        <v>19</v>
      </c>
      <c r="BK2" s="17" t="s">
        <v>20</v>
      </c>
      <c r="BL2" s="16" t="s">
        <v>21</v>
      </c>
      <c r="BM2" s="16" t="s">
        <v>22</v>
      </c>
      <c r="BN2" s="18" t="s">
        <v>14</v>
      </c>
      <c r="BO2" s="18" t="s">
        <v>15</v>
      </c>
      <c r="BP2" s="18" t="s">
        <v>16</v>
      </c>
      <c r="BQ2" s="19" t="s">
        <v>17</v>
      </c>
      <c r="BR2" s="19" t="s">
        <v>18</v>
      </c>
      <c r="BS2" s="19" t="s">
        <v>19</v>
      </c>
      <c r="BT2" s="19" t="s">
        <v>20</v>
      </c>
      <c r="BU2" s="18" t="s">
        <v>21</v>
      </c>
      <c r="BV2" s="18" t="s">
        <v>22</v>
      </c>
      <c r="BW2" s="20" t="s">
        <v>14</v>
      </c>
      <c r="BX2" s="20" t="s">
        <v>15</v>
      </c>
      <c r="BY2" s="20" t="s">
        <v>16</v>
      </c>
      <c r="BZ2" s="21" t="s">
        <v>17</v>
      </c>
      <c r="CA2" s="21" t="s">
        <v>18</v>
      </c>
      <c r="CB2" s="21" t="s">
        <v>19</v>
      </c>
      <c r="CC2" s="21" t="s">
        <v>20</v>
      </c>
      <c r="CD2" s="20" t="s">
        <v>21</v>
      </c>
      <c r="CE2" s="20" t="s">
        <v>22</v>
      </c>
      <c r="CF2" s="22" t="s">
        <v>14</v>
      </c>
      <c r="CG2" s="22" t="s">
        <v>15</v>
      </c>
      <c r="CH2" s="22" t="s">
        <v>16</v>
      </c>
      <c r="CI2" s="23" t="s">
        <v>17</v>
      </c>
      <c r="CJ2" s="23" t="s">
        <v>18</v>
      </c>
      <c r="CK2" s="23" t="s">
        <v>19</v>
      </c>
      <c r="CL2" s="23" t="s">
        <v>20</v>
      </c>
      <c r="CM2" s="22" t="s">
        <v>21</v>
      </c>
      <c r="CN2" s="22" t="s">
        <v>22</v>
      </c>
      <c r="CO2" s="24" t="s">
        <v>14</v>
      </c>
      <c r="CP2" s="24" t="s">
        <v>15</v>
      </c>
      <c r="CQ2" s="24" t="s">
        <v>16</v>
      </c>
      <c r="CR2" s="25" t="s">
        <v>17</v>
      </c>
      <c r="CS2" s="25" t="s">
        <v>18</v>
      </c>
      <c r="CT2" s="25" t="s">
        <v>19</v>
      </c>
      <c r="CU2" s="25" t="s">
        <v>20</v>
      </c>
      <c r="CV2" s="24" t="s">
        <v>21</v>
      </c>
      <c r="CW2" s="24" t="s">
        <v>22</v>
      </c>
      <c r="CX2" s="26" t="s">
        <v>14</v>
      </c>
      <c r="CY2" s="26" t="s">
        <v>15</v>
      </c>
      <c r="CZ2" s="26" t="s">
        <v>16</v>
      </c>
      <c r="DA2" s="27" t="s">
        <v>17</v>
      </c>
      <c r="DB2" s="27" t="s">
        <v>18</v>
      </c>
      <c r="DC2" s="27" t="s">
        <v>19</v>
      </c>
      <c r="DD2" s="27" t="s">
        <v>20</v>
      </c>
      <c r="DE2" s="26" t="s">
        <v>21</v>
      </c>
      <c r="DF2" s="26" t="s">
        <v>22</v>
      </c>
    </row>
    <row r="3" spans="1:110" ht="14.25" customHeight="1">
      <c r="A3" s="59"/>
      <c r="B3" s="29"/>
      <c r="C3" s="30">
        <v>0</v>
      </c>
      <c r="D3" s="30">
        <v>0</v>
      </c>
      <c r="E3" s="30">
        <v>0</v>
      </c>
      <c r="F3" s="30">
        <f t="shared" ref="F3:F119" si="0">D3-E3</f>
        <v>0</v>
      </c>
      <c r="G3" s="30">
        <v>900</v>
      </c>
      <c r="H3" s="30">
        <v>0</v>
      </c>
      <c r="I3" s="30">
        <f t="shared" ref="I3:I119" si="1">G3-H3</f>
        <v>900</v>
      </c>
      <c r="J3" s="30">
        <f t="shared" ref="J3:J119" si="2">I3*F3</f>
        <v>0</v>
      </c>
      <c r="K3" s="30" t="e">
        <f t="shared" ref="K3:K119" si="3">(E3/D3)*100</f>
        <v>#DIV/0!</v>
      </c>
      <c r="L3" s="32">
        <v>0</v>
      </c>
      <c r="M3" s="32">
        <v>0</v>
      </c>
      <c r="N3" s="32">
        <v>0</v>
      </c>
      <c r="O3" s="32">
        <f t="shared" ref="O3:O119" si="4">M3-N3</f>
        <v>0</v>
      </c>
      <c r="P3" s="32">
        <v>1800</v>
      </c>
      <c r="Q3" s="32">
        <v>0</v>
      </c>
      <c r="R3" s="32">
        <f t="shared" ref="R3:R119" si="5">P3-Q3</f>
        <v>1800</v>
      </c>
      <c r="S3" s="32">
        <f t="shared" ref="S3:S119" si="6">R3*O3</f>
        <v>0</v>
      </c>
      <c r="T3" s="32" t="e">
        <f t="shared" ref="T3:T119" si="7">(N3/M3)*100</f>
        <v>#DIV/0!</v>
      </c>
      <c r="U3" s="33">
        <v>0</v>
      </c>
      <c r="V3" s="33">
        <v>0</v>
      </c>
      <c r="W3" s="33">
        <v>0</v>
      </c>
      <c r="X3" s="33">
        <f t="shared" ref="X3:X119" si="8">V3-W3</f>
        <v>0</v>
      </c>
      <c r="Y3" s="33">
        <v>910</v>
      </c>
      <c r="Z3" s="33">
        <v>0</v>
      </c>
      <c r="AA3" s="33">
        <f t="shared" ref="AA3:AA119" si="9">Y3-Z3</f>
        <v>910</v>
      </c>
      <c r="AB3" s="33">
        <f t="shared" ref="AB3:AB119" si="10">AA3*X3</f>
        <v>0</v>
      </c>
      <c r="AC3" s="33" t="e">
        <f t="shared" ref="AC3:AC119" si="11">(W3/V3)*100</f>
        <v>#DIV/0!</v>
      </c>
      <c r="AD3" s="34">
        <v>0</v>
      </c>
      <c r="AE3" s="34">
        <v>0</v>
      </c>
      <c r="AF3" s="34">
        <v>0</v>
      </c>
      <c r="AG3" s="34">
        <f t="shared" ref="AG3:AG81" si="12">AE3-AF3</f>
        <v>0</v>
      </c>
      <c r="AH3" s="34">
        <v>1200</v>
      </c>
      <c r="AI3" s="34">
        <v>0</v>
      </c>
      <c r="AJ3" s="34">
        <f t="shared" ref="AJ3:AJ119" si="13">AH3-AI3</f>
        <v>1200</v>
      </c>
      <c r="AK3" s="34">
        <f t="shared" ref="AK3:AK119" si="14">AJ3*AG3</f>
        <v>0</v>
      </c>
      <c r="AL3" s="34" t="e">
        <f t="shared" ref="AL3:AL119" si="15">(AF3/AE3)*100</f>
        <v>#DIV/0!</v>
      </c>
      <c r="AM3" s="35">
        <v>0</v>
      </c>
      <c r="AN3" s="35">
        <v>0</v>
      </c>
      <c r="AO3" s="35">
        <v>0</v>
      </c>
      <c r="AP3" s="35">
        <f t="shared" ref="AP3:AP119" si="16">AN3-AO3</f>
        <v>0</v>
      </c>
      <c r="AQ3" s="35">
        <v>600</v>
      </c>
      <c r="AR3" s="35">
        <v>0</v>
      </c>
      <c r="AS3" s="35">
        <f t="shared" ref="AS3:AS119" si="17">AQ3-AR3</f>
        <v>600</v>
      </c>
      <c r="AT3" s="35">
        <f t="shared" ref="AT3:AT119" si="18">AS3*AP3</f>
        <v>0</v>
      </c>
      <c r="AU3" s="35" t="e">
        <f t="shared" ref="AU3:AU119" si="19">(AO3/AN3)*100</f>
        <v>#DIV/0!</v>
      </c>
      <c r="AV3" s="36">
        <v>0</v>
      </c>
      <c r="AW3" s="36">
        <v>0</v>
      </c>
      <c r="AX3" s="36">
        <v>0</v>
      </c>
      <c r="AY3" s="36">
        <f t="shared" ref="AY3:AY119" si="20">AW3-AX3</f>
        <v>0</v>
      </c>
      <c r="AZ3" s="36">
        <v>1500</v>
      </c>
      <c r="BA3" s="36">
        <v>0</v>
      </c>
      <c r="BB3" s="36">
        <f t="shared" ref="BB3:BB119" si="21">AZ3-BA3</f>
        <v>1500</v>
      </c>
      <c r="BC3" s="36">
        <f t="shared" ref="BC3:BC119" si="22">BB3*AY3</f>
        <v>0</v>
      </c>
      <c r="BD3" s="36" t="e">
        <f t="shared" ref="BD3:BD119" si="23">(AX3/AW3)*100</f>
        <v>#DIV/0!</v>
      </c>
      <c r="BE3" s="37">
        <v>0</v>
      </c>
      <c r="BF3" s="37">
        <v>0</v>
      </c>
      <c r="BG3" s="37">
        <v>0</v>
      </c>
      <c r="BH3" s="37">
        <f t="shared" ref="BH3:BH119" si="24">BF3-BG3</f>
        <v>0</v>
      </c>
      <c r="BI3" s="37">
        <v>750</v>
      </c>
      <c r="BJ3" s="37">
        <v>0</v>
      </c>
      <c r="BK3" s="37">
        <f t="shared" ref="BK3:BK119" si="25">BI3-BJ3</f>
        <v>750</v>
      </c>
      <c r="BL3" s="37">
        <f t="shared" ref="BL3:BL119" si="26">BK3*BH3</f>
        <v>0</v>
      </c>
      <c r="BM3" s="37" t="e">
        <f t="shared" ref="BM3:BM119" si="27">(BG3/BF3)*100</f>
        <v>#DIV/0!</v>
      </c>
      <c r="BN3" s="38">
        <v>0</v>
      </c>
      <c r="BO3" s="38">
        <v>0</v>
      </c>
      <c r="BP3" s="38">
        <v>0</v>
      </c>
      <c r="BQ3" s="38">
        <f t="shared" ref="BQ3:BQ119" si="28">BO3-BP3</f>
        <v>0</v>
      </c>
      <c r="BR3" s="38">
        <v>2450</v>
      </c>
      <c r="BS3" s="38">
        <v>0</v>
      </c>
      <c r="BT3" s="38">
        <f t="shared" ref="BT3:BT119" si="29">BR3-BS3</f>
        <v>2450</v>
      </c>
      <c r="BU3" s="38">
        <f t="shared" ref="BU3:BU119" si="30">BT3*BQ3</f>
        <v>0</v>
      </c>
      <c r="BV3" s="38" t="e">
        <f t="shared" ref="BV3:BV119" si="31">(BP3/BO3)*100</f>
        <v>#DIV/0!</v>
      </c>
      <c r="BW3" s="39">
        <v>0</v>
      </c>
      <c r="BX3" s="39">
        <v>0</v>
      </c>
      <c r="BY3" s="39">
        <v>0</v>
      </c>
      <c r="BZ3" s="39">
        <f t="shared" ref="BZ3:BZ119" si="32">BX3-BY3</f>
        <v>0</v>
      </c>
      <c r="CA3" s="39">
        <v>750</v>
      </c>
      <c r="CB3" s="39">
        <v>0</v>
      </c>
      <c r="CC3" s="39">
        <f t="shared" ref="CC3:CC119" si="33">CA3-CB3</f>
        <v>750</v>
      </c>
      <c r="CD3" s="39">
        <f t="shared" ref="CD3:CD119" si="34">CC3*BZ3</f>
        <v>0</v>
      </c>
      <c r="CE3" s="39" t="e">
        <f t="shared" ref="CE3:CE119" si="35">(BY3/BX3)*100</f>
        <v>#DIV/0!</v>
      </c>
      <c r="CF3" s="40">
        <v>0</v>
      </c>
      <c r="CG3" s="40">
        <v>0</v>
      </c>
      <c r="CH3" s="40">
        <v>0</v>
      </c>
      <c r="CI3" s="40">
        <f t="shared" ref="CI3:CI119" si="36">CG3-CH3</f>
        <v>0</v>
      </c>
      <c r="CJ3" s="40">
        <v>730</v>
      </c>
      <c r="CK3" s="40">
        <v>0</v>
      </c>
      <c r="CL3" s="40">
        <f t="shared" ref="CL3:CL119" si="37">CJ3-CK3</f>
        <v>730</v>
      </c>
      <c r="CM3" s="40">
        <f t="shared" ref="CM3:CM119" si="38">CL3*CI3</f>
        <v>0</v>
      </c>
      <c r="CN3" s="40" t="e">
        <f t="shared" ref="CN3:CN119" si="39">(CH3/CG3)*100</f>
        <v>#DIV/0!</v>
      </c>
      <c r="CO3" s="41">
        <v>0</v>
      </c>
      <c r="CP3" s="41">
        <v>0</v>
      </c>
      <c r="CQ3" s="41">
        <v>0</v>
      </c>
      <c r="CR3" s="41">
        <f t="shared" ref="CR3:CR119" si="40">CP3-CQ3</f>
        <v>0</v>
      </c>
      <c r="CS3" s="41">
        <v>730</v>
      </c>
      <c r="CT3" s="41">
        <v>0</v>
      </c>
      <c r="CU3" s="41">
        <f t="shared" ref="CU3:CU119" si="41">CS3-CT3</f>
        <v>730</v>
      </c>
      <c r="CV3" s="41">
        <f t="shared" ref="CV3:CV119" si="42">CU3*CR3</f>
        <v>0</v>
      </c>
      <c r="CW3" s="41" t="e">
        <f t="shared" ref="CW3:CW119" si="43">(CQ3/CP3)*100</f>
        <v>#DIV/0!</v>
      </c>
      <c r="CX3" s="42">
        <v>0</v>
      </c>
      <c r="CY3" s="42">
        <v>0</v>
      </c>
      <c r="CZ3" s="42">
        <v>0</v>
      </c>
      <c r="DA3" s="42">
        <f t="shared" ref="DA3:DA119" si="44">CY3-CZ3</f>
        <v>0</v>
      </c>
      <c r="DB3" s="42">
        <v>600</v>
      </c>
      <c r="DC3" s="42">
        <v>0</v>
      </c>
      <c r="DD3" s="42">
        <f t="shared" ref="DD3:DD119" si="45">DB3-DC3</f>
        <v>600</v>
      </c>
      <c r="DE3" s="42">
        <f t="shared" ref="DE3:DE119" si="46">DD3*DA3</f>
        <v>0</v>
      </c>
      <c r="DF3" s="42" t="e">
        <f t="shared" ref="DF3:DF119" si="47">(CZ3/CY3)*100</f>
        <v>#DIV/0!</v>
      </c>
    </row>
    <row r="4" spans="1:110" ht="14.25" customHeight="1">
      <c r="A4" s="59"/>
      <c r="B4" s="29"/>
      <c r="C4" s="45">
        <v>0</v>
      </c>
      <c r="D4" s="45">
        <v>0</v>
      </c>
      <c r="E4" s="45">
        <v>0</v>
      </c>
      <c r="F4" s="45">
        <f t="shared" si="0"/>
        <v>0</v>
      </c>
      <c r="G4" s="45">
        <v>900</v>
      </c>
      <c r="H4" s="45">
        <v>0</v>
      </c>
      <c r="I4" s="45">
        <f t="shared" si="1"/>
        <v>900</v>
      </c>
      <c r="J4" s="45">
        <f t="shared" si="2"/>
        <v>0</v>
      </c>
      <c r="K4" s="45" t="e">
        <f t="shared" si="3"/>
        <v>#DIV/0!</v>
      </c>
      <c r="L4" s="47">
        <v>0</v>
      </c>
      <c r="M4" s="47">
        <v>0</v>
      </c>
      <c r="N4" s="47">
        <v>0</v>
      </c>
      <c r="O4" s="47">
        <f t="shared" si="4"/>
        <v>0</v>
      </c>
      <c r="P4" s="47">
        <v>1800</v>
      </c>
      <c r="Q4" s="47">
        <v>0</v>
      </c>
      <c r="R4" s="47">
        <f t="shared" si="5"/>
        <v>1800</v>
      </c>
      <c r="S4" s="47">
        <f t="shared" si="6"/>
        <v>0</v>
      </c>
      <c r="T4" s="47" t="e">
        <f t="shared" si="7"/>
        <v>#DIV/0!</v>
      </c>
      <c r="U4" s="48">
        <v>0</v>
      </c>
      <c r="V4" s="48">
        <v>0</v>
      </c>
      <c r="W4" s="48">
        <v>0</v>
      </c>
      <c r="X4" s="48">
        <f t="shared" si="8"/>
        <v>0</v>
      </c>
      <c r="Y4" s="48">
        <v>910</v>
      </c>
      <c r="Z4" s="48">
        <v>0</v>
      </c>
      <c r="AA4" s="48">
        <f t="shared" si="9"/>
        <v>910</v>
      </c>
      <c r="AB4" s="48">
        <f t="shared" si="10"/>
        <v>0</v>
      </c>
      <c r="AC4" s="48" t="e">
        <f t="shared" si="11"/>
        <v>#DIV/0!</v>
      </c>
      <c r="AD4" s="49">
        <v>0</v>
      </c>
      <c r="AE4" s="49">
        <v>60</v>
      </c>
      <c r="AF4" s="49">
        <v>2</v>
      </c>
      <c r="AG4" s="49">
        <f t="shared" si="12"/>
        <v>58</v>
      </c>
      <c r="AH4" s="49">
        <v>1200</v>
      </c>
      <c r="AI4" s="49">
        <v>150</v>
      </c>
      <c r="AJ4" s="49">
        <f t="shared" si="13"/>
        <v>1050</v>
      </c>
      <c r="AK4" s="49">
        <f t="shared" si="14"/>
        <v>60900</v>
      </c>
      <c r="AL4" s="49">
        <f t="shared" si="15"/>
        <v>3.3333333333333335</v>
      </c>
      <c r="AM4" s="50">
        <v>0</v>
      </c>
      <c r="AN4" s="50">
        <v>6</v>
      </c>
      <c r="AO4" s="50">
        <v>0</v>
      </c>
      <c r="AP4" s="50">
        <f t="shared" si="16"/>
        <v>6</v>
      </c>
      <c r="AQ4" s="50">
        <v>600</v>
      </c>
      <c r="AR4" s="50">
        <v>75</v>
      </c>
      <c r="AS4" s="50">
        <f t="shared" si="17"/>
        <v>525</v>
      </c>
      <c r="AT4" s="50">
        <f t="shared" si="18"/>
        <v>3150</v>
      </c>
      <c r="AU4" s="50">
        <f t="shared" si="19"/>
        <v>0</v>
      </c>
      <c r="AV4" s="51">
        <v>0</v>
      </c>
      <c r="AW4" s="51">
        <v>42</v>
      </c>
      <c r="AX4" s="51">
        <v>9</v>
      </c>
      <c r="AY4" s="51">
        <f t="shared" si="20"/>
        <v>33</v>
      </c>
      <c r="AZ4" s="51">
        <v>1500</v>
      </c>
      <c r="BA4" s="51">
        <v>120</v>
      </c>
      <c r="BB4" s="51">
        <f t="shared" si="21"/>
        <v>1380</v>
      </c>
      <c r="BC4" s="51">
        <f t="shared" si="22"/>
        <v>45540</v>
      </c>
      <c r="BD4" s="51">
        <f t="shared" si="23"/>
        <v>21.428571428571427</v>
      </c>
      <c r="BE4" s="52">
        <v>0</v>
      </c>
      <c r="BF4" s="52">
        <v>174</v>
      </c>
      <c r="BG4" s="52">
        <v>51</v>
      </c>
      <c r="BH4" s="52">
        <f t="shared" si="24"/>
        <v>123</v>
      </c>
      <c r="BI4" s="52">
        <v>750</v>
      </c>
      <c r="BJ4" s="52">
        <v>60</v>
      </c>
      <c r="BK4" s="52">
        <f t="shared" si="25"/>
        <v>690</v>
      </c>
      <c r="BL4" s="52">
        <f t="shared" si="26"/>
        <v>84870</v>
      </c>
      <c r="BM4" s="52">
        <f t="shared" si="27"/>
        <v>29.310344827586203</v>
      </c>
      <c r="BN4" s="53">
        <v>0</v>
      </c>
      <c r="BO4" s="53">
        <v>120</v>
      </c>
      <c r="BP4" s="53">
        <f>120-87</f>
        <v>33</v>
      </c>
      <c r="BQ4" s="53">
        <f t="shared" si="28"/>
        <v>87</v>
      </c>
      <c r="BR4" s="53">
        <v>2450</v>
      </c>
      <c r="BS4" s="53">
        <v>350</v>
      </c>
      <c r="BT4" s="53">
        <f t="shared" si="29"/>
        <v>2100</v>
      </c>
      <c r="BU4" s="53">
        <f t="shared" si="30"/>
        <v>182700</v>
      </c>
      <c r="BV4" s="53">
        <f t="shared" si="31"/>
        <v>27.500000000000004</v>
      </c>
      <c r="BW4" s="54">
        <v>0</v>
      </c>
      <c r="BX4" s="54">
        <v>0</v>
      </c>
      <c r="BY4" s="54">
        <v>0</v>
      </c>
      <c r="BZ4" s="54">
        <f t="shared" si="32"/>
        <v>0</v>
      </c>
      <c r="CA4" s="54">
        <v>750</v>
      </c>
      <c r="CB4" s="54">
        <v>0</v>
      </c>
      <c r="CC4" s="54">
        <f t="shared" si="33"/>
        <v>750</v>
      </c>
      <c r="CD4" s="54">
        <f t="shared" si="34"/>
        <v>0</v>
      </c>
      <c r="CE4" s="54" t="e">
        <f t="shared" si="35"/>
        <v>#DIV/0!</v>
      </c>
      <c r="CF4" s="55">
        <v>0</v>
      </c>
      <c r="CG4" s="55">
        <v>0</v>
      </c>
      <c r="CH4" s="55">
        <v>0</v>
      </c>
      <c r="CI4" s="55">
        <f t="shared" si="36"/>
        <v>0</v>
      </c>
      <c r="CJ4" s="55">
        <v>730</v>
      </c>
      <c r="CK4" s="55">
        <v>0</v>
      </c>
      <c r="CL4" s="55">
        <f t="shared" si="37"/>
        <v>730</v>
      </c>
      <c r="CM4" s="55">
        <f t="shared" si="38"/>
        <v>0</v>
      </c>
      <c r="CN4" s="55" t="e">
        <f t="shared" si="39"/>
        <v>#DIV/0!</v>
      </c>
      <c r="CO4" s="56">
        <v>0</v>
      </c>
      <c r="CP4" s="56">
        <v>0</v>
      </c>
      <c r="CQ4" s="56">
        <v>0</v>
      </c>
      <c r="CR4" s="56">
        <f t="shared" si="40"/>
        <v>0</v>
      </c>
      <c r="CS4" s="56">
        <v>730</v>
      </c>
      <c r="CT4" s="56">
        <v>0</v>
      </c>
      <c r="CU4" s="56">
        <f t="shared" si="41"/>
        <v>730</v>
      </c>
      <c r="CV4" s="56">
        <f t="shared" si="42"/>
        <v>0</v>
      </c>
      <c r="CW4" s="56" t="e">
        <f t="shared" si="43"/>
        <v>#DIV/0!</v>
      </c>
      <c r="CX4" s="57">
        <v>0</v>
      </c>
      <c r="CY4" s="57">
        <v>0</v>
      </c>
      <c r="CZ4" s="57">
        <v>0</v>
      </c>
      <c r="DA4" s="57">
        <f t="shared" si="44"/>
        <v>0</v>
      </c>
      <c r="DB4" s="57">
        <v>600</v>
      </c>
      <c r="DC4" s="57">
        <v>0</v>
      </c>
      <c r="DD4" s="57">
        <f t="shared" si="45"/>
        <v>600</v>
      </c>
      <c r="DE4" s="57">
        <f t="shared" si="46"/>
        <v>0</v>
      </c>
      <c r="DF4" s="57" t="e">
        <f t="shared" si="47"/>
        <v>#DIV/0!</v>
      </c>
    </row>
    <row r="5" spans="1:110" ht="14.25" customHeight="1">
      <c r="A5" s="59"/>
      <c r="B5" s="29"/>
      <c r="C5" s="45">
        <v>0</v>
      </c>
      <c r="D5" s="45">
        <v>0</v>
      </c>
      <c r="E5" s="45">
        <v>0</v>
      </c>
      <c r="F5" s="45">
        <f t="shared" si="0"/>
        <v>0</v>
      </c>
      <c r="G5" s="45">
        <v>900</v>
      </c>
      <c r="H5" s="45">
        <v>0</v>
      </c>
      <c r="I5" s="45">
        <f t="shared" si="1"/>
        <v>900</v>
      </c>
      <c r="J5" s="45">
        <f t="shared" si="2"/>
        <v>0</v>
      </c>
      <c r="K5" s="45" t="e">
        <f t="shared" si="3"/>
        <v>#DIV/0!</v>
      </c>
      <c r="L5" s="47">
        <v>0</v>
      </c>
      <c r="M5" s="47">
        <v>0</v>
      </c>
      <c r="N5" s="47">
        <v>0</v>
      </c>
      <c r="O5" s="47">
        <f t="shared" si="4"/>
        <v>0</v>
      </c>
      <c r="P5" s="47">
        <v>1800</v>
      </c>
      <c r="Q5" s="47">
        <v>0</v>
      </c>
      <c r="R5" s="47">
        <f t="shared" si="5"/>
        <v>1800</v>
      </c>
      <c r="S5" s="47">
        <f t="shared" si="6"/>
        <v>0</v>
      </c>
      <c r="T5" s="47" t="e">
        <f t="shared" si="7"/>
        <v>#DIV/0!</v>
      </c>
      <c r="U5" s="48">
        <v>0</v>
      </c>
      <c r="V5" s="48">
        <v>0</v>
      </c>
      <c r="W5" s="48">
        <v>0</v>
      </c>
      <c r="X5" s="48">
        <f t="shared" si="8"/>
        <v>0</v>
      </c>
      <c r="Y5" s="48">
        <v>910</v>
      </c>
      <c r="Z5" s="48">
        <v>0</v>
      </c>
      <c r="AA5" s="48">
        <f t="shared" si="9"/>
        <v>910</v>
      </c>
      <c r="AB5" s="48">
        <f t="shared" si="10"/>
        <v>0</v>
      </c>
      <c r="AC5" s="48" t="e">
        <f t="shared" si="11"/>
        <v>#DIV/0!</v>
      </c>
      <c r="AD5" s="49">
        <v>0</v>
      </c>
      <c r="AE5" s="49">
        <v>0</v>
      </c>
      <c r="AF5" s="49">
        <v>0</v>
      </c>
      <c r="AG5" s="49">
        <f t="shared" si="12"/>
        <v>0</v>
      </c>
      <c r="AH5" s="49">
        <v>1200</v>
      </c>
      <c r="AI5" s="49">
        <v>0</v>
      </c>
      <c r="AJ5" s="49">
        <f t="shared" si="13"/>
        <v>1200</v>
      </c>
      <c r="AK5" s="49">
        <f t="shared" si="14"/>
        <v>0</v>
      </c>
      <c r="AL5" s="49" t="e">
        <f t="shared" si="15"/>
        <v>#DIV/0!</v>
      </c>
      <c r="AM5" s="50">
        <v>0</v>
      </c>
      <c r="AN5" s="50">
        <v>0</v>
      </c>
      <c r="AO5" s="50">
        <v>0</v>
      </c>
      <c r="AP5" s="50">
        <f t="shared" si="16"/>
        <v>0</v>
      </c>
      <c r="AQ5" s="50">
        <v>600</v>
      </c>
      <c r="AR5" s="50">
        <v>0</v>
      </c>
      <c r="AS5" s="50">
        <f t="shared" si="17"/>
        <v>600</v>
      </c>
      <c r="AT5" s="50">
        <f t="shared" si="18"/>
        <v>0</v>
      </c>
      <c r="AU5" s="50" t="e">
        <f t="shared" si="19"/>
        <v>#DIV/0!</v>
      </c>
      <c r="AV5" s="51">
        <v>0</v>
      </c>
      <c r="AW5" s="51">
        <v>0</v>
      </c>
      <c r="AX5" s="51">
        <v>0</v>
      </c>
      <c r="AY5" s="51">
        <f t="shared" si="20"/>
        <v>0</v>
      </c>
      <c r="AZ5" s="51">
        <v>1500</v>
      </c>
      <c r="BA5" s="51">
        <v>0</v>
      </c>
      <c r="BB5" s="51">
        <f t="shared" si="21"/>
        <v>1500</v>
      </c>
      <c r="BC5" s="51">
        <f t="shared" si="22"/>
        <v>0</v>
      </c>
      <c r="BD5" s="51" t="e">
        <f t="shared" si="23"/>
        <v>#DIV/0!</v>
      </c>
      <c r="BE5" s="52">
        <v>0</v>
      </c>
      <c r="BF5" s="52">
        <v>0</v>
      </c>
      <c r="BG5" s="52">
        <v>0</v>
      </c>
      <c r="BH5" s="52">
        <f t="shared" si="24"/>
        <v>0</v>
      </c>
      <c r="BI5" s="52">
        <v>750</v>
      </c>
      <c r="BJ5" s="52">
        <v>0</v>
      </c>
      <c r="BK5" s="52">
        <f t="shared" si="25"/>
        <v>750</v>
      </c>
      <c r="BL5" s="52">
        <f t="shared" si="26"/>
        <v>0</v>
      </c>
      <c r="BM5" s="52" t="e">
        <f t="shared" si="27"/>
        <v>#DIV/0!</v>
      </c>
      <c r="BN5" s="53">
        <v>0</v>
      </c>
      <c r="BO5" s="53">
        <v>256</v>
      </c>
      <c r="BP5" s="53">
        <f>256-168</f>
        <v>88</v>
      </c>
      <c r="BQ5" s="53">
        <f t="shared" si="28"/>
        <v>168</v>
      </c>
      <c r="BR5" s="53">
        <v>2450</v>
      </c>
      <c r="BS5" s="53">
        <v>250</v>
      </c>
      <c r="BT5" s="53">
        <f t="shared" si="29"/>
        <v>2200</v>
      </c>
      <c r="BU5" s="53">
        <f t="shared" si="30"/>
        <v>369600</v>
      </c>
      <c r="BV5" s="53">
        <f t="shared" si="31"/>
        <v>34.375</v>
      </c>
      <c r="BW5" s="54">
        <v>0</v>
      </c>
      <c r="BX5" s="54">
        <v>0</v>
      </c>
      <c r="BY5" s="54">
        <v>0</v>
      </c>
      <c r="BZ5" s="54">
        <f t="shared" si="32"/>
        <v>0</v>
      </c>
      <c r="CA5" s="54">
        <v>750</v>
      </c>
      <c r="CB5" s="54">
        <v>0</v>
      </c>
      <c r="CC5" s="54">
        <f t="shared" si="33"/>
        <v>750</v>
      </c>
      <c r="CD5" s="54">
        <f t="shared" si="34"/>
        <v>0</v>
      </c>
      <c r="CE5" s="54" t="e">
        <f t="shared" si="35"/>
        <v>#DIV/0!</v>
      </c>
      <c r="CF5" s="55">
        <v>0</v>
      </c>
      <c r="CG5" s="55">
        <v>0</v>
      </c>
      <c r="CH5" s="55">
        <v>0</v>
      </c>
      <c r="CI5" s="55">
        <f t="shared" si="36"/>
        <v>0</v>
      </c>
      <c r="CJ5" s="55">
        <v>730</v>
      </c>
      <c r="CK5" s="55">
        <v>0</v>
      </c>
      <c r="CL5" s="55">
        <f t="shared" si="37"/>
        <v>730</v>
      </c>
      <c r="CM5" s="55">
        <f t="shared" si="38"/>
        <v>0</v>
      </c>
      <c r="CN5" s="55" t="e">
        <f t="shared" si="39"/>
        <v>#DIV/0!</v>
      </c>
      <c r="CO5" s="56">
        <v>0</v>
      </c>
      <c r="CP5" s="56">
        <v>0</v>
      </c>
      <c r="CQ5" s="56">
        <v>0</v>
      </c>
      <c r="CR5" s="56">
        <f t="shared" si="40"/>
        <v>0</v>
      </c>
      <c r="CS5" s="56">
        <v>730</v>
      </c>
      <c r="CT5" s="56">
        <v>0</v>
      </c>
      <c r="CU5" s="56">
        <f t="shared" si="41"/>
        <v>730</v>
      </c>
      <c r="CV5" s="56">
        <f t="shared" si="42"/>
        <v>0</v>
      </c>
      <c r="CW5" s="56" t="e">
        <f t="shared" si="43"/>
        <v>#DIV/0!</v>
      </c>
      <c r="CX5" s="57">
        <v>0</v>
      </c>
      <c r="CY5" s="57">
        <v>0</v>
      </c>
      <c r="CZ5" s="57">
        <v>0</v>
      </c>
      <c r="DA5" s="57">
        <f t="shared" si="44"/>
        <v>0</v>
      </c>
      <c r="DB5" s="57">
        <v>600</v>
      </c>
      <c r="DC5" s="57">
        <v>0</v>
      </c>
      <c r="DD5" s="57">
        <f t="shared" si="45"/>
        <v>600</v>
      </c>
      <c r="DE5" s="57">
        <f t="shared" si="46"/>
        <v>0</v>
      </c>
      <c r="DF5" s="57" t="e">
        <f t="shared" si="47"/>
        <v>#DIV/0!</v>
      </c>
    </row>
    <row r="6" spans="1:110" ht="14.25" customHeight="1">
      <c r="A6" s="59"/>
      <c r="B6" s="29"/>
      <c r="C6" s="45">
        <v>0</v>
      </c>
      <c r="D6" s="45">
        <v>60</v>
      </c>
      <c r="E6" s="45">
        <v>4</v>
      </c>
      <c r="F6" s="45">
        <f t="shared" si="0"/>
        <v>56</v>
      </c>
      <c r="G6" s="45">
        <v>900</v>
      </c>
      <c r="H6" s="45">
        <v>100</v>
      </c>
      <c r="I6" s="45">
        <f t="shared" si="1"/>
        <v>800</v>
      </c>
      <c r="J6" s="45">
        <f t="shared" si="2"/>
        <v>44800</v>
      </c>
      <c r="K6" s="45">
        <f t="shared" si="3"/>
        <v>6.666666666666667</v>
      </c>
      <c r="L6" s="47">
        <v>0</v>
      </c>
      <c r="M6" s="47">
        <f>147+51</f>
        <v>198</v>
      </c>
      <c r="N6" s="47">
        <v>1</v>
      </c>
      <c r="O6" s="47">
        <f t="shared" si="4"/>
        <v>197</v>
      </c>
      <c r="P6" s="47">
        <v>1800</v>
      </c>
      <c r="Q6" s="47">
        <v>200</v>
      </c>
      <c r="R6" s="47">
        <f t="shared" si="5"/>
        <v>1600</v>
      </c>
      <c r="S6" s="47">
        <f t="shared" si="6"/>
        <v>315200</v>
      </c>
      <c r="T6" s="47">
        <f t="shared" si="7"/>
        <v>0.50505050505050508</v>
      </c>
      <c r="U6" s="48">
        <v>0</v>
      </c>
      <c r="V6" s="48">
        <v>0</v>
      </c>
      <c r="W6" s="48">
        <v>0</v>
      </c>
      <c r="X6" s="48">
        <f t="shared" si="8"/>
        <v>0</v>
      </c>
      <c r="Y6" s="48">
        <v>910</v>
      </c>
      <c r="Z6" s="48">
        <v>0</v>
      </c>
      <c r="AA6" s="48">
        <f t="shared" si="9"/>
        <v>910</v>
      </c>
      <c r="AB6" s="48">
        <f t="shared" si="10"/>
        <v>0</v>
      </c>
      <c r="AC6" s="48" t="e">
        <f t="shared" si="11"/>
        <v>#DIV/0!</v>
      </c>
      <c r="AD6" s="49">
        <v>0</v>
      </c>
      <c r="AE6" s="49">
        <v>15</v>
      </c>
      <c r="AF6" s="49">
        <v>3</v>
      </c>
      <c r="AG6" s="49">
        <f t="shared" si="12"/>
        <v>12</v>
      </c>
      <c r="AH6" s="49">
        <v>1200</v>
      </c>
      <c r="AI6" s="49">
        <v>120</v>
      </c>
      <c r="AJ6" s="49">
        <f t="shared" si="13"/>
        <v>1080</v>
      </c>
      <c r="AK6" s="49">
        <f t="shared" si="14"/>
        <v>12960</v>
      </c>
      <c r="AL6" s="49">
        <f t="shared" si="15"/>
        <v>20</v>
      </c>
      <c r="AM6" s="50">
        <v>0</v>
      </c>
      <c r="AN6" s="50">
        <v>30</v>
      </c>
      <c r="AO6" s="50">
        <v>3</v>
      </c>
      <c r="AP6" s="50">
        <f t="shared" si="16"/>
        <v>27</v>
      </c>
      <c r="AQ6" s="50">
        <v>600</v>
      </c>
      <c r="AR6" s="50">
        <v>60</v>
      </c>
      <c r="AS6" s="50">
        <f t="shared" si="17"/>
        <v>540</v>
      </c>
      <c r="AT6" s="50">
        <f t="shared" si="18"/>
        <v>14580</v>
      </c>
      <c r="AU6" s="50">
        <f t="shared" si="19"/>
        <v>10</v>
      </c>
      <c r="AV6" s="51">
        <v>0</v>
      </c>
      <c r="AW6" s="51">
        <v>6</v>
      </c>
      <c r="AX6" s="51">
        <v>3</v>
      </c>
      <c r="AY6" s="51">
        <f t="shared" si="20"/>
        <v>3</v>
      </c>
      <c r="AZ6" s="51">
        <v>1500</v>
      </c>
      <c r="BA6" s="51">
        <v>280</v>
      </c>
      <c r="BB6" s="51">
        <f t="shared" si="21"/>
        <v>1220</v>
      </c>
      <c r="BC6" s="51">
        <f t="shared" si="22"/>
        <v>3660</v>
      </c>
      <c r="BD6" s="51">
        <f t="shared" si="23"/>
        <v>50</v>
      </c>
      <c r="BE6" s="52">
        <v>0</v>
      </c>
      <c r="BF6" s="52">
        <v>18</v>
      </c>
      <c r="BG6" s="52">
        <v>6</v>
      </c>
      <c r="BH6" s="52">
        <f t="shared" si="24"/>
        <v>12</v>
      </c>
      <c r="BI6" s="52">
        <v>750</v>
      </c>
      <c r="BJ6" s="52">
        <v>140</v>
      </c>
      <c r="BK6" s="52">
        <f t="shared" si="25"/>
        <v>610</v>
      </c>
      <c r="BL6" s="52">
        <f t="shared" si="26"/>
        <v>7320</v>
      </c>
      <c r="BM6" s="52">
        <f t="shared" si="27"/>
        <v>33.333333333333329</v>
      </c>
      <c r="BN6" s="53">
        <v>0</v>
      </c>
      <c r="BO6" s="53">
        <v>180</v>
      </c>
      <c r="BP6" s="53">
        <v>7</v>
      </c>
      <c r="BQ6" s="53">
        <f t="shared" si="28"/>
        <v>173</v>
      </c>
      <c r="BR6" s="53">
        <v>2450</v>
      </c>
      <c r="BS6" s="53">
        <v>450</v>
      </c>
      <c r="BT6" s="53">
        <f t="shared" si="29"/>
        <v>2000</v>
      </c>
      <c r="BU6" s="53">
        <f t="shared" si="30"/>
        <v>346000</v>
      </c>
      <c r="BV6" s="53">
        <f t="shared" si="31"/>
        <v>3.8888888888888888</v>
      </c>
      <c r="BW6" s="54">
        <v>0</v>
      </c>
      <c r="BX6" s="54">
        <v>240</v>
      </c>
      <c r="BY6" s="54">
        <v>2</v>
      </c>
      <c r="BZ6" s="54">
        <f t="shared" si="32"/>
        <v>238</v>
      </c>
      <c r="CA6" s="54">
        <v>750</v>
      </c>
      <c r="CB6" s="54">
        <v>130</v>
      </c>
      <c r="CC6" s="54">
        <f t="shared" si="33"/>
        <v>620</v>
      </c>
      <c r="CD6" s="54">
        <f t="shared" si="34"/>
        <v>147560</v>
      </c>
      <c r="CE6" s="54">
        <f t="shared" si="35"/>
        <v>0.83333333333333337</v>
      </c>
      <c r="CF6" s="55">
        <v>0</v>
      </c>
      <c r="CG6" s="55">
        <v>800</v>
      </c>
      <c r="CH6" s="55">
        <f>CG6-743</f>
        <v>57</v>
      </c>
      <c r="CI6" s="55">
        <f t="shared" si="36"/>
        <v>743</v>
      </c>
      <c r="CJ6" s="55">
        <v>730</v>
      </c>
      <c r="CK6" s="55">
        <v>110</v>
      </c>
      <c r="CL6" s="55">
        <f t="shared" si="37"/>
        <v>620</v>
      </c>
      <c r="CM6" s="55">
        <f t="shared" si="38"/>
        <v>460660</v>
      </c>
      <c r="CN6" s="55">
        <f t="shared" si="39"/>
        <v>7.1249999999999991</v>
      </c>
      <c r="CO6" s="56">
        <v>0</v>
      </c>
      <c r="CP6" s="56">
        <v>220</v>
      </c>
      <c r="CQ6" s="56">
        <f>220-66</f>
        <v>154</v>
      </c>
      <c r="CR6" s="56">
        <f t="shared" si="40"/>
        <v>66</v>
      </c>
      <c r="CS6" s="56">
        <v>730</v>
      </c>
      <c r="CT6" s="56">
        <v>110</v>
      </c>
      <c r="CU6" s="56">
        <f t="shared" si="41"/>
        <v>620</v>
      </c>
      <c r="CV6" s="56">
        <f t="shared" si="42"/>
        <v>40920</v>
      </c>
      <c r="CW6" s="56">
        <f t="shared" si="43"/>
        <v>70</v>
      </c>
      <c r="CX6" s="57">
        <v>0</v>
      </c>
      <c r="CY6" s="57">
        <v>0</v>
      </c>
      <c r="CZ6" s="57">
        <v>0</v>
      </c>
      <c r="DA6" s="57">
        <f t="shared" si="44"/>
        <v>0</v>
      </c>
      <c r="DB6" s="57">
        <v>600</v>
      </c>
      <c r="DC6" s="57">
        <v>0</v>
      </c>
      <c r="DD6" s="57">
        <f t="shared" si="45"/>
        <v>600</v>
      </c>
      <c r="DE6" s="57">
        <f t="shared" si="46"/>
        <v>0</v>
      </c>
      <c r="DF6" s="57" t="e">
        <f t="shared" si="47"/>
        <v>#DIV/0!</v>
      </c>
    </row>
    <row r="7" spans="1:110" ht="14.25" customHeight="1">
      <c r="A7" s="59"/>
      <c r="B7" s="29"/>
      <c r="C7" s="45">
        <v>0</v>
      </c>
      <c r="D7" s="45">
        <v>0</v>
      </c>
      <c r="E7" s="45">
        <v>0</v>
      </c>
      <c r="F7" s="45">
        <f t="shared" si="0"/>
        <v>0</v>
      </c>
      <c r="G7" s="45">
        <v>900</v>
      </c>
      <c r="H7" s="45">
        <v>0</v>
      </c>
      <c r="I7" s="45">
        <f t="shared" si="1"/>
        <v>900</v>
      </c>
      <c r="J7" s="45">
        <f t="shared" si="2"/>
        <v>0</v>
      </c>
      <c r="K7" s="45" t="e">
        <f t="shared" si="3"/>
        <v>#DIV/0!</v>
      </c>
      <c r="L7" s="47">
        <v>0</v>
      </c>
      <c r="M7" s="47">
        <v>0</v>
      </c>
      <c r="N7" s="47">
        <v>0</v>
      </c>
      <c r="O7" s="47">
        <f t="shared" si="4"/>
        <v>0</v>
      </c>
      <c r="P7" s="47">
        <v>1800</v>
      </c>
      <c r="Q7" s="47">
        <v>0</v>
      </c>
      <c r="R7" s="47">
        <f t="shared" si="5"/>
        <v>1800</v>
      </c>
      <c r="S7" s="47">
        <f t="shared" si="6"/>
        <v>0</v>
      </c>
      <c r="T7" s="47" t="e">
        <f t="shared" si="7"/>
        <v>#DIV/0!</v>
      </c>
      <c r="U7" s="48">
        <v>0</v>
      </c>
      <c r="V7" s="48">
        <v>0</v>
      </c>
      <c r="W7" s="48">
        <v>0</v>
      </c>
      <c r="X7" s="48">
        <f t="shared" si="8"/>
        <v>0</v>
      </c>
      <c r="Y7" s="48">
        <v>910</v>
      </c>
      <c r="Z7" s="48">
        <v>0</v>
      </c>
      <c r="AA7" s="48">
        <f t="shared" si="9"/>
        <v>910</v>
      </c>
      <c r="AB7" s="48">
        <f t="shared" si="10"/>
        <v>0</v>
      </c>
      <c r="AC7" s="48" t="e">
        <f t="shared" si="11"/>
        <v>#DIV/0!</v>
      </c>
      <c r="AD7" s="49">
        <v>0</v>
      </c>
      <c r="AE7" s="49">
        <v>0</v>
      </c>
      <c r="AF7" s="49">
        <v>0</v>
      </c>
      <c r="AG7" s="49">
        <f t="shared" si="12"/>
        <v>0</v>
      </c>
      <c r="AH7" s="49">
        <v>1200</v>
      </c>
      <c r="AI7" s="49">
        <v>0</v>
      </c>
      <c r="AJ7" s="49">
        <f t="shared" si="13"/>
        <v>1200</v>
      </c>
      <c r="AK7" s="49">
        <f t="shared" si="14"/>
        <v>0</v>
      </c>
      <c r="AL7" s="49" t="e">
        <f t="shared" si="15"/>
        <v>#DIV/0!</v>
      </c>
      <c r="AM7" s="50">
        <v>0</v>
      </c>
      <c r="AN7" s="50">
        <v>0</v>
      </c>
      <c r="AO7" s="50">
        <v>0</v>
      </c>
      <c r="AP7" s="50">
        <f t="shared" si="16"/>
        <v>0</v>
      </c>
      <c r="AQ7" s="50">
        <v>600</v>
      </c>
      <c r="AR7" s="50">
        <v>0</v>
      </c>
      <c r="AS7" s="50">
        <f t="shared" si="17"/>
        <v>600</v>
      </c>
      <c r="AT7" s="50">
        <f t="shared" si="18"/>
        <v>0</v>
      </c>
      <c r="AU7" s="50" t="e">
        <f t="shared" si="19"/>
        <v>#DIV/0!</v>
      </c>
      <c r="AV7" s="51">
        <v>0</v>
      </c>
      <c r="AW7" s="51">
        <v>0</v>
      </c>
      <c r="AX7" s="51">
        <v>0</v>
      </c>
      <c r="AY7" s="51">
        <f t="shared" si="20"/>
        <v>0</v>
      </c>
      <c r="AZ7" s="51">
        <v>1500</v>
      </c>
      <c r="BA7" s="51">
        <v>0</v>
      </c>
      <c r="BB7" s="51">
        <f t="shared" si="21"/>
        <v>1500</v>
      </c>
      <c r="BC7" s="51">
        <f t="shared" si="22"/>
        <v>0</v>
      </c>
      <c r="BD7" s="51" t="e">
        <f t="shared" si="23"/>
        <v>#DIV/0!</v>
      </c>
      <c r="BE7" s="52">
        <v>0</v>
      </c>
      <c r="BF7" s="52">
        <v>0</v>
      </c>
      <c r="BG7" s="52">
        <v>0</v>
      </c>
      <c r="BH7" s="52">
        <f t="shared" si="24"/>
        <v>0</v>
      </c>
      <c r="BI7" s="52">
        <v>750</v>
      </c>
      <c r="BJ7" s="52">
        <v>0</v>
      </c>
      <c r="BK7" s="52">
        <f t="shared" si="25"/>
        <v>750</v>
      </c>
      <c r="BL7" s="52">
        <f t="shared" si="26"/>
        <v>0</v>
      </c>
      <c r="BM7" s="52" t="e">
        <f t="shared" si="27"/>
        <v>#DIV/0!</v>
      </c>
      <c r="BN7" s="53">
        <v>0</v>
      </c>
      <c r="BO7" s="53">
        <v>0</v>
      </c>
      <c r="BP7" s="53">
        <v>0</v>
      </c>
      <c r="BQ7" s="53">
        <f t="shared" si="28"/>
        <v>0</v>
      </c>
      <c r="BR7" s="53">
        <v>2450</v>
      </c>
      <c r="BS7" s="53">
        <v>0</v>
      </c>
      <c r="BT7" s="53">
        <f t="shared" si="29"/>
        <v>2450</v>
      </c>
      <c r="BU7" s="53">
        <f t="shared" si="30"/>
        <v>0</v>
      </c>
      <c r="BV7" s="53" t="e">
        <f t="shared" si="31"/>
        <v>#DIV/0!</v>
      </c>
      <c r="BW7" s="54">
        <v>0</v>
      </c>
      <c r="BX7" s="54">
        <v>0</v>
      </c>
      <c r="BY7" s="54">
        <v>0</v>
      </c>
      <c r="BZ7" s="54">
        <f t="shared" si="32"/>
        <v>0</v>
      </c>
      <c r="CA7" s="54">
        <v>750</v>
      </c>
      <c r="CB7" s="54">
        <v>0</v>
      </c>
      <c r="CC7" s="54">
        <f t="shared" si="33"/>
        <v>750</v>
      </c>
      <c r="CD7" s="54">
        <f t="shared" si="34"/>
        <v>0</v>
      </c>
      <c r="CE7" s="54" t="e">
        <f t="shared" si="35"/>
        <v>#DIV/0!</v>
      </c>
      <c r="CF7" s="55">
        <v>0</v>
      </c>
      <c r="CG7" s="55">
        <v>0</v>
      </c>
      <c r="CH7" s="55">
        <v>0</v>
      </c>
      <c r="CI7" s="55">
        <f t="shared" si="36"/>
        <v>0</v>
      </c>
      <c r="CJ7" s="55">
        <v>730</v>
      </c>
      <c r="CK7" s="55">
        <v>0</v>
      </c>
      <c r="CL7" s="55">
        <f t="shared" si="37"/>
        <v>730</v>
      </c>
      <c r="CM7" s="55">
        <f t="shared" si="38"/>
        <v>0</v>
      </c>
      <c r="CN7" s="55" t="e">
        <f t="shared" si="39"/>
        <v>#DIV/0!</v>
      </c>
      <c r="CO7" s="56">
        <v>0</v>
      </c>
      <c r="CP7" s="56">
        <v>0</v>
      </c>
      <c r="CQ7" s="56">
        <v>0</v>
      </c>
      <c r="CR7" s="56">
        <f t="shared" si="40"/>
        <v>0</v>
      </c>
      <c r="CS7" s="56">
        <v>730</v>
      </c>
      <c r="CT7" s="56">
        <v>0</v>
      </c>
      <c r="CU7" s="56">
        <f t="shared" si="41"/>
        <v>730</v>
      </c>
      <c r="CV7" s="56">
        <f t="shared" si="42"/>
        <v>0</v>
      </c>
      <c r="CW7" s="56" t="e">
        <f t="shared" si="43"/>
        <v>#DIV/0!</v>
      </c>
      <c r="CX7" s="57">
        <v>0</v>
      </c>
      <c r="CY7" s="57">
        <v>0</v>
      </c>
      <c r="CZ7" s="57">
        <v>0</v>
      </c>
      <c r="DA7" s="57">
        <f t="shared" si="44"/>
        <v>0</v>
      </c>
      <c r="DB7" s="57">
        <v>600</v>
      </c>
      <c r="DC7" s="57">
        <v>0</v>
      </c>
      <c r="DD7" s="57">
        <f t="shared" si="45"/>
        <v>600</v>
      </c>
      <c r="DE7" s="57">
        <f t="shared" si="46"/>
        <v>0</v>
      </c>
      <c r="DF7" s="57" t="e">
        <f t="shared" si="47"/>
        <v>#DIV/0!</v>
      </c>
    </row>
    <row r="8" spans="1:110" ht="14.25" customHeight="1">
      <c r="A8" s="59"/>
      <c r="B8" s="29"/>
      <c r="C8" s="45">
        <v>0</v>
      </c>
      <c r="D8" s="45">
        <v>0</v>
      </c>
      <c r="E8" s="45">
        <v>0</v>
      </c>
      <c r="F8" s="45">
        <f t="shared" si="0"/>
        <v>0</v>
      </c>
      <c r="G8" s="45">
        <v>900</v>
      </c>
      <c r="H8" s="45">
        <v>0</v>
      </c>
      <c r="I8" s="45">
        <f t="shared" si="1"/>
        <v>900</v>
      </c>
      <c r="J8" s="45">
        <f t="shared" si="2"/>
        <v>0</v>
      </c>
      <c r="K8" s="45" t="e">
        <f t="shared" si="3"/>
        <v>#DIV/0!</v>
      </c>
      <c r="L8" s="47">
        <v>0</v>
      </c>
      <c r="M8" s="47">
        <v>0</v>
      </c>
      <c r="N8" s="47">
        <v>0</v>
      </c>
      <c r="O8" s="47">
        <f t="shared" si="4"/>
        <v>0</v>
      </c>
      <c r="P8" s="47">
        <v>1800</v>
      </c>
      <c r="Q8" s="47">
        <v>0</v>
      </c>
      <c r="R8" s="47">
        <f t="shared" si="5"/>
        <v>1800</v>
      </c>
      <c r="S8" s="47">
        <f t="shared" si="6"/>
        <v>0</v>
      </c>
      <c r="T8" s="47" t="e">
        <f t="shared" si="7"/>
        <v>#DIV/0!</v>
      </c>
      <c r="U8" s="48">
        <v>0</v>
      </c>
      <c r="V8" s="48">
        <v>0</v>
      </c>
      <c r="W8" s="48">
        <v>0</v>
      </c>
      <c r="X8" s="48">
        <f t="shared" si="8"/>
        <v>0</v>
      </c>
      <c r="Y8" s="48">
        <v>910</v>
      </c>
      <c r="Z8" s="48">
        <v>0</v>
      </c>
      <c r="AA8" s="48">
        <f t="shared" si="9"/>
        <v>910</v>
      </c>
      <c r="AB8" s="48">
        <f t="shared" si="10"/>
        <v>0</v>
      </c>
      <c r="AC8" s="48" t="e">
        <f t="shared" si="11"/>
        <v>#DIV/0!</v>
      </c>
      <c r="AD8" s="49">
        <v>0</v>
      </c>
      <c r="AE8" s="49">
        <v>0</v>
      </c>
      <c r="AF8" s="49">
        <v>0</v>
      </c>
      <c r="AG8" s="49">
        <f t="shared" si="12"/>
        <v>0</v>
      </c>
      <c r="AH8" s="49">
        <v>1200</v>
      </c>
      <c r="AI8" s="49">
        <v>0</v>
      </c>
      <c r="AJ8" s="49">
        <f t="shared" si="13"/>
        <v>1200</v>
      </c>
      <c r="AK8" s="49">
        <f t="shared" si="14"/>
        <v>0</v>
      </c>
      <c r="AL8" s="49" t="e">
        <f t="shared" si="15"/>
        <v>#DIV/0!</v>
      </c>
      <c r="AM8" s="50">
        <v>0</v>
      </c>
      <c r="AN8" s="50">
        <v>30</v>
      </c>
      <c r="AO8" s="50">
        <v>13</v>
      </c>
      <c r="AP8" s="50">
        <f t="shared" si="16"/>
        <v>17</v>
      </c>
      <c r="AQ8" s="50">
        <v>600</v>
      </c>
      <c r="AR8" s="50">
        <v>50</v>
      </c>
      <c r="AS8" s="50">
        <f t="shared" si="17"/>
        <v>550</v>
      </c>
      <c r="AT8" s="50">
        <f t="shared" si="18"/>
        <v>9350</v>
      </c>
      <c r="AU8" s="50">
        <f t="shared" si="19"/>
        <v>43.333333333333336</v>
      </c>
      <c r="AV8" s="51">
        <v>0</v>
      </c>
      <c r="AW8" s="51">
        <v>0</v>
      </c>
      <c r="AX8" s="51">
        <v>0</v>
      </c>
      <c r="AY8" s="51">
        <f t="shared" si="20"/>
        <v>0</v>
      </c>
      <c r="AZ8" s="51">
        <v>1500</v>
      </c>
      <c r="BA8" s="51">
        <v>0</v>
      </c>
      <c r="BB8" s="51">
        <f t="shared" si="21"/>
        <v>1500</v>
      </c>
      <c r="BC8" s="51">
        <f t="shared" si="22"/>
        <v>0</v>
      </c>
      <c r="BD8" s="51" t="e">
        <f t="shared" si="23"/>
        <v>#DIV/0!</v>
      </c>
      <c r="BE8" s="52">
        <v>0</v>
      </c>
      <c r="BF8" s="52">
        <v>30</v>
      </c>
      <c r="BG8" s="52">
        <v>25</v>
      </c>
      <c r="BH8" s="52">
        <f t="shared" si="24"/>
        <v>5</v>
      </c>
      <c r="BI8" s="52">
        <v>750</v>
      </c>
      <c r="BJ8" s="52">
        <v>80</v>
      </c>
      <c r="BK8" s="52">
        <f t="shared" si="25"/>
        <v>670</v>
      </c>
      <c r="BL8" s="52">
        <f t="shared" si="26"/>
        <v>3350</v>
      </c>
      <c r="BM8" s="52">
        <f t="shared" si="27"/>
        <v>83.333333333333343</v>
      </c>
      <c r="BN8" s="53">
        <v>0</v>
      </c>
      <c r="BO8" s="53">
        <v>62</v>
      </c>
      <c r="BP8" s="53">
        <v>5</v>
      </c>
      <c r="BQ8" s="53">
        <f t="shared" si="28"/>
        <v>57</v>
      </c>
      <c r="BR8" s="53">
        <v>2450</v>
      </c>
      <c r="BS8" s="53">
        <v>350</v>
      </c>
      <c r="BT8" s="53">
        <f t="shared" si="29"/>
        <v>2100</v>
      </c>
      <c r="BU8" s="53">
        <f t="shared" si="30"/>
        <v>119700</v>
      </c>
      <c r="BV8" s="53">
        <f t="shared" si="31"/>
        <v>8.064516129032258</v>
      </c>
      <c r="BW8" s="54">
        <v>0</v>
      </c>
      <c r="BX8" s="54">
        <v>30</v>
      </c>
      <c r="BY8" s="54">
        <v>25</v>
      </c>
      <c r="BZ8" s="54">
        <f t="shared" si="32"/>
        <v>5</v>
      </c>
      <c r="CA8" s="54">
        <v>750</v>
      </c>
      <c r="CB8" s="54">
        <v>80</v>
      </c>
      <c r="CC8" s="54">
        <f t="shared" si="33"/>
        <v>670</v>
      </c>
      <c r="CD8" s="54">
        <f t="shared" si="34"/>
        <v>3350</v>
      </c>
      <c r="CE8" s="54">
        <f t="shared" si="35"/>
        <v>83.333333333333343</v>
      </c>
      <c r="CF8" s="55">
        <v>0</v>
      </c>
      <c r="CG8" s="55">
        <v>0</v>
      </c>
      <c r="CH8" s="55">
        <v>0</v>
      </c>
      <c r="CI8" s="55">
        <f t="shared" si="36"/>
        <v>0</v>
      </c>
      <c r="CJ8" s="55">
        <v>730</v>
      </c>
      <c r="CK8" s="55">
        <v>0</v>
      </c>
      <c r="CL8" s="55">
        <f t="shared" si="37"/>
        <v>730</v>
      </c>
      <c r="CM8" s="55">
        <f t="shared" si="38"/>
        <v>0</v>
      </c>
      <c r="CN8" s="55" t="e">
        <f t="shared" si="39"/>
        <v>#DIV/0!</v>
      </c>
      <c r="CO8" s="56">
        <v>0</v>
      </c>
      <c r="CP8" s="56">
        <v>0</v>
      </c>
      <c r="CQ8" s="56">
        <v>0</v>
      </c>
      <c r="CR8" s="56">
        <f t="shared" si="40"/>
        <v>0</v>
      </c>
      <c r="CS8" s="56">
        <v>730</v>
      </c>
      <c r="CT8" s="56">
        <v>0</v>
      </c>
      <c r="CU8" s="56">
        <f t="shared" si="41"/>
        <v>730</v>
      </c>
      <c r="CV8" s="56">
        <f t="shared" si="42"/>
        <v>0</v>
      </c>
      <c r="CW8" s="56" t="e">
        <f t="shared" si="43"/>
        <v>#DIV/0!</v>
      </c>
      <c r="CX8" s="57">
        <v>0</v>
      </c>
      <c r="CY8" s="57">
        <v>0</v>
      </c>
      <c r="CZ8" s="57">
        <v>0</v>
      </c>
      <c r="DA8" s="57">
        <f t="shared" si="44"/>
        <v>0</v>
      </c>
      <c r="DB8" s="57">
        <v>600</v>
      </c>
      <c r="DC8" s="57">
        <v>0</v>
      </c>
      <c r="DD8" s="57">
        <f t="shared" si="45"/>
        <v>600</v>
      </c>
      <c r="DE8" s="57">
        <f t="shared" si="46"/>
        <v>0</v>
      </c>
      <c r="DF8" s="57" t="e">
        <f t="shared" si="47"/>
        <v>#DIV/0!</v>
      </c>
    </row>
    <row r="9" spans="1:110" ht="14.25" customHeight="1">
      <c r="A9" s="59"/>
      <c r="B9" s="29"/>
      <c r="C9" s="45">
        <v>0</v>
      </c>
      <c r="D9" s="45">
        <v>0</v>
      </c>
      <c r="E9" s="45">
        <v>0</v>
      </c>
      <c r="F9" s="45">
        <f t="shared" si="0"/>
        <v>0</v>
      </c>
      <c r="G9" s="45">
        <v>900</v>
      </c>
      <c r="H9" s="45">
        <v>0</v>
      </c>
      <c r="I9" s="45">
        <f t="shared" si="1"/>
        <v>900</v>
      </c>
      <c r="J9" s="45">
        <f t="shared" si="2"/>
        <v>0</v>
      </c>
      <c r="K9" s="45" t="e">
        <f t="shared" si="3"/>
        <v>#DIV/0!</v>
      </c>
      <c r="L9" s="47">
        <v>0</v>
      </c>
      <c r="M9" s="47">
        <v>0</v>
      </c>
      <c r="N9" s="47">
        <v>0</v>
      </c>
      <c r="O9" s="47">
        <f t="shared" si="4"/>
        <v>0</v>
      </c>
      <c r="P9" s="47">
        <v>1800</v>
      </c>
      <c r="Q9" s="47">
        <v>0</v>
      </c>
      <c r="R9" s="47">
        <f t="shared" si="5"/>
        <v>1800</v>
      </c>
      <c r="S9" s="47">
        <f t="shared" si="6"/>
        <v>0</v>
      </c>
      <c r="T9" s="47" t="e">
        <f t="shared" si="7"/>
        <v>#DIV/0!</v>
      </c>
      <c r="U9" s="48">
        <v>0</v>
      </c>
      <c r="V9" s="48">
        <v>0</v>
      </c>
      <c r="W9" s="48">
        <v>0</v>
      </c>
      <c r="X9" s="48">
        <f t="shared" si="8"/>
        <v>0</v>
      </c>
      <c r="Y9" s="48">
        <v>910</v>
      </c>
      <c r="Z9" s="48">
        <v>0</v>
      </c>
      <c r="AA9" s="48">
        <f t="shared" si="9"/>
        <v>910</v>
      </c>
      <c r="AB9" s="48">
        <f t="shared" si="10"/>
        <v>0</v>
      </c>
      <c r="AC9" s="48" t="e">
        <f t="shared" si="11"/>
        <v>#DIV/0!</v>
      </c>
      <c r="AD9" s="49">
        <v>0</v>
      </c>
      <c r="AE9" s="49">
        <v>0</v>
      </c>
      <c r="AF9" s="49">
        <v>0</v>
      </c>
      <c r="AG9" s="49">
        <f t="shared" si="12"/>
        <v>0</v>
      </c>
      <c r="AH9" s="49">
        <v>1200</v>
      </c>
      <c r="AI9" s="49">
        <v>0</v>
      </c>
      <c r="AJ9" s="49">
        <f t="shared" si="13"/>
        <v>1200</v>
      </c>
      <c r="AK9" s="49">
        <f t="shared" si="14"/>
        <v>0</v>
      </c>
      <c r="AL9" s="49" t="e">
        <f t="shared" si="15"/>
        <v>#DIV/0!</v>
      </c>
      <c r="AM9" s="50">
        <v>0</v>
      </c>
      <c r="AN9" s="50">
        <v>0</v>
      </c>
      <c r="AO9" s="50">
        <v>0</v>
      </c>
      <c r="AP9" s="50">
        <f t="shared" si="16"/>
        <v>0</v>
      </c>
      <c r="AQ9" s="50">
        <v>600</v>
      </c>
      <c r="AR9" s="50">
        <v>0</v>
      </c>
      <c r="AS9" s="50">
        <f t="shared" si="17"/>
        <v>600</v>
      </c>
      <c r="AT9" s="50">
        <f t="shared" si="18"/>
        <v>0</v>
      </c>
      <c r="AU9" s="50" t="e">
        <f t="shared" si="19"/>
        <v>#DIV/0!</v>
      </c>
      <c r="AV9" s="51">
        <v>0</v>
      </c>
      <c r="AW9" s="51">
        <v>0</v>
      </c>
      <c r="AX9" s="51">
        <v>0</v>
      </c>
      <c r="AY9" s="51">
        <f t="shared" si="20"/>
        <v>0</v>
      </c>
      <c r="AZ9" s="51">
        <v>1500</v>
      </c>
      <c r="BA9" s="51">
        <v>0</v>
      </c>
      <c r="BB9" s="51">
        <f t="shared" si="21"/>
        <v>1500</v>
      </c>
      <c r="BC9" s="51">
        <f t="shared" si="22"/>
        <v>0</v>
      </c>
      <c r="BD9" s="51" t="e">
        <f t="shared" si="23"/>
        <v>#DIV/0!</v>
      </c>
      <c r="BE9" s="52">
        <v>0</v>
      </c>
      <c r="BF9" s="52">
        <v>0</v>
      </c>
      <c r="BG9" s="52">
        <v>0</v>
      </c>
      <c r="BH9" s="52">
        <f t="shared" si="24"/>
        <v>0</v>
      </c>
      <c r="BI9" s="52">
        <v>750</v>
      </c>
      <c r="BJ9" s="52">
        <v>0</v>
      </c>
      <c r="BK9" s="52">
        <f t="shared" si="25"/>
        <v>750</v>
      </c>
      <c r="BL9" s="52">
        <f t="shared" si="26"/>
        <v>0</v>
      </c>
      <c r="BM9" s="52" t="e">
        <f t="shared" si="27"/>
        <v>#DIV/0!</v>
      </c>
      <c r="BN9" s="53">
        <v>0</v>
      </c>
      <c r="BO9" s="53">
        <v>0</v>
      </c>
      <c r="BP9" s="53">
        <v>0</v>
      </c>
      <c r="BQ9" s="53">
        <f t="shared" si="28"/>
        <v>0</v>
      </c>
      <c r="BR9" s="53">
        <v>2450</v>
      </c>
      <c r="BS9" s="53">
        <v>0</v>
      </c>
      <c r="BT9" s="53">
        <f t="shared" si="29"/>
        <v>2450</v>
      </c>
      <c r="BU9" s="53">
        <f t="shared" si="30"/>
        <v>0</v>
      </c>
      <c r="BV9" s="53" t="e">
        <f t="shared" si="31"/>
        <v>#DIV/0!</v>
      </c>
      <c r="BW9" s="54">
        <v>0</v>
      </c>
      <c r="BX9" s="54">
        <v>0</v>
      </c>
      <c r="BY9" s="54">
        <v>0</v>
      </c>
      <c r="BZ9" s="54">
        <f t="shared" si="32"/>
        <v>0</v>
      </c>
      <c r="CA9" s="54">
        <v>750</v>
      </c>
      <c r="CB9" s="54">
        <v>0</v>
      </c>
      <c r="CC9" s="54">
        <f t="shared" si="33"/>
        <v>750</v>
      </c>
      <c r="CD9" s="54">
        <f t="shared" si="34"/>
        <v>0</v>
      </c>
      <c r="CE9" s="54" t="e">
        <f t="shared" si="35"/>
        <v>#DIV/0!</v>
      </c>
      <c r="CF9" s="55">
        <v>0</v>
      </c>
      <c r="CG9" s="55">
        <v>0</v>
      </c>
      <c r="CH9" s="55">
        <v>0</v>
      </c>
      <c r="CI9" s="55">
        <f t="shared" si="36"/>
        <v>0</v>
      </c>
      <c r="CJ9" s="55">
        <v>730</v>
      </c>
      <c r="CK9" s="55">
        <v>0</v>
      </c>
      <c r="CL9" s="55">
        <f t="shared" si="37"/>
        <v>730</v>
      </c>
      <c r="CM9" s="55">
        <f t="shared" si="38"/>
        <v>0</v>
      </c>
      <c r="CN9" s="55" t="e">
        <f t="shared" si="39"/>
        <v>#DIV/0!</v>
      </c>
      <c r="CO9" s="56">
        <v>0</v>
      </c>
      <c r="CP9" s="56">
        <v>0</v>
      </c>
      <c r="CQ9" s="56">
        <v>0</v>
      </c>
      <c r="CR9" s="56">
        <f t="shared" si="40"/>
        <v>0</v>
      </c>
      <c r="CS9" s="56">
        <v>730</v>
      </c>
      <c r="CT9" s="56">
        <v>0</v>
      </c>
      <c r="CU9" s="56">
        <f t="shared" si="41"/>
        <v>730</v>
      </c>
      <c r="CV9" s="56">
        <f t="shared" si="42"/>
        <v>0</v>
      </c>
      <c r="CW9" s="56" t="e">
        <f t="shared" si="43"/>
        <v>#DIV/0!</v>
      </c>
      <c r="CX9" s="57">
        <v>0</v>
      </c>
      <c r="CY9" s="57">
        <v>0</v>
      </c>
      <c r="CZ9" s="57">
        <v>0</v>
      </c>
      <c r="DA9" s="57">
        <f t="shared" si="44"/>
        <v>0</v>
      </c>
      <c r="DB9" s="57">
        <v>600</v>
      </c>
      <c r="DC9" s="57">
        <v>0</v>
      </c>
      <c r="DD9" s="57">
        <f t="shared" si="45"/>
        <v>600</v>
      </c>
      <c r="DE9" s="57">
        <f t="shared" si="46"/>
        <v>0</v>
      </c>
      <c r="DF9" s="57" t="e">
        <f t="shared" si="47"/>
        <v>#DIV/0!</v>
      </c>
    </row>
    <row r="10" spans="1:110" ht="14.25" customHeight="1">
      <c r="A10" s="59"/>
      <c r="B10" s="29"/>
      <c r="C10" s="45">
        <v>0</v>
      </c>
      <c r="D10" s="45">
        <v>30</v>
      </c>
      <c r="E10" s="45">
        <v>0</v>
      </c>
      <c r="F10" s="45">
        <f t="shared" si="0"/>
        <v>30</v>
      </c>
      <c r="G10" s="45">
        <v>900</v>
      </c>
      <c r="H10" s="45">
        <v>80</v>
      </c>
      <c r="I10" s="45">
        <f t="shared" si="1"/>
        <v>820</v>
      </c>
      <c r="J10" s="45">
        <f t="shared" si="2"/>
        <v>24600</v>
      </c>
      <c r="K10" s="45">
        <f t="shared" si="3"/>
        <v>0</v>
      </c>
      <c r="L10" s="47">
        <v>0</v>
      </c>
      <c r="M10" s="47">
        <v>51</v>
      </c>
      <c r="N10" s="47">
        <v>0</v>
      </c>
      <c r="O10" s="47">
        <f t="shared" si="4"/>
        <v>51</v>
      </c>
      <c r="P10" s="47">
        <v>1800</v>
      </c>
      <c r="Q10" s="47">
        <v>160</v>
      </c>
      <c r="R10" s="47">
        <f t="shared" si="5"/>
        <v>1640</v>
      </c>
      <c r="S10" s="47">
        <f t="shared" si="6"/>
        <v>83640</v>
      </c>
      <c r="T10" s="47">
        <f t="shared" si="7"/>
        <v>0</v>
      </c>
      <c r="U10" s="48">
        <v>0</v>
      </c>
      <c r="V10" s="48">
        <v>60</v>
      </c>
      <c r="W10" s="48">
        <v>0</v>
      </c>
      <c r="X10" s="48">
        <f t="shared" si="8"/>
        <v>60</v>
      </c>
      <c r="Y10" s="48">
        <v>910</v>
      </c>
      <c r="Z10" s="48">
        <v>80</v>
      </c>
      <c r="AA10" s="48">
        <f t="shared" si="9"/>
        <v>830</v>
      </c>
      <c r="AB10" s="48">
        <f t="shared" si="10"/>
        <v>49800</v>
      </c>
      <c r="AC10" s="48">
        <f t="shared" si="11"/>
        <v>0</v>
      </c>
      <c r="AD10" s="49">
        <v>0</v>
      </c>
      <c r="AE10" s="49">
        <v>45</v>
      </c>
      <c r="AF10" s="49">
        <v>0</v>
      </c>
      <c r="AG10" s="49">
        <f t="shared" si="12"/>
        <v>45</v>
      </c>
      <c r="AH10" s="49">
        <v>1200</v>
      </c>
      <c r="AI10" s="49">
        <v>100</v>
      </c>
      <c r="AJ10" s="49">
        <f t="shared" si="13"/>
        <v>1100</v>
      </c>
      <c r="AK10" s="49">
        <f t="shared" si="14"/>
        <v>49500</v>
      </c>
      <c r="AL10" s="49">
        <f t="shared" si="15"/>
        <v>0</v>
      </c>
      <c r="AM10" s="50">
        <v>0</v>
      </c>
      <c r="AN10" s="50">
        <v>18</v>
      </c>
      <c r="AO10" s="50">
        <v>2</v>
      </c>
      <c r="AP10" s="50">
        <f t="shared" si="16"/>
        <v>16</v>
      </c>
      <c r="AQ10" s="50">
        <v>600</v>
      </c>
      <c r="AR10" s="50">
        <v>50</v>
      </c>
      <c r="AS10" s="50">
        <f t="shared" si="17"/>
        <v>550</v>
      </c>
      <c r="AT10" s="50">
        <f t="shared" si="18"/>
        <v>8800</v>
      </c>
      <c r="AU10" s="50">
        <f t="shared" si="19"/>
        <v>11.111111111111111</v>
      </c>
      <c r="AV10" s="51">
        <v>0</v>
      </c>
      <c r="AW10" s="51">
        <v>0</v>
      </c>
      <c r="AX10" s="51">
        <v>0</v>
      </c>
      <c r="AY10" s="51">
        <f t="shared" si="20"/>
        <v>0</v>
      </c>
      <c r="AZ10" s="51">
        <v>1500</v>
      </c>
      <c r="BA10" s="51">
        <v>0</v>
      </c>
      <c r="BB10" s="51">
        <f t="shared" si="21"/>
        <v>1500</v>
      </c>
      <c r="BC10" s="51">
        <f t="shared" si="22"/>
        <v>0</v>
      </c>
      <c r="BD10" s="51" t="e">
        <f t="shared" si="23"/>
        <v>#DIV/0!</v>
      </c>
      <c r="BE10" s="52">
        <v>0</v>
      </c>
      <c r="BF10" s="52">
        <v>0</v>
      </c>
      <c r="BG10" s="52">
        <v>0</v>
      </c>
      <c r="BH10" s="52">
        <f t="shared" si="24"/>
        <v>0</v>
      </c>
      <c r="BI10" s="52">
        <v>750</v>
      </c>
      <c r="BJ10" s="52">
        <v>0</v>
      </c>
      <c r="BK10" s="52">
        <f t="shared" si="25"/>
        <v>750</v>
      </c>
      <c r="BL10" s="52">
        <f t="shared" si="26"/>
        <v>0</v>
      </c>
      <c r="BM10" s="52" t="e">
        <f t="shared" si="27"/>
        <v>#DIV/0!</v>
      </c>
      <c r="BN10" s="53">
        <v>0</v>
      </c>
      <c r="BO10" s="53">
        <v>22</v>
      </c>
      <c r="BP10" s="53">
        <v>0</v>
      </c>
      <c r="BQ10" s="53">
        <f t="shared" si="28"/>
        <v>22</v>
      </c>
      <c r="BR10" s="53">
        <v>2450</v>
      </c>
      <c r="BS10" s="53">
        <v>250</v>
      </c>
      <c r="BT10" s="53">
        <f t="shared" si="29"/>
        <v>2200</v>
      </c>
      <c r="BU10" s="53">
        <f t="shared" si="30"/>
        <v>48400</v>
      </c>
      <c r="BV10" s="53">
        <f t="shared" si="31"/>
        <v>0</v>
      </c>
      <c r="BW10" s="54">
        <v>0</v>
      </c>
      <c r="BX10" s="54">
        <v>0</v>
      </c>
      <c r="BY10" s="54">
        <v>0</v>
      </c>
      <c r="BZ10" s="54">
        <f t="shared" si="32"/>
        <v>0</v>
      </c>
      <c r="CA10" s="54">
        <v>750</v>
      </c>
      <c r="CB10" s="54">
        <v>0</v>
      </c>
      <c r="CC10" s="54">
        <f t="shared" si="33"/>
        <v>750</v>
      </c>
      <c r="CD10" s="54">
        <f t="shared" si="34"/>
        <v>0</v>
      </c>
      <c r="CE10" s="54" t="e">
        <f t="shared" si="35"/>
        <v>#DIV/0!</v>
      </c>
      <c r="CF10" s="55">
        <v>0</v>
      </c>
      <c r="CG10" s="55">
        <v>0</v>
      </c>
      <c r="CH10" s="55">
        <v>0</v>
      </c>
      <c r="CI10" s="55">
        <f t="shared" si="36"/>
        <v>0</v>
      </c>
      <c r="CJ10" s="55">
        <v>730</v>
      </c>
      <c r="CK10" s="55">
        <v>0</v>
      </c>
      <c r="CL10" s="55">
        <f t="shared" si="37"/>
        <v>730</v>
      </c>
      <c r="CM10" s="55">
        <f t="shared" si="38"/>
        <v>0</v>
      </c>
      <c r="CN10" s="55" t="e">
        <f t="shared" si="39"/>
        <v>#DIV/0!</v>
      </c>
      <c r="CO10" s="56">
        <v>0</v>
      </c>
      <c r="CP10" s="56">
        <v>0</v>
      </c>
      <c r="CQ10" s="56">
        <v>0</v>
      </c>
      <c r="CR10" s="56">
        <f t="shared" si="40"/>
        <v>0</v>
      </c>
      <c r="CS10" s="56">
        <v>730</v>
      </c>
      <c r="CT10" s="56">
        <v>0</v>
      </c>
      <c r="CU10" s="56">
        <f t="shared" si="41"/>
        <v>730</v>
      </c>
      <c r="CV10" s="56">
        <f t="shared" si="42"/>
        <v>0</v>
      </c>
      <c r="CW10" s="56" t="e">
        <f t="shared" si="43"/>
        <v>#DIV/0!</v>
      </c>
      <c r="CX10" s="57">
        <v>0</v>
      </c>
      <c r="CY10" s="57">
        <v>0</v>
      </c>
      <c r="CZ10" s="57">
        <v>0</v>
      </c>
      <c r="DA10" s="57">
        <f t="shared" si="44"/>
        <v>0</v>
      </c>
      <c r="DB10" s="57">
        <v>600</v>
      </c>
      <c r="DC10" s="57">
        <v>0</v>
      </c>
      <c r="DD10" s="57">
        <f t="shared" si="45"/>
        <v>600</v>
      </c>
      <c r="DE10" s="57">
        <f t="shared" si="46"/>
        <v>0</v>
      </c>
      <c r="DF10" s="57" t="e">
        <f t="shared" si="47"/>
        <v>#DIV/0!</v>
      </c>
    </row>
    <row r="11" spans="1:110" ht="14.25" customHeight="1">
      <c r="A11" s="59"/>
      <c r="B11" s="29"/>
      <c r="C11" s="45">
        <v>0</v>
      </c>
      <c r="D11" s="45">
        <v>0</v>
      </c>
      <c r="E11" s="45">
        <v>0</v>
      </c>
      <c r="F11" s="45">
        <f t="shared" si="0"/>
        <v>0</v>
      </c>
      <c r="G11" s="45">
        <v>900</v>
      </c>
      <c r="H11" s="45">
        <v>0</v>
      </c>
      <c r="I11" s="45">
        <f t="shared" si="1"/>
        <v>900</v>
      </c>
      <c r="J11" s="45">
        <f t="shared" si="2"/>
        <v>0</v>
      </c>
      <c r="K11" s="45" t="e">
        <f t="shared" si="3"/>
        <v>#DIV/0!</v>
      </c>
      <c r="L11" s="47">
        <v>0</v>
      </c>
      <c r="M11" s="47">
        <v>0</v>
      </c>
      <c r="N11" s="47">
        <v>0</v>
      </c>
      <c r="O11" s="47">
        <f t="shared" si="4"/>
        <v>0</v>
      </c>
      <c r="P11" s="47">
        <v>1800</v>
      </c>
      <c r="Q11" s="47">
        <v>0</v>
      </c>
      <c r="R11" s="47">
        <f t="shared" si="5"/>
        <v>1800</v>
      </c>
      <c r="S11" s="47">
        <f t="shared" si="6"/>
        <v>0</v>
      </c>
      <c r="T11" s="47" t="e">
        <f t="shared" si="7"/>
        <v>#DIV/0!</v>
      </c>
      <c r="U11" s="48">
        <v>0</v>
      </c>
      <c r="V11" s="48">
        <v>0</v>
      </c>
      <c r="W11" s="48">
        <v>0</v>
      </c>
      <c r="X11" s="48">
        <f t="shared" si="8"/>
        <v>0</v>
      </c>
      <c r="Y11" s="48">
        <v>910</v>
      </c>
      <c r="Z11" s="48">
        <v>0</v>
      </c>
      <c r="AA11" s="48">
        <f t="shared" si="9"/>
        <v>910</v>
      </c>
      <c r="AB11" s="48">
        <f t="shared" si="10"/>
        <v>0</v>
      </c>
      <c r="AC11" s="48" t="e">
        <f t="shared" si="11"/>
        <v>#DIV/0!</v>
      </c>
      <c r="AD11" s="49">
        <v>0</v>
      </c>
      <c r="AE11" s="49">
        <v>0</v>
      </c>
      <c r="AF11" s="49">
        <v>0</v>
      </c>
      <c r="AG11" s="49">
        <f t="shared" si="12"/>
        <v>0</v>
      </c>
      <c r="AH11" s="49">
        <v>1200</v>
      </c>
      <c r="AI11" s="49">
        <v>0</v>
      </c>
      <c r="AJ11" s="49">
        <f t="shared" si="13"/>
        <v>1200</v>
      </c>
      <c r="AK11" s="49">
        <f t="shared" si="14"/>
        <v>0</v>
      </c>
      <c r="AL11" s="49" t="e">
        <f t="shared" si="15"/>
        <v>#DIV/0!</v>
      </c>
      <c r="AM11" s="50">
        <v>0</v>
      </c>
      <c r="AN11" s="50">
        <v>0</v>
      </c>
      <c r="AO11" s="50">
        <v>0</v>
      </c>
      <c r="AP11" s="50">
        <f t="shared" si="16"/>
        <v>0</v>
      </c>
      <c r="AQ11" s="50">
        <v>600</v>
      </c>
      <c r="AR11" s="50">
        <v>0</v>
      </c>
      <c r="AS11" s="50">
        <f t="shared" si="17"/>
        <v>600</v>
      </c>
      <c r="AT11" s="50">
        <f t="shared" si="18"/>
        <v>0</v>
      </c>
      <c r="AU11" s="50" t="e">
        <f t="shared" si="19"/>
        <v>#DIV/0!</v>
      </c>
      <c r="AV11" s="51">
        <v>0</v>
      </c>
      <c r="AW11" s="51">
        <v>0</v>
      </c>
      <c r="AX11" s="51">
        <v>0</v>
      </c>
      <c r="AY11" s="51">
        <f t="shared" si="20"/>
        <v>0</v>
      </c>
      <c r="AZ11" s="51">
        <v>1500</v>
      </c>
      <c r="BA11" s="51">
        <v>0</v>
      </c>
      <c r="BB11" s="51">
        <f t="shared" si="21"/>
        <v>1500</v>
      </c>
      <c r="BC11" s="51">
        <f t="shared" si="22"/>
        <v>0</v>
      </c>
      <c r="BD11" s="51" t="e">
        <f t="shared" si="23"/>
        <v>#DIV/0!</v>
      </c>
      <c r="BE11" s="52">
        <v>0</v>
      </c>
      <c r="BF11" s="52">
        <v>0</v>
      </c>
      <c r="BG11" s="52">
        <v>0</v>
      </c>
      <c r="BH11" s="52">
        <f t="shared" si="24"/>
        <v>0</v>
      </c>
      <c r="BI11" s="52">
        <v>750</v>
      </c>
      <c r="BJ11" s="52">
        <v>0</v>
      </c>
      <c r="BK11" s="52">
        <f t="shared" si="25"/>
        <v>750</v>
      </c>
      <c r="BL11" s="52">
        <f t="shared" si="26"/>
        <v>0</v>
      </c>
      <c r="BM11" s="52" t="e">
        <f t="shared" si="27"/>
        <v>#DIV/0!</v>
      </c>
      <c r="BN11" s="53">
        <v>0</v>
      </c>
      <c r="BO11" s="53">
        <v>40</v>
      </c>
      <c r="BP11" s="53">
        <v>3</v>
      </c>
      <c r="BQ11" s="53">
        <f t="shared" si="28"/>
        <v>37</v>
      </c>
      <c r="BR11" s="53">
        <v>2450</v>
      </c>
      <c r="BS11" s="53">
        <v>250</v>
      </c>
      <c r="BT11" s="53">
        <f t="shared" si="29"/>
        <v>2200</v>
      </c>
      <c r="BU11" s="53">
        <f t="shared" si="30"/>
        <v>81400</v>
      </c>
      <c r="BV11" s="53">
        <f t="shared" si="31"/>
        <v>7.5</v>
      </c>
      <c r="BW11" s="54">
        <v>0</v>
      </c>
      <c r="BX11" s="54">
        <v>0</v>
      </c>
      <c r="BY11" s="54">
        <v>0</v>
      </c>
      <c r="BZ11" s="54">
        <f t="shared" si="32"/>
        <v>0</v>
      </c>
      <c r="CA11" s="54">
        <v>750</v>
      </c>
      <c r="CB11" s="54">
        <v>0</v>
      </c>
      <c r="CC11" s="54">
        <f t="shared" si="33"/>
        <v>750</v>
      </c>
      <c r="CD11" s="54">
        <f t="shared" si="34"/>
        <v>0</v>
      </c>
      <c r="CE11" s="54" t="e">
        <f t="shared" si="35"/>
        <v>#DIV/0!</v>
      </c>
      <c r="CF11" s="55">
        <v>0</v>
      </c>
      <c r="CG11" s="55">
        <v>0</v>
      </c>
      <c r="CH11" s="55">
        <v>0</v>
      </c>
      <c r="CI11" s="55">
        <f t="shared" si="36"/>
        <v>0</v>
      </c>
      <c r="CJ11" s="55">
        <v>730</v>
      </c>
      <c r="CK11" s="55">
        <v>0</v>
      </c>
      <c r="CL11" s="55">
        <f t="shared" si="37"/>
        <v>730</v>
      </c>
      <c r="CM11" s="55">
        <f t="shared" si="38"/>
        <v>0</v>
      </c>
      <c r="CN11" s="55" t="e">
        <f t="shared" si="39"/>
        <v>#DIV/0!</v>
      </c>
      <c r="CO11" s="56">
        <v>0</v>
      </c>
      <c r="CP11" s="56">
        <v>0</v>
      </c>
      <c r="CQ11" s="56">
        <v>0</v>
      </c>
      <c r="CR11" s="56">
        <f t="shared" si="40"/>
        <v>0</v>
      </c>
      <c r="CS11" s="56">
        <v>730</v>
      </c>
      <c r="CT11" s="56">
        <v>0</v>
      </c>
      <c r="CU11" s="56">
        <f t="shared" si="41"/>
        <v>730</v>
      </c>
      <c r="CV11" s="56">
        <f t="shared" si="42"/>
        <v>0</v>
      </c>
      <c r="CW11" s="56" t="e">
        <f t="shared" si="43"/>
        <v>#DIV/0!</v>
      </c>
      <c r="CX11" s="57">
        <v>0</v>
      </c>
      <c r="CY11" s="57">
        <v>0</v>
      </c>
      <c r="CZ11" s="57">
        <v>0</v>
      </c>
      <c r="DA11" s="57">
        <f t="shared" si="44"/>
        <v>0</v>
      </c>
      <c r="DB11" s="57">
        <v>600</v>
      </c>
      <c r="DC11" s="57">
        <v>0</v>
      </c>
      <c r="DD11" s="57">
        <f t="shared" si="45"/>
        <v>600</v>
      </c>
      <c r="DE11" s="57">
        <f t="shared" si="46"/>
        <v>0</v>
      </c>
      <c r="DF11" s="57" t="e">
        <f t="shared" si="47"/>
        <v>#DIV/0!</v>
      </c>
    </row>
    <row r="12" spans="1:110" ht="14.25" customHeight="1">
      <c r="A12" s="59"/>
      <c r="B12" s="29"/>
      <c r="C12" s="45">
        <v>0</v>
      </c>
      <c r="D12" s="45">
        <v>0</v>
      </c>
      <c r="E12" s="45">
        <v>0</v>
      </c>
      <c r="F12" s="45">
        <f t="shared" si="0"/>
        <v>0</v>
      </c>
      <c r="G12" s="45">
        <v>900</v>
      </c>
      <c r="H12" s="45">
        <v>0</v>
      </c>
      <c r="I12" s="45">
        <f t="shared" si="1"/>
        <v>900</v>
      </c>
      <c r="J12" s="45">
        <f t="shared" si="2"/>
        <v>0</v>
      </c>
      <c r="K12" s="45" t="e">
        <f t="shared" si="3"/>
        <v>#DIV/0!</v>
      </c>
      <c r="L12" s="47">
        <v>0</v>
      </c>
      <c r="M12" s="47">
        <v>0</v>
      </c>
      <c r="N12" s="47">
        <v>0</v>
      </c>
      <c r="O12" s="47">
        <f t="shared" si="4"/>
        <v>0</v>
      </c>
      <c r="P12" s="47">
        <v>1800</v>
      </c>
      <c r="Q12" s="47">
        <v>0</v>
      </c>
      <c r="R12" s="47">
        <f t="shared" si="5"/>
        <v>1800</v>
      </c>
      <c r="S12" s="47">
        <f t="shared" si="6"/>
        <v>0</v>
      </c>
      <c r="T12" s="47" t="e">
        <f t="shared" si="7"/>
        <v>#DIV/0!</v>
      </c>
      <c r="U12" s="48">
        <v>0</v>
      </c>
      <c r="V12" s="48">
        <v>0</v>
      </c>
      <c r="W12" s="48">
        <v>0</v>
      </c>
      <c r="X12" s="48">
        <f t="shared" si="8"/>
        <v>0</v>
      </c>
      <c r="Y12" s="48">
        <v>910</v>
      </c>
      <c r="Z12" s="48">
        <v>0</v>
      </c>
      <c r="AA12" s="48">
        <f t="shared" si="9"/>
        <v>910</v>
      </c>
      <c r="AB12" s="48">
        <f t="shared" si="10"/>
        <v>0</v>
      </c>
      <c r="AC12" s="48" t="e">
        <f t="shared" si="11"/>
        <v>#DIV/0!</v>
      </c>
      <c r="AD12" s="49">
        <v>0</v>
      </c>
      <c r="AE12" s="49">
        <v>0</v>
      </c>
      <c r="AF12" s="49">
        <v>0</v>
      </c>
      <c r="AG12" s="49">
        <f t="shared" si="12"/>
        <v>0</v>
      </c>
      <c r="AH12" s="49">
        <v>1200</v>
      </c>
      <c r="AI12" s="49">
        <v>0</v>
      </c>
      <c r="AJ12" s="49">
        <f t="shared" si="13"/>
        <v>1200</v>
      </c>
      <c r="AK12" s="49">
        <f t="shared" si="14"/>
        <v>0</v>
      </c>
      <c r="AL12" s="49" t="e">
        <f t="shared" si="15"/>
        <v>#DIV/0!</v>
      </c>
      <c r="AM12" s="50">
        <v>0</v>
      </c>
      <c r="AN12" s="50">
        <v>0</v>
      </c>
      <c r="AO12" s="50">
        <v>0</v>
      </c>
      <c r="AP12" s="50">
        <f t="shared" si="16"/>
        <v>0</v>
      </c>
      <c r="AQ12" s="50">
        <v>600</v>
      </c>
      <c r="AR12" s="50">
        <v>0</v>
      </c>
      <c r="AS12" s="50">
        <f t="shared" si="17"/>
        <v>600</v>
      </c>
      <c r="AT12" s="50">
        <f t="shared" si="18"/>
        <v>0</v>
      </c>
      <c r="AU12" s="50" t="e">
        <f t="shared" si="19"/>
        <v>#DIV/0!</v>
      </c>
      <c r="AV12" s="51">
        <v>0</v>
      </c>
      <c r="AW12" s="51">
        <v>0</v>
      </c>
      <c r="AX12" s="51">
        <v>0</v>
      </c>
      <c r="AY12" s="51">
        <f t="shared" si="20"/>
        <v>0</v>
      </c>
      <c r="AZ12" s="51">
        <v>1500</v>
      </c>
      <c r="BA12" s="51">
        <v>0</v>
      </c>
      <c r="BB12" s="51">
        <f t="shared" si="21"/>
        <v>1500</v>
      </c>
      <c r="BC12" s="51">
        <f t="shared" si="22"/>
        <v>0</v>
      </c>
      <c r="BD12" s="51" t="e">
        <f t="shared" si="23"/>
        <v>#DIV/0!</v>
      </c>
      <c r="BE12" s="52">
        <v>0</v>
      </c>
      <c r="BF12" s="52">
        <v>0</v>
      </c>
      <c r="BG12" s="52">
        <v>0</v>
      </c>
      <c r="BH12" s="52">
        <f t="shared" si="24"/>
        <v>0</v>
      </c>
      <c r="BI12" s="52">
        <v>750</v>
      </c>
      <c r="BJ12" s="52">
        <v>0</v>
      </c>
      <c r="BK12" s="52">
        <f t="shared" si="25"/>
        <v>750</v>
      </c>
      <c r="BL12" s="52">
        <f t="shared" si="26"/>
        <v>0</v>
      </c>
      <c r="BM12" s="52" t="e">
        <f t="shared" si="27"/>
        <v>#DIV/0!</v>
      </c>
      <c r="BN12" s="53">
        <v>0</v>
      </c>
      <c r="BO12" s="53">
        <v>0</v>
      </c>
      <c r="BP12" s="53">
        <v>0</v>
      </c>
      <c r="BQ12" s="53">
        <f t="shared" si="28"/>
        <v>0</v>
      </c>
      <c r="BR12" s="53">
        <v>2450</v>
      </c>
      <c r="BS12" s="53">
        <v>0</v>
      </c>
      <c r="BT12" s="53">
        <f t="shared" si="29"/>
        <v>2450</v>
      </c>
      <c r="BU12" s="53">
        <f t="shared" si="30"/>
        <v>0</v>
      </c>
      <c r="BV12" s="53" t="e">
        <f t="shared" si="31"/>
        <v>#DIV/0!</v>
      </c>
      <c r="BW12" s="54">
        <v>0</v>
      </c>
      <c r="BX12" s="54">
        <v>0</v>
      </c>
      <c r="BY12" s="54">
        <v>0</v>
      </c>
      <c r="BZ12" s="54">
        <f t="shared" si="32"/>
        <v>0</v>
      </c>
      <c r="CA12" s="54">
        <v>750</v>
      </c>
      <c r="CB12" s="54">
        <v>0</v>
      </c>
      <c r="CC12" s="54">
        <f t="shared" si="33"/>
        <v>750</v>
      </c>
      <c r="CD12" s="54">
        <f t="shared" si="34"/>
        <v>0</v>
      </c>
      <c r="CE12" s="54" t="e">
        <f t="shared" si="35"/>
        <v>#DIV/0!</v>
      </c>
      <c r="CF12" s="55">
        <v>0</v>
      </c>
      <c r="CG12" s="55">
        <v>0</v>
      </c>
      <c r="CH12" s="55">
        <v>0</v>
      </c>
      <c r="CI12" s="55">
        <f t="shared" si="36"/>
        <v>0</v>
      </c>
      <c r="CJ12" s="55">
        <v>730</v>
      </c>
      <c r="CK12" s="55">
        <v>0</v>
      </c>
      <c r="CL12" s="55">
        <f t="shared" si="37"/>
        <v>730</v>
      </c>
      <c r="CM12" s="55">
        <f t="shared" si="38"/>
        <v>0</v>
      </c>
      <c r="CN12" s="55" t="e">
        <f t="shared" si="39"/>
        <v>#DIV/0!</v>
      </c>
      <c r="CO12" s="56">
        <v>0</v>
      </c>
      <c r="CP12" s="56">
        <v>0</v>
      </c>
      <c r="CQ12" s="56">
        <v>0</v>
      </c>
      <c r="CR12" s="56">
        <f t="shared" si="40"/>
        <v>0</v>
      </c>
      <c r="CS12" s="56">
        <v>730</v>
      </c>
      <c r="CT12" s="56">
        <v>0</v>
      </c>
      <c r="CU12" s="56">
        <f t="shared" si="41"/>
        <v>730</v>
      </c>
      <c r="CV12" s="56">
        <f t="shared" si="42"/>
        <v>0</v>
      </c>
      <c r="CW12" s="56" t="e">
        <f t="shared" si="43"/>
        <v>#DIV/0!</v>
      </c>
      <c r="CX12" s="57">
        <v>0</v>
      </c>
      <c r="CY12" s="57">
        <v>0</v>
      </c>
      <c r="CZ12" s="57">
        <v>0</v>
      </c>
      <c r="DA12" s="57">
        <f t="shared" si="44"/>
        <v>0</v>
      </c>
      <c r="DB12" s="57">
        <v>600</v>
      </c>
      <c r="DC12" s="57">
        <v>0</v>
      </c>
      <c r="DD12" s="57">
        <f t="shared" si="45"/>
        <v>600</v>
      </c>
      <c r="DE12" s="57">
        <f t="shared" si="46"/>
        <v>0</v>
      </c>
      <c r="DF12" s="57" t="e">
        <f t="shared" si="47"/>
        <v>#DIV/0!</v>
      </c>
    </row>
    <row r="13" spans="1:110" ht="14.25" customHeight="1">
      <c r="A13" s="59"/>
      <c r="B13" s="29"/>
      <c r="C13" s="45">
        <v>0</v>
      </c>
      <c r="D13" s="45">
        <v>0</v>
      </c>
      <c r="E13" s="45">
        <v>0</v>
      </c>
      <c r="F13" s="45">
        <f t="shared" si="0"/>
        <v>0</v>
      </c>
      <c r="G13" s="45">
        <v>900</v>
      </c>
      <c r="H13" s="45">
        <v>0</v>
      </c>
      <c r="I13" s="45">
        <f t="shared" si="1"/>
        <v>900</v>
      </c>
      <c r="J13" s="45">
        <f t="shared" si="2"/>
        <v>0</v>
      </c>
      <c r="K13" s="45" t="e">
        <f t="shared" si="3"/>
        <v>#DIV/0!</v>
      </c>
      <c r="L13" s="47">
        <v>0</v>
      </c>
      <c r="M13" s="47">
        <v>0</v>
      </c>
      <c r="N13" s="47">
        <v>0</v>
      </c>
      <c r="O13" s="47">
        <f t="shared" si="4"/>
        <v>0</v>
      </c>
      <c r="P13" s="47">
        <v>1800</v>
      </c>
      <c r="Q13" s="47">
        <v>0</v>
      </c>
      <c r="R13" s="47">
        <f t="shared" si="5"/>
        <v>1800</v>
      </c>
      <c r="S13" s="47">
        <f t="shared" si="6"/>
        <v>0</v>
      </c>
      <c r="T13" s="47" t="e">
        <f t="shared" si="7"/>
        <v>#DIV/0!</v>
      </c>
      <c r="U13" s="48">
        <v>0</v>
      </c>
      <c r="V13" s="48">
        <v>0</v>
      </c>
      <c r="W13" s="48">
        <v>0</v>
      </c>
      <c r="X13" s="48">
        <f t="shared" si="8"/>
        <v>0</v>
      </c>
      <c r="Y13" s="48">
        <v>910</v>
      </c>
      <c r="Z13" s="48">
        <v>0</v>
      </c>
      <c r="AA13" s="48">
        <f t="shared" si="9"/>
        <v>910</v>
      </c>
      <c r="AB13" s="48">
        <f t="shared" si="10"/>
        <v>0</v>
      </c>
      <c r="AC13" s="48" t="e">
        <f t="shared" si="11"/>
        <v>#DIV/0!</v>
      </c>
      <c r="AD13" s="49">
        <v>0</v>
      </c>
      <c r="AE13" s="49">
        <v>0</v>
      </c>
      <c r="AF13" s="49">
        <v>0</v>
      </c>
      <c r="AG13" s="49">
        <f t="shared" si="12"/>
        <v>0</v>
      </c>
      <c r="AH13" s="49">
        <v>1200</v>
      </c>
      <c r="AI13" s="49">
        <v>0</v>
      </c>
      <c r="AJ13" s="49">
        <f t="shared" si="13"/>
        <v>1200</v>
      </c>
      <c r="AK13" s="49">
        <f t="shared" si="14"/>
        <v>0</v>
      </c>
      <c r="AL13" s="49" t="e">
        <f t="shared" si="15"/>
        <v>#DIV/0!</v>
      </c>
      <c r="AM13" s="50">
        <v>0</v>
      </c>
      <c r="AN13" s="50">
        <v>0</v>
      </c>
      <c r="AO13" s="50">
        <v>0</v>
      </c>
      <c r="AP13" s="50">
        <f t="shared" si="16"/>
        <v>0</v>
      </c>
      <c r="AQ13" s="50">
        <v>600</v>
      </c>
      <c r="AR13" s="50">
        <v>0</v>
      </c>
      <c r="AS13" s="50">
        <f t="shared" si="17"/>
        <v>600</v>
      </c>
      <c r="AT13" s="50">
        <f t="shared" si="18"/>
        <v>0</v>
      </c>
      <c r="AU13" s="50" t="e">
        <f t="shared" si="19"/>
        <v>#DIV/0!</v>
      </c>
      <c r="AV13" s="51">
        <v>0</v>
      </c>
      <c r="AW13" s="51">
        <v>0</v>
      </c>
      <c r="AX13" s="51">
        <v>0</v>
      </c>
      <c r="AY13" s="51">
        <f t="shared" si="20"/>
        <v>0</v>
      </c>
      <c r="AZ13" s="51">
        <v>1500</v>
      </c>
      <c r="BA13" s="51">
        <v>0</v>
      </c>
      <c r="BB13" s="51">
        <f t="shared" si="21"/>
        <v>1500</v>
      </c>
      <c r="BC13" s="51">
        <f t="shared" si="22"/>
        <v>0</v>
      </c>
      <c r="BD13" s="51" t="e">
        <f t="shared" si="23"/>
        <v>#DIV/0!</v>
      </c>
      <c r="BE13" s="52">
        <v>0</v>
      </c>
      <c r="BF13" s="52">
        <v>0</v>
      </c>
      <c r="BG13" s="52">
        <v>0</v>
      </c>
      <c r="BH13" s="52">
        <f t="shared" si="24"/>
        <v>0</v>
      </c>
      <c r="BI13" s="52">
        <v>750</v>
      </c>
      <c r="BJ13" s="52">
        <v>0</v>
      </c>
      <c r="BK13" s="52">
        <f t="shared" si="25"/>
        <v>750</v>
      </c>
      <c r="BL13" s="52">
        <f t="shared" si="26"/>
        <v>0</v>
      </c>
      <c r="BM13" s="52" t="e">
        <f t="shared" si="27"/>
        <v>#DIV/0!</v>
      </c>
      <c r="BN13" s="53">
        <v>0</v>
      </c>
      <c r="BO13" s="53">
        <v>0</v>
      </c>
      <c r="BP13" s="53">
        <v>0</v>
      </c>
      <c r="BQ13" s="53">
        <f t="shared" si="28"/>
        <v>0</v>
      </c>
      <c r="BR13" s="53">
        <v>2450</v>
      </c>
      <c r="BS13" s="53">
        <v>0</v>
      </c>
      <c r="BT13" s="53">
        <f t="shared" si="29"/>
        <v>2450</v>
      </c>
      <c r="BU13" s="53">
        <f t="shared" si="30"/>
        <v>0</v>
      </c>
      <c r="BV13" s="53" t="e">
        <f t="shared" si="31"/>
        <v>#DIV/0!</v>
      </c>
      <c r="BW13" s="54">
        <v>0</v>
      </c>
      <c r="BX13" s="54">
        <v>0</v>
      </c>
      <c r="BY13" s="54">
        <v>0</v>
      </c>
      <c r="BZ13" s="54">
        <f t="shared" si="32"/>
        <v>0</v>
      </c>
      <c r="CA13" s="54">
        <v>750</v>
      </c>
      <c r="CB13" s="54">
        <v>0</v>
      </c>
      <c r="CC13" s="54">
        <f t="shared" si="33"/>
        <v>750</v>
      </c>
      <c r="CD13" s="54">
        <f t="shared" si="34"/>
        <v>0</v>
      </c>
      <c r="CE13" s="54" t="e">
        <f t="shared" si="35"/>
        <v>#DIV/0!</v>
      </c>
      <c r="CF13" s="55">
        <v>0</v>
      </c>
      <c r="CG13" s="55">
        <v>0</v>
      </c>
      <c r="CH13" s="55">
        <v>0</v>
      </c>
      <c r="CI13" s="55">
        <f t="shared" si="36"/>
        <v>0</v>
      </c>
      <c r="CJ13" s="55">
        <v>730</v>
      </c>
      <c r="CK13" s="55">
        <v>0</v>
      </c>
      <c r="CL13" s="55">
        <f t="shared" si="37"/>
        <v>730</v>
      </c>
      <c r="CM13" s="55">
        <f t="shared" si="38"/>
        <v>0</v>
      </c>
      <c r="CN13" s="55" t="e">
        <f t="shared" si="39"/>
        <v>#DIV/0!</v>
      </c>
      <c r="CO13" s="56">
        <v>0</v>
      </c>
      <c r="CP13" s="56">
        <v>0</v>
      </c>
      <c r="CQ13" s="56">
        <v>0</v>
      </c>
      <c r="CR13" s="56">
        <f t="shared" si="40"/>
        <v>0</v>
      </c>
      <c r="CS13" s="56">
        <v>730</v>
      </c>
      <c r="CT13" s="56">
        <v>0</v>
      </c>
      <c r="CU13" s="56">
        <f t="shared" si="41"/>
        <v>730</v>
      </c>
      <c r="CV13" s="56">
        <f t="shared" si="42"/>
        <v>0</v>
      </c>
      <c r="CW13" s="56" t="e">
        <f t="shared" si="43"/>
        <v>#DIV/0!</v>
      </c>
      <c r="CX13" s="57">
        <v>0</v>
      </c>
      <c r="CY13" s="57">
        <v>0</v>
      </c>
      <c r="CZ13" s="57">
        <v>0</v>
      </c>
      <c r="DA13" s="57">
        <f t="shared" si="44"/>
        <v>0</v>
      </c>
      <c r="DB13" s="57">
        <v>600</v>
      </c>
      <c r="DC13" s="57">
        <v>0</v>
      </c>
      <c r="DD13" s="57">
        <f t="shared" si="45"/>
        <v>600</v>
      </c>
      <c r="DE13" s="57">
        <f t="shared" si="46"/>
        <v>0</v>
      </c>
      <c r="DF13" s="57" t="e">
        <f t="shared" si="47"/>
        <v>#DIV/0!</v>
      </c>
    </row>
    <row r="14" spans="1:110" ht="14.25" customHeight="1">
      <c r="A14" s="59"/>
      <c r="B14" s="29"/>
      <c r="C14" s="45">
        <v>0</v>
      </c>
      <c r="D14" s="45">
        <v>0</v>
      </c>
      <c r="E14" s="45">
        <v>0</v>
      </c>
      <c r="F14" s="45">
        <f t="shared" si="0"/>
        <v>0</v>
      </c>
      <c r="G14" s="45">
        <v>900</v>
      </c>
      <c r="H14" s="45">
        <v>0</v>
      </c>
      <c r="I14" s="45">
        <f t="shared" si="1"/>
        <v>900</v>
      </c>
      <c r="J14" s="45">
        <f t="shared" si="2"/>
        <v>0</v>
      </c>
      <c r="K14" s="45" t="e">
        <f t="shared" si="3"/>
        <v>#DIV/0!</v>
      </c>
      <c r="L14" s="47">
        <v>0</v>
      </c>
      <c r="M14" s="47">
        <v>0</v>
      </c>
      <c r="N14" s="47">
        <v>0</v>
      </c>
      <c r="O14" s="47">
        <f t="shared" si="4"/>
        <v>0</v>
      </c>
      <c r="P14" s="47">
        <v>1800</v>
      </c>
      <c r="Q14" s="47">
        <v>0</v>
      </c>
      <c r="R14" s="47">
        <f t="shared" si="5"/>
        <v>1800</v>
      </c>
      <c r="S14" s="47">
        <f t="shared" si="6"/>
        <v>0</v>
      </c>
      <c r="T14" s="47" t="e">
        <f t="shared" si="7"/>
        <v>#DIV/0!</v>
      </c>
      <c r="U14" s="48">
        <v>0</v>
      </c>
      <c r="V14" s="48">
        <v>0</v>
      </c>
      <c r="W14" s="48">
        <v>0</v>
      </c>
      <c r="X14" s="48">
        <f t="shared" si="8"/>
        <v>0</v>
      </c>
      <c r="Y14" s="48">
        <v>910</v>
      </c>
      <c r="Z14" s="48">
        <v>0</v>
      </c>
      <c r="AA14" s="48">
        <f t="shared" si="9"/>
        <v>910</v>
      </c>
      <c r="AB14" s="48">
        <f t="shared" si="10"/>
        <v>0</v>
      </c>
      <c r="AC14" s="48" t="e">
        <f t="shared" si="11"/>
        <v>#DIV/0!</v>
      </c>
      <c r="AD14" s="49">
        <v>0</v>
      </c>
      <c r="AE14" s="49">
        <v>0</v>
      </c>
      <c r="AF14" s="49">
        <v>0</v>
      </c>
      <c r="AG14" s="49">
        <f t="shared" si="12"/>
        <v>0</v>
      </c>
      <c r="AH14" s="49">
        <v>1200</v>
      </c>
      <c r="AI14" s="49">
        <v>0</v>
      </c>
      <c r="AJ14" s="49">
        <f t="shared" si="13"/>
        <v>1200</v>
      </c>
      <c r="AK14" s="49">
        <f t="shared" si="14"/>
        <v>0</v>
      </c>
      <c r="AL14" s="49" t="e">
        <f t="shared" si="15"/>
        <v>#DIV/0!</v>
      </c>
      <c r="AM14" s="50">
        <v>0</v>
      </c>
      <c r="AN14" s="50">
        <v>0</v>
      </c>
      <c r="AO14" s="50">
        <v>0</v>
      </c>
      <c r="AP14" s="50">
        <f t="shared" si="16"/>
        <v>0</v>
      </c>
      <c r="AQ14" s="50">
        <v>600</v>
      </c>
      <c r="AR14" s="50">
        <v>0</v>
      </c>
      <c r="AS14" s="50">
        <f t="shared" si="17"/>
        <v>600</v>
      </c>
      <c r="AT14" s="50">
        <f t="shared" si="18"/>
        <v>0</v>
      </c>
      <c r="AU14" s="50" t="e">
        <f t="shared" si="19"/>
        <v>#DIV/0!</v>
      </c>
      <c r="AV14" s="51">
        <v>0</v>
      </c>
      <c r="AW14" s="51">
        <v>0</v>
      </c>
      <c r="AX14" s="51">
        <v>0</v>
      </c>
      <c r="AY14" s="51">
        <f t="shared" si="20"/>
        <v>0</v>
      </c>
      <c r="AZ14" s="51">
        <v>1500</v>
      </c>
      <c r="BA14" s="51">
        <v>0</v>
      </c>
      <c r="BB14" s="51">
        <f t="shared" si="21"/>
        <v>1500</v>
      </c>
      <c r="BC14" s="51">
        <f t="shared" si="22"/>
        <v>0</v>
      </c>
      <c r="BD14" s="51" t="e">
        <f t="shared" si="23"/>
        <v>#DIV/0!</v>
      </c>
      <c r="BE14" s="52">
        <v>0</v>
      </c>
      <c r="BF14" s="52">
        <v>0</v>
      </c>
      <c r="BG14" s="52">
        <v>0</v>
      </c>
      <c r="BH14" s="52">
        <f t="shared" si="24"/>
        <v>0</v>
      </c>
      <c r="BI14" s="52">
        <v>750</v>
      </c>
      <c r="BJ14" s="52">
        <v>0</v>
      </c>
      <c r="BK14" s="52">
        <f t="shared" si="25"/>
        <v>750</v>
      </c>
      <c r="BL14" s="52">
        <f t="shared" si="26"/>
        <v>0</v>
      </c>
      <c r="BM14" s="52" t="e">
        <f t="shared" si="27"/>
        <v>#DIV/0!</v>
      </c>
      <c r="BN14" s="53">
        <v>0</v>
      </c>
      <c r="BO14" s="53">
        <v>8</v>
      </c>
      <c r="BP14" s="53">
        <v>0</v>
      </c>
      <c r="BQ14" s="53">
        <f t="shared" si="28"/>
        <v>8</v>
      </c>
      <c r="BR14" s="53">
        <v>2450</v>
      </c>
      <c r="BS14" s="53">
        <v>250</v>
      </c>
      <c r="BT14" s="53">
        <f t="shared" si="29"/>
        <v>2200</v>
      </c>
      <c r="BU14" s="53">
        <f t="shared" si="30"/>
        <v>17600</v>
      </c>
      <c r="BV14" s="53">
        <f t="shared" si="31"/>
        <v>0</v>
      </c>
      <c r="BW14" s="54">
        <v>0</v>
      </c>
      <c r="BX14" s="54">
        <v>0</v>
      </c>
      <c r="BY14" s="54">
        <v>0</v>
      </c>
      <c r="BZ14" s="54">
        <f t="shared" si="32"/>
        <v>0</v>
      </c>
      <c r="CA14" s="54">
        <v>750</v>
      </c>
      <c r="CB14" s="54">
        <v>0</v>
      </c>
      <c r="CC14" s="54">
        <f t="shared" si="33"/>
        <v>750</v>
      </c>
      <c r="CD14" s="54">
        <f t="shared" si="34"/>
        <v>0</v>
      </c>
      <c r="CE14" s="54" t="e">
        <f t="shared" si="35"/>
        <v>#DIV/0!</v>
      </c>
      <c r="CF14" s="55">
        <v>0</v>
      </c>
      <c r="CG14" s="55">
        <v>0</v>
      </c>
      <c r="CH14" s="55">
        <v>0</v>
      </c>
      <c r="CI14" s="55">
        <f t="shared" si="36"/>
        <v>0</v>
      </c>
      <c r="CJ14" s="55">
        <v>730</v>
      </c>
      <c r="CK14" s="55">
        <v>0</v>
      </c>
      <c r="CL14" s="55">
        <f t="shared" si="37"/>
        <v>730</v>
      </c>
      <c r="CM14" s="55">
        <f t="shared" si="38"/>
        <v>0</v>
      </c>
      <c r="CN14" s="55" t="e">
        <f t="shared" si="39"/>
        <v>#DIV/0!</v>
      </c>
      <c r="CO14" s="56">
        <v>0</v>
      </c>
      <c r="CP14" s="56">
        <v>0</v>
      </c>
      <c r="CQ14" s="56">
        <v>0</v>
      </c>
      <c r="CR14" s="56">
        <f t="shared" si="40"/>
        <v>0</v>
      </c>
      <c r="CS14" s="56">
        <v>730</v>
      </c>
      <c r="CT14" s="56">
        <v>0</v>
      </c>
      <c r="CU14" s="56">
        <f t="shared" si="41"/>
        <v>730</v>
      </c>
      <c r="CV14" s="56">
        <f t="shared" si="42"/>
        <v>0</v>
      </c>
      <c r="CW14" s="56" t="e">
        <f t="shared" si="43"/>
        <v>#DIV/0!</v>
      </c>
      <c r="CX14" s="57">
        <v>0</v>
      </c>
      <c r="CY14" s="57">
        <v>0</v>
      </c>
      <c r="CZ14" s="57">
        <v>0</v>
      </c>
      <c r="DA14" s="57">
        <f t="shared" si="44"/>
        <v>0</v>
      </c>
      <c r="DB14" s="57">
        <v>600</v>
      </c>
      <c r="DC14" s="57">
        <v>0</v>
      </c>
      <c r="DD14" s="57">
        <f t="shared" si="45"/>
        <v>600</v>
      </c>
      <c r="DE14" s="57">
        <f t="shared" si="46"/>
        <v>0</v>
      </c>
      <c r="DF14" s="57" t="e">
        <f t="shared" si="47"/>
        <v>#DIV/0!</v>
      </c>
    </row>
    <row r="15" spans="1:110" ht="14.25" customHeight="1">
      <c r="A15" s="59"/>
      <c r="B15" s="29"/>
      <c r="C15" s="45">
        <v>0</v>
      </c>
      <c r="D15" s="45">
        <v>0</v>
      </c>
      <c r="E15" s="45">
        <v>0</v>
      </c>
      <c r="F15" s="45">
        <f t="shared" si="0"/>
        <v>0</v>
      </c>
      <c r="G15" s="45">
        <v>900</v>
      </c>
      <c r="H15" s="45">
        <v>0</v>
      </c>
      <c r="I15" s="45">
        <f t="shared" si="1"/>
        <v>900</v>
      </c>
      <c r="J15" s="45">
        <f t="shared" si="2"/>
        <v>0</v>
      </c>
      <c r="K15" s="45" t="e">
        <f t="shared" si="3"/>
        <v>#DIV/0!</v>
      </c>
      <c r="L15" s="47">
        <v>0</v>
      </c>
      <c r="M15" s="47">
        <v>0</v>
      </c>
      <c r="N15" s="47">
        <v>0</v>
      </c>
      <c r="O15" s="47">
        <f t="shared" si="4"/>
        <v>0</v>
      </c>
      <c r="P15" s="47">
        <v>1800</v>
      </c>
      <c r="Q15" s="47">
        <v>0</v>
      </c>
      <c r="R15" s="47">
        <f t="shared" si="5"/>
        <v>1800</v>
      </c>
      <c r="S15" s="47">
        <f t="shared" si="6"/>
        <v>0</v>
      </c>
      <c r="T15" s="47" t="e">
        <f t="shared" si="7"/>
        <v>#DIV/0!</v>
      </c>
      <c r="U15" s="48">
        <v>0</v>
      </c>
      <c r="V15" s="48">
        <v>0</v>
      </c>
      <c r="W15" s="48">
        <v>0</v>
      </c>
      <c r="X15" s="48">
        <f t="shared" si="8"/>
        <v>0</v>
      </c>
      <c r="Y15" s="48">
        <v>910</v>
      </c>
      <c r="Z15" s="48">
        <v>0</v>
      </c>
      <c r="AA15" s="48">
        <f t="shared" si="9"/>
        <v>910</v>
      </c>
      <c r="AB15" s="48">
        <f t="shared" si="10"/>
        <v>0</v>
      </c>
      <c r="AC15" s="48" t="e">
        <f t="shared" si="11"/>
        <v>#DIV/0!</v>
      </c>
      <c r="AD15" s="49">
        <v>0</v>
      </c>
      <c r="AE15" s="49">
        <v>0</v>
      </c>
      <c r="AF15" s="49">
        <v>0</v>
      </c>
      <c r="AG15" s="49">
        <f t="shared" si="12"/>
        <v>0</v>
      </c>
      <c r="AH15" s="49">
        <v>1200</v>
      </c>
      <c r="AI15" s="49">
        <v>0</v>
      </c>
      <c r="AJ15" s="49">
        <f t="shared" si="13"/>
        <v>1200</v>
      </c>
      <c r="AK15" s="49">
        <f t="shared" si="14"/>
        <v>0</v>
      </c>
      <c r="AL15" s="49" t="e">
        <f t="shared" si="15"/>
        <v>#DIV/0!</v>
      </c>
      <c r="AM15" s="50">
        <v>0</v>
      </c>
      <c r="AN15" s="50">
        <v>0</v>
      </c>
      <c r="AO15" s="50">
        <v>0</v>
      </c>
      <c r="AP15" s="50">
        <f t="shared" si="16"/>
        <v>0</v>
      </c>
      <c r="AQ15" s="50">
        <v>600</v>
      </c>
      <c r="AR15" s="50">
        <v>0</v>
      </c>
      <c r="AS15" s="50">
        <f t="shared" si="17"/>
        <v>600</v>
      </c>
      <c r="AT15" s="50">
        <f t="shared" si="18"/>
        <v>0</v>
      </c>
      <c r="AU15" s="50" t="e">
        <f t="shared" si="19"/>
        <v>#DIV/0!</v>
      </c>
      <c r="AV15" s="51">
        <v>0</v>
      </c>
      <c r="AW15" s="51">
        <v>0</v>
      </c>
      <c r="AX15" s="51">
        <v>0</v>
      </c>
      <c r="AY15" s="51">
        <f t="shared" si="20"/>
        <v>0</v>
      </c>
      <c r="AZ15" s="51">
        <v>1500</v>
      </c>
      <c r="BA15" s="51">
        <v>0</v>
      </c>
      <c r="BB15" s="51">
        <f t="shared" si="21"/>
        <v>1500</v>
      </c>
      <c r="BC15" s="51">
        <f t="shared" si="22"/>
        <v>0</v>
      </c>
      <c r="BD15" s="51" t="e">
        <f t="shared" si="23"/>
        <v>#DIV/0!</v>
      </c>
      <c r="BE15" s="52">
        <v>0</v>
      </c>
      <c r="BF15" s="52">
        <v>0</v>
      </c>
      <c r="BG15" s="52">
        <v>0</v>
      </c>
      <c r="BH15" s="52">
        <f t="shared" si="24"/>
        <v>0</v>
      </c>
      <c r="BI15" s="52">
        <v>750</v>
      </c>
      <c r="BJ15" s="52">
        <v>0</v>
      </c>
      <c r="BK15" s="52">
        <f t="shared" si="25"/>
        <v>750</v>
      </c>
      <c r="BL15" s="52">
        <f t="shared" si="26"/>
        <v>0</v>
      </c>
      <c r="BM15" s="52" t="e">
        <f t="shared" si="27"/>
        <v>#DIV/0!</v>
      </c>
      <c r="BN15" s="53">
        <v>0</v>
      </c>
      <c r="BO15" s="53">
        <v>0</v>
      </c>
      <c r="BP15" s="53">
        <v>0</v>
      </c>
      <c r="BQ15" s="53">
        <f t="shared" si="28"/>
        <v>0</v>
      </c>
      <c r="BR15" s="53">
        <v>2450</v>
      </c>
      <c r="BS15" s="53">
        <v>0</v>
      </c>
      <c r="BT15" s="53">
        <f t="shared" si="29"/>
        <v>2450</v>
      </c>
      <c r="BU15" s="53">
        <f t="shared" si="30"/>
        <v>0</v>
      </c>
      <c r="BV15" s="53" t="e">
        <f t="shared" si="31"/>
        <v>#DIV/0!</v>
      </c>
      <c r="BW15" s="54">
        <v>0</v>
      </c>
      <c r="BX15" s="54">
        <v>0</v>
      </c>
      <c r="BY15" s="54">
        <v>0</v>
      </c>
      <c r="BZ15" s="54">
        <f t="shared" si="32"/>
        <v>0</v>
      </c>
      <c r="CA15" s="54">
        <v>750</v>
      </c>
      <c r="CB15" s="54">
        <v>0</v>
      </c>
      <c r="CC15" s="54">
        <f t="shared" si="33"/>
        <v>750</v>
      </c>
      <c r="CD15" s="54">
        <f t="shared" si="34"/>
        <v>0</v>
      </c>
      <c r="CE15" s="54" t="e">
        <f t="shared" si="35"/>
        <v>#DIV/0!</v>
      </c>
      <c r="CF15" s="55">
        <v>0</v>
      </c>
      <c r="CG15" s="55">
        <v>0</v>
      </c>
      <c r="CH15" s="55">
        <v>0</v>
      </c>
      <c r="CI15" s="55">
        <f t="shared" si="36"/>
        <v>0</v>
      </c>
      <c r="CJ15" s="55">
        <v>730</v>
      </c>
      <c r="CK15" s="55">
        <v>0</v>
      </c>
      <c r="CL15" s="55">
        <f t="shared" si="37"/>
        <v>730</v>
      </c>
      <c r="CM15" s="55">
        <f t="shared" si="38"/>
        <v>0</v>
      </c>
      <c r="CN15" s="55" t="e">
        <f t="shared" si="39"/>
        <v>#DIV/0!</v>
      </c>
      <c r="CO15" s="56">
        <v>0</v>
      </c>
      <c r="CP15" s="56">
        <v>0</v>
      </c>
      <c r="CQ15" s="56">
        <v>0</v>
      </c>
      <c r="CR15" s="56">
        <f t="shared" si="40"/>
        <v>0</v>
      </c>
      <c r="CS15" s="56">
        <v>730</v>
      </c>
      <c r="CT15" s="56">
        <v>0</v>
      </c>
      <c r="CU15" s="56">
        <f t="shared" si="41"/>
        <v>730</v>
      </c>
      <c r="CV15" s="56">
        <f t="shared" si="42"/>
        <v>0</v>
      </c>
      <c r="CW15" s="56" t="e">
        <f t="shared" si="43"/>
        <v>#DIV/0!</v>
      </c>
      <c r="CX15" s="57">
        <v>0</v>
      </c>
      <c r="CY15" s="57">
        <v>0</v>
      </c>
      <c r="CZ15" s="57">
        <v>0</v>
      </c>
      <c r="DA15" s="57">
        <f t="shared" si="44"/>
        <v>0</v>
      </c>
      <c r="DB15" s="57">
        <v>600</v>
      </c>
      <c r="DC15" s="57">
        <v>0</v>
      </c>
      <c r="DD15" s="57">
        <f t="shared" si="45"/>
        <v>600</v>
      </c>
      <c r="DE15" s="57">
        <f t="shared" si="46"/>
        <v>0</v>
      </c>
      <c r="DF15" s="57" t="e">
        <f t="shared" si="47"/>
        <v>#DIV/0!</v>
      </c>
    </row>
    <row r="16" spans="1:110" ht="14.25" customHeight="1">
      <c r="A16" s="59"/>
      <c r="B16" s="29"/>
      <c r="C16" s="45">
        <v>150</v>
      </c>
      <c r="D16" s="45">
        <v>120</v>
      </c>
      <c r="E16" s="45">
        <v>4</v>
      </c>
      <c r="F16" s="45">
        <f t="shared" si="0"/>
        <v>116</v>
      </c>
      <c r="G16" s="45">
        <v>900</v>
      </c>
      <c r="H16" s="45">
        <v>100</v>
      </c>
      <c r="I16" s="45">
        <f t="shared" si="1"/>
        <v>800</v>
      </c>
      <c r="J16" s="45">
        <f t="shared" si="2"/>
        <v>92800</v>
      </c>
      <c r="K16" s="45">
        <f t="shared" si="3"/>
        <v>3.3333333333333335</v>
      </c>
      <c r="L16" s="47">
        <v>0</v>
      </c>
      <c r="M16" s="47">
        <v>60</v>
      </c>
      <c r="N16" s="47">
        <v>0</v>
      </c>
      <c r="O16" s="47">
        <f t="shared" si="4"/>
        <v>60</v>
      </c>
      <c r="P16" s="47">
        <v>1800</v>
      </c>
      <c r="Q16" s="47">
        <v>200</v>
      </c>
      <c r="R16" s="47">
        <f t="shared" si="5"/>
        <v>1600</v>
      </c>
      <c r="S16" s="47">
        <f t="shared" si="6"/>
        <v>96000</v>
      </c>
      <c r="T16" s="47">
        <f t="shared" si="7"/>
        <v>0</v>
      </c>
      <c r="U16" s="48">
        <v>0</v>
      </c>
      <c r="V16" s="48">
        <v>0</v>
      </c>
      <c r="W16" s="48">
        <v>0</v>
      </c>
      <c r="X16" s="48">
        <f t="shared" si="8"/>
        <v>0</v>
      </c>
      <c r="Y16" s="48">
        <v>910</v>
      </c>
      <c r="Z16" s="48">
        <v>0</v>
      </c>
      <c r="AA16" s="48">
        <f t="shared" si="9"/>
        <v>910</v>
      </c>
      <c r="AB16" s="48">
        <f t="shared" si="10"/>
        <v>0</v>
      </c>
      <c r="AC16" s="48" t="e">
        <f t="shared" si="11"/>
        <v>#DIV/0!</v>
      </c>
      <c r="AD16" s="49">
        <v>0</v>
      </c>
      <c r="AE16" s="49">
        <v>45</v>
      </c>
      <c r="AF16" s="49">
        <v>0</v>
      </c>
      <c r="AG16" s="49">
        <f t="shared" si="12"/>
        <v>45</v>
      </c>
      <c r="AH16" s="49">
        <v>1200</v>
      </c>
      <c r="AI16" s="49">
        <v>150</v>
      </c>
      <c r="AJ16" s="49">
        <f t="shared" si="13"/>
        <v>1050</v>
      </c>
      <c r="AK16" s="49">
        <f t="shared" si="14"/>
        <v>47250</v>
      </c>
      <c r="AL16" s="49">
        <f t="shared" si="15"/>
        <v>0</v>
      </c>
      <c r="AM16" s="50">
        <v>0</v>
      </c>
      <c r="AN16" s="50">
        <v>132</v>
      </c>
      <c r="AO16" s="50">
        <v>1</v>
      </c>
      <c r="AP16" s="50">
        <f t="shared" si="16"/>
        <v>131</v>
      </c>
      <c r="AQ16" s="50">
        <v>600</v>
      </c>
      <c r="AR16" s="50">
        <v>75</v>
      </c>
      <c r="AS16" s="50">
        <f t="shared" si="17"/>
        <v>525</v>
      </c>
      <c r="AT16" s="50">
        <f t="shared" si="18"/>
        <v>68775</v>
      </c>
      <c r="AU16" s="50">
        <f t="shared" si="19"/>
        <v>0.75757575757575757</v>
      </c>
      <c r="AV16" s="51">
        <v>0</v>
      </c>
      <c r="AW16" s="51">
        <v>60</v>
      </c>
      <c r="AX16" s="51">
        <v>1</v>
      </c>
      <c r="AY16" s="51">
        <f t="shared" si="20"/>
        <v>59</v>
      </c>
      <c r="AZ16" s="51">
        <v>1500</v>
      </c>
      <c r="BA16" s="51">
        <v>220</v>
      </c>
      <c r="BB16" s="51">
        <f t="shared" si="21"/>
        <v>1280</v>
      </c>
      <c r="BC16" s="51">
        <f t="shared" si="22"/>
        <v>75520</v>
      </c>
      <c r="BD16" s="51">
        <f t="shared" si="23"/>
        <v>1.6666666666666667</v>
      </c>
      <c r="BE16" s="52">
        <v>0</v>
      </c>
      <c r="BF16" s="52">
        <v>120</v>
      </c>
      <c r="BG16" s="52">
        <v>6</v>
      </c>
      <c r="BH16" s="52">
        <f t="shared" si="24"/>
        <v>114</v>
      </c>
      <c r="BI16" s="52">
        <v>750</v>
      </c>
      <c r="BJ16" s="52">
        <v>110</v>
      </c>
      <c r="BK16" s="52">
        <f t="shared" si="25"/>
        <v>640</v>
      </c>
      <c r="BL16" s="52">
        <f t="shared" si="26"/>
        <v>72960</v>
      </c>
      <c r="BM16" s="52">
        <f t="shared" si="27"/>
        <v>5</v>
      </c>
      <c r="BN16" s="53">
        <v>0</v>
      </c>
      <c r="BO16" s="53">
        <v>88</v>
      </c>
      <c r="BP16" s="53">
        <v>6</v>
      </c>
      <c r="BQ16" s="53">
        <f t="shared" si="28"/>
        <v>82</v>
      </c>
      <c r="BR16" s="53">
        <v>2450</v>
      </c>
      <c r="BS16" s="53">
        <v>450</v>
      </c>
      <c r="BT16" s="53">
        <f t="shared" si="29"/>
        <v>2000</v>
      </c>
      <c r="BU16" s="53">
        <f t="shared" si="30"/>
        <v>164000</v>
      </c>
      <c r="BV16" s="53">
        <f t="shared" si="31"/>
        <v>6.8181818181818175</v>
      </c>
      <c r="BW16" s="54">
        <v>0</v>
      </c>
      <c r="BX16" s="54">
        <v>80</v>
      </c>
      <c r="BY16" s="54">
        <v>31</v>
      </c>
      <c r="BZ16" s="54">
        <f t="shared" si="32"/>
        <v>49</v>
      </c>
      <c r="CA16" s="54">
        <v>750</v>
      </c>
      <c r="CB16" s="54">
        <v>100</v>
      </c>
      <c r="CC16" s="54">
        <f t="shared" si="33"/>
        <v>650</v>
      </c>
      <c r="CD16" s="54">
        <f t="shared" si="34"/>
        <v>31850</v>
      </c>
      <c r="CE16" s="54">
        <f t="shared" si="35"/>
        <v>38.75</v>
      </c>
      <c r="CF16" s="55">
        <v>0</v>
      </c>
      <c r="CG16" s="55">
        <v>0</v>
      </c>
      <c r="CH16" s="55">
        <v>0</v>
      </c>
      <c r="CI16" s="55">
        <f t="shared" si="36"/>
        <v>0</v>
      </c>
      <c r="CJ16" s="55">
        <v>730</v>
      </c>
      <c r="CK16" s="55">
        <v>0</v>
      </c>
      <c r="CL16" s="55">
        <f t="shared" si="37"/>
        <v>730</v>
      </c>
      <c r="CM16" s="55">
        <f t="shared" si="38"/>
        <v>0</v>
      </c>
      <c r="CN16" s="55" t="e">
        <f t="shared" si="39"/>
        <v>#DIV/0!</v>
      </c>
      <c r="CO16" s="56">
        <v>0</v>
      </c>
      <c r="CP16" s="56">
        <v>0</v>
      </c>
      <c r="CQ16" s="56">
        <v>0</v>
      </c>
      <c r="CR16" s="56">
        <f t="shared" si="40"/>
        <v>0</v>
      </c>
      <c r="CS16" s="56">
        <v>730</v>
      </c>
      <c r="CT16" s="56">
        <v>0</v>
      </c>
      <c r="CU16" s="56">
        <f t="shared" si="41"/>
        <v>730</v>
      </c>
      <c r="CV16" s="56">
        <f t="shared" si="42"/>
        <v>0</v>
      </c>
      <c r="CW16" s="56" t="e">
        <f t="shared" si="43"/>
        <v>#DIV/0!</v>
      </c>
      <c r="CX16" s="57">
        <v>0</v>
      </c>
      <c r="CY16" s="57">
        <v>0</v>
      </c>
      <c r="CZ16" s="57">
        <v>0</v>
      </c>
      <c r="DA16" s="57">
        <f t="shared" si="44"/>
        <v>0</v>
      </c>
      <c r="DB16" s="57">
        <v>600</v>
      </c>
      <c r="DC16" s="57">
        <v>0</v>
      </c>
      <c r="DD16" s="57">
        <f t="shared" si="45"/>
        <v>600</v>
      </c>
      <c r="DE16" s="57">
        <f t="shared" si="46"/>
        <v>0</v>
      </c>
      <c r="DF16" s="57" t="e">
        <f t="shared" si="47"/>
        <v>#DIV/0!</v>
      </c>
    </row>
    <row r="17" spans="1:110" ht="14.25" customHeight="1">
      <c r="A17" s="59"/>
      <c r="B17" s="29"/>
      <c r="C17" s="45">
        <v>0</v>
      </c>
      <c r="D17" s="45">
        <v>0</v>
      </c>
      <c r="E17" s="45">
        <v>0</v>
      </c>
      <c r="F17" s="45">
        <f t="shared" si="0"/>
        <v>0</v>
      </c>
      <c r="G17" s="45">
        <v>900</v>
      </c>
      <c r="H17" s="45">
        <v>0</v>
      </c>
      <c r="I17" s="45">
        <f t="shared" si="1"/>
        <v>900</v>
      </c>
      <c r="J17" s="45">
        <f t="shared" si="2"/>
        <v>0</v>
      </c>
      <c r="K17" s="45" t="e">
        <f t="shared" si="3"/>
        <v>#DIV/0!</v>
      </c>
      <c r="L17" s="47">
        <v>0</v>
      </c>
      <c r="M17" s="47">
        <v>0</v>
      </c>
      <c r="N17" s="47">
        <v>0</v>
      </c>
      <c r="O17" s="47">
        <f t="shared" si="4"/>
        <v>0</v>
      </c>
      <c r="P17" s="47">
        <v>1800</v>
      </c>
      <c r="Q17" s="47">
        <v>0</v>
      </c>
      <c r="R17" s="47">
        <f t="shared" si="5"/>
        <v>1800</v>
      </c>
      <c r="S17" s="47">
        <f t="shared" si="6"/>
        <v>0</v>
      </c>
      <c r="T17" s="47" t="e">
        <f t="shared" si="7"/>
        <v>#DIV/0!</v>
      </c>
      <c r="U17" s="48">
        <v>0</v>
      </c>
      <c r="V17" s="48">
        <v>0</v>
      </c>
      <c r="W17" s="48">
        <v>0</v>
      </c>
      <c r="X17" s="48">
        <f t="shared" si="8"/>
        <v>0</v>
      </c>
      <c r="Y17" s="48">
        <v>910</v>
      </c>
      <c r="Z17" s="48">
        <v>0</v>
      </c>
      <c r="AA17" s="48">
        <f t="shared" si="9"/>
        <v>910</v>
      </c>
      <c r="AB17" s="48">
        <f t="shared" si="10"/>
        <v>0</v>
      </c>
      <c r="AC17" s="48" t="e">
        <f t="shared" si="11"/>
        <v>#DIV/0!</v>
      </c>
      <c r="AD17" s="49">
        <v>0</v>
      </c>
      <c r="AE17" s="49">
        <v>0</v>
      </c>
      <c r="AF17" s="49">
        <v>0</v>
      </c>
      <c r="AG17" s="49">
        <f t="shared" si="12"/>
        <v>0</v>
      </c>
      <c r="AH17" s="49">
        <v>1200</v>
      </c>
      <c r="AI17" s="49">
        <v>0</v>
      </c>
      <c r="AJ17" s="49">
        <f t="shared" si="13"/>
        <v>1200</v>
      </c>
      <c r="AK17" s="49">
        <f t="shared" si="14"/>
        <v>0</v>
      </c>
      <c r="AL17" s="49" t="e">
        <f t="shared" si="15"/>
        <v>#DIV/0!</v>
      </c>
      <c r="AM17" s="50">
        <v>0</v>
      </c>
      <c r="AN17" s="50">
        <v>0</v>
      </c>
      <c r="AO17" s="50">
        <v>0</v>
      </c>
      <c r="AP17" s="50">
        <f t="shared" si="16"/>
        <v>0</v>
      </c>
      <c r="AQ17" s="50">
        <v>600</v>
      </c>
      <c r="AR17" s="50">
        <v>0</v>
      </c>
      <c r="AS17" s="50">
        <f t="shared" si="17"/>
        <v>600</v>
      </c>
      <c r="AT17" s="50">
        <f t="shared" si="18"/>
        <v>0</v>
      </c>
      <c r="AU17" s="50" t="e">
        <f t="shared" si="19"/>
        <v>#DIV/0!</v>
      </c>
      <c r="AV17" s="51">
        <v>0</v>
      </c>
      <c r="AW17" s="51">
        <v>0</v>
      </c>
      <c r="AX17" s="51">
        <v>0</v>
      </c>
      <c r="AY17" s="51">
        <f t="shared" si="20"/>
        <v>0</v>
      </c>
      <c r="AZ17" s="51">
        <v>1500</v>
      </c>
      <c r="BA17" s="51">
        <v>0</v>
      </c>
      <c r="BB17" s="51">
        <f t="shared" si="21"/>
        <v>1500</v>
      </c>
      <c r="BC17" s="51">
        <f t="shared" si="22"/>
        <v>0</v>
      </c>
      <c r="BD17" s="51" t="e">
        <f t="shared" si="23"/>
        <v>#DIV/0!</v>
      </c>
      <c r="BE17" s="52">
        <v>0</v>
      </c>
      <c r="BF17" s="52">
        <v>0</v>
      </c>
      <c r="BG17" s="52">
        <v>0</v>
      </c>
      <c r="BH17" s="52">
        <f t="shared" si="24"/>
        <v>0</v>
      </c>
      <c r="BI17" s="52">
        <v>750</v>
      </c>
      <c r="BJ17" s="52">
        <v>0</v>
      </c>
      <c r="BK17" s="52">
        <f t="shared" si="25"/>
        <v>750</v>
      </c>
      <c r="BL17" s="52">
        <f t="shared" si="26"/>
        <v>0</v>
      </c>
      <c r="BM17" s="52" t="e">
        <f t="shared" si="27"/>
        <v>#DIV/0!</v>
      </c>
      <c r="BN17" s="53">
        <v>0</v>
      </c>
      <c r="BO17" s="53">
        <v>0</v>
      </c>
      <c r="BP17" s="53">
        <v>0</v>
      </c>
      <c r="BQ17" s="53">
        <f t="shared" si="28"/>
        <v>0</v>
      </c>
      <c r="BR17" s="53">
        <v>2450</v>
      </c>
      <c r="BS17" s="53">
        <v>0</v>
      </c>
      <c r="BT17" s="53">
        <f t="shared" si="29"/>
        <v>2450</v>
      </c>
      <c r="BU17" s="53">
        <f t="shared" si="30"/>
        <v>0</v>
      </c>
      <c r="BV17" s="53" t="e">
        <f t="shared" si="31"/>
        <v>#DIV/0!</v>
      </c>
      <c r="BW17" s="54">
        <v>0</v>
      </c>
      <c r="BX17" s="54">
        <v>0</v>
      </c>
      <c r="BY17" s="54">
        <v>0</v>
      </c>
      <c r="BZ17" s="54">
        <f t="shared" si="32"/>
        <v>0</v>
      </c>
      <c r="CA17" s="54">
        <v>750</v>
      </c>
      <c r="CB17" s="54">
        <v>0</v>
      </c>
      <c r="CC17" s="54">
        <f t="shared" si="33"/>
        <v>750</v>
      </c>
      <c r="CD17" s="54">
        <f t="shared" si="34"/>
        <v>0</v>
      </c>
      <c r="CE17" s="54" t="e">
        <f t="shared" si="35"/>
        <v>#DIV/0!</v>
      </c>
      <c r="CF17" s="55">
        <v>0</v>
      </c>
      <c r="CG17" s="55">
        <v>0</v>
      </c>
      <c r="CH17" s="55">
        <v>0</v>
      </c>
      <c r="CI17" s="55">
        <f t="shared" si="36"/>
        <v>0</v>
      </c>
      <c r="CJ17" s="55">
        <v>730</v>
      </c>
      <c r="CK17" s="55">
        <v>0</v>
      </c>
      <c r="CL17" s="55">
        <f t="shared" si="37"/>
        <v>730</v>
      </c>
      <c r="CM17" s="55">
        <f t="shared" si="38"/>
        <v>0</v>
      </c>
      <c r="CN17" s="55" t="e">
        <f t="shared" si="39"/>
        <v>#DIV/0!</v>
      </c>
      <c r="CO17" s="56">
        <v>0</v>
      </c>
      <c r="CP17" s="56">
        <v>0</v>
      </c>
      <c r="CQ17" s="56">
        <v>0</v>
      </c>
      <c r="CR17" s="56">
        <f t="shared" si="40"/>
        <v>0</v>
      </c>
      <c r="CS17" s="56">
        <v>730</v>
      </c>
      <c r="CT17" s="56">
        <v>0</v>
      </c>
      <c r="CU17" s="56">
        <f t="shared" si="41"/>
        <v>730</v>
      </c>
      <c r="CV17" s="56">
        <f t="shared" si="42"/>
        <v>0</v>
      </c>
      <c r="CW17" s="56" t="e">
        <f t="shared" si="43"/>
        <v>#DIV/0!</v>
      </c>
      <c r="CX17" s="57">
        <v>0</v>
      </c>
      <c r="CY17" s="57">
        <v>0</v>
      </c>
      <c r="CZ17" s="57">
        <v>0</v>
      </c>
      <c r="DA17" s="57">
        <f t="shared" si="44"/>
        <v>0</v>
      </c>
      <c r="DB17" s="57">
        <v>600</v>
      </c>
      <c r="DC17" s="57">
        <v>0</v>
      </c>
      <c r="DD17" s="57">
        <f t="shared" si="45"/>
        <v>600</v>
      </c>
      <c r="DE17" s="57">
        <f t="shared" si="46"/>
        <v>0</v>
      </c>
      <c r="DF17" s="57" t="e">
        <f t="shared" si="47"/>
        <v>#DIV/0!</v>
      </c>
    </row>
    <row r="18" spans="1:110" ht="14.25" customHeight="1">
      <c r="A18" s="59"/>
      <c r="B18" s="29"/>
      <c r="C18" s="45">
        <v>0</v>
      </c>
      <c r="D18" s="45">
        <v>0</v>
      </c>
      <c r="E18" s="45">
        <v>0</v>
      </c>
      <c r="F18" s="45">
        <f t="shared" si="0"/>
        <v>0</v>
      </c>
      <c r="G18" s="45">
        <v>900</v>
      </c>
      <c r="H18" s="45">
        <v>0</v>
      </c>
      <c r="I18" s="45">
        <f t="shared" si="1"/>
        <v>900</v>
      </c>
      <c r="J18" s="45">
        <f t="shared" si="2"/>
        <v>0</v>
      </c>
      <c r="K18" s="45" t="e">
        <f t="shared" si="3"/>
        <v>#DIV/0!</v>
      </c>
      <c r="L18" s="47">
        <v>0</v>
      </c>
      <c r="M18" s="47">
        <v>0</v>
      </c>
      <c r="N18" s="47">
        <v>0</v>
      </c>
      <c r="O18" s="47">
        <f t="shared" si="4"/>
        <v>0</v>
      </c>
      <c r="P18" s="47">
        <v>1800</v>
      </c>
      <c r="Q18" s="47">
        <v>0</v>
      </c>
      <c r="R18" s="47">
        <f t="shared" si="5"/>
        <v>1800</v>
      </c>
      <c r="S18" s="47">
        <f t="shared" si="6"/>
        <v>0</v>
      </c>
      <c r="T18" s="47" t="e">
        <f t="shared" si="7"/>
        <v>#DIV/0!</v>
      </c>
      <c r="U18" s="48">
        <v>0</v>
      </c>
      <c r="V18" s="48">
        <v>0</v>
      </c>
      <c r="W18" s="48">
        <v>0</v>
      </c>
      <c r="X18" s="48">
        <f t="shared" si="8"/>
        <v>0</v>
      </c>
      <c r="Y18" s="48">
        <v>910</v>
      </c>
      <c r="Z18" s="48">
        <v>0</v>
      </c>
      <c r="AA18" s="48">
        <f t="shared" si="9"/>
        <v>910</v>
      </c>
      <c r="AB18" s="48">
        <f t="shared" si="10"/>
        <v>0</v>
      </c>
      <c r="AC18" s="48" t="e">
        <f t="shared" si="11"/>
        <v>#DIV/0!</v>
      </c>
      <c r="AD18" s="49">
        <v>0</v>
      </c>
      <c r="AE18" s="49">
        <v>0</v>
      </c>
      <c r="AF18" s="49">
        <v>0</v>
      </c>
      <c r="AG18" s="49">
        <f t="shared" si="12"/>
        <v>0</v>
      </c>
      <c r="AH18" s="49">
        <v>1200</v>
      </c>
      <c r="AI18" s="49">
        <v>0</v>
      </c>
      <c r="AJ18" s="49">
        <f t="shared" si="13"/>
        <v>1200</v>
      </c>
      <c r="AK18" s="49">
        <f t="shared" si="14"/>
        <v>0</v>
      </c>
      <c r="AL18" s="49" t="e">
        <f t="shared" si="15"/>
        <v>#DIV/0!</v>
      </c>
      <c r="AM18" s="50">
        <v>0</v>
      </c>
      <c r="AN18" s="50">
        <v>0</v>
      </c>
      <c r="AO18" s="50">
        <v>0</v>
      </c>
      <c r="AP18" s="50">
        <f t="shared" si="16"/>
        <v>0</v>
      </c>
      <c r="AQ18" s="50">
        <v>600</v>
      </c>
      <c r="AR18" s="50">
        <v>0</v>
      </c>
      <c r="AS18" s="50">
        <f t="shared" si="17"/>
        <v>600</v>
      </c>
      <c r="AT18" s="50">
        <f t="shared" si="18"/>
        <v>0</v>
      </c>
      <c r="AU18" s="50" t="e">
        <f t="shared" si="19"/>
        <v>#DIV/0!</v>
      </c>
      <c r="AV18" s="51">
        <v>0</v>
      </c>
      <c r="AW18" s="51">
        <v>0</v>
      </c>
      <c r="AX18" s="51">
        <v>0</v>
      </c>
      <c r="AY18" s="51">
        <f t="shared" si="20"/>
        <v>0</v>
      </c>
      <c r="AZ18" s="51">
        <v>1500</v>
      </c>
      <c r="BA18" s="51">
        <v>0</v>
      </c>
      <c r="BB18" s="51">
        <f t="shared" si="21"/>
        <v>1500</v>
      </c>
      <c r="BC18" s="51">
        <f t="shared" si="22"/>
        <v>0</v>
      </c>
      <c r="BD18" s="51" t="e">
        <f t="shared" si="23"/>
        <v>#DIV/0!</v>
      </c>
      <c r="BE18" s="52">
        <v>0</v>
      </c>
      <c r="BF18" s="52">
        <v>0</v>
      </c>
      <c r="BG18" s="52">
        <v>0</v>
      </c>
      <c r="BH18" s="52">
        <f t="shared" si="24"/>
        <v>0</v>
      </c>
      <c r="BI18" s="52">
        <v>750</v>
      </c>
      <c r="BJ18" s="52">
        <v>0</v>
      </c>
      <c r="BK18" s="52">
        <f t="shared" si="25"/>
        <v>750</v>
      </c>
      <c r="BL18" s="52">
        <f t="shared" si="26"/>
        <v>0</v>
      </c>
      <c r="BM18" s="52" t="e">
        <f t="shared" si="27"/>
        <v>#DIV/0!</v>
      </c>
      <c r="BN18" s="53">
        <v>0</v>
      </c>
      <c r="BO18" s="53">
        <v>0</v>
      </c>
      <c r="BP18" s="53">
        <v>0</v>
      </c>
      <c r="BQ18" s="53">
        <f t="shared" si="28"/>
        <v>0</v>
      </c>
      <c r="BR18" s="53">
        <v>2450</v>
      </c>
      <c r="BS18" s="53">
        <v>0</v>
      </c>
      <c r="BT18" s="53">
        <f t="shared" si="29"/>
        <v>2450</v>
      </c>
      <c r="BU18" s="53">
        <f t="shared" si="30"/>
        <v>0</v>
      </c>
      <c r="BV18" s="53" t="e">
        <f t="shared" si="31"/>
        <v>#DIV/0!</v>
      </c>
      <c r="BW18" s="54">
        <v>0</v>
      </c>
      <c r="BX18" s="54">
        <v>0</v>
      </c>
      <c r="BY18" s="54">
        <v>0</v>
      </c>
      <c r="BZ18" s="54">
        <f t="shared" si="32"/>
        <v>0</v>
      </c>
      <c r="CA18" s="54">
        <v>750</v>
      </c>
      <c r="CB18" s="54">
        <v>0</v>
      </c>
      <c r="CC18" s="54">
        <f t="shared" si="33"/>
        <v>750</v>
      </c>
      <c r="CD18" s="54">
        <f t="shared" si="34"/>
        <v>0</v>
      </c>
      <c r="CE18" s="54" t="e">
        <f t="shared" si="35"/>
        <v>#DIV/0!</v>
      </c>
      <c r="CF18" s="55">
        <v>0</v>
      </c>
      <c r="CG18" s="55">
        <v>0</v>
      </c>
      <c r="CH18" s="55">
        <v>0</v>
      </c>
      <c r="CI18" s="55">
        <f t="shared" si="36"/>
        <v>0</v>
      </c>
      <c r="CJ18" s="55">
        <v>730</v>
      </c>
      <c r="CK18" s="55">
        <v>0</v>
      </c>
      <c r="CL18" s="55">
        <f t="shared" si="37"/>
        <v>730</v>
      </c>
      <c r="CM18" s="55">
        <f t="shared" si="38"/>
        <v>0</v>
      </c>
      <c r="CN18" s="55" t="e">
        <f t="shared" si="39"/>
        <v>#DIV/0!</v>
      </c>
      <c r="CO18" s="56">
        <v>0</v>
      </c>
      <c r="CP18" s="56">
        <v>0</v>
      </c>
      <c r="CQ18" s="56">
        <v>0</v>
      </c>
      <c r="CR18" s="56">
        <f t="shared" si="40"/>
        <v>0</v>
      </c>
      <c r="CS18" s="56">
        <v>730</v>
      </c>
      <c r="CT18" s="56">
        <v>0</v>
      </c>
      <c r="CU18" s="56">
        <f t="shared" si="41"/>
        <v>730</v>
      </c>
      <c r="CV18" s="56">
        <f t="shared" si="42"/>
        <v>0</v>
      </c>
      <c r="CW18" s="56" t="e">
        <f t="shared" si="43"/>
        <v>#DIV/0!</v>
      </c>
      <c r="CX18" s="57">
        <v>0</v>
      </c>
      <c r="CY18" s="57">
        <v>0</v>
      </c>
      <c r="CZ18" s="57">
        <v>0</v>
      </c>
      <c r="DA18" s="57">
        <f t="shared" si="44"/>
        <v>0</v>
      </c>
      <c r="DB18" s="57">
        <v>600</v>
      </c>
      <c r="DC18" s="57">
        <v>0</v>
      </c>
      <c r="DD18" s="57">
        <f t="shared" si="45"/>
        <v>600</v>
      </c>
      <c r="DE18" s="57">
        <f t="shared" si="46"/>
        <v>0</v>
      </c>
      <c r="DF18" s="57" t="e">
        <f t="shared" si="47"/>
        <v>#DIV/0!</v>
      </c>
    </row>
    <row r="19" spans="1:110" ht="14.25" customHeight="1">
      <c r="A19" s="59"/>
      <c r="B19" s="29"/>
      <c r="C19" s="45">
        <v>0</v>
      </c>
      <c r="D19" s="45">
        <v>0</v>
      </c>
      <c r="E19" s="45">
        <v>0</v>
      </c>
      <c r="F19" s="45">
        <f t="shared" si="0"/>
        <v>0</v>
      </c>
      <c r="G19" s="45">
        <v>900</v>
      </c>
      <c r="H19" s="45">
        <v>0</v>
      </c>
      <c r="I19" s="45">
        <f t="shared" si="1"/>
        <v>900</v>
      </c>
      <c r="J19" s="45">
        <f t="shared" si="2"/>
        <v>0</v>
      </c>
      <c r="K19" s="45" t="e">
        <f t="shared" si="3"/>
        <v>#DIV/0!</v>
      </c>
      <c r="L19" s="47">
        <v>0</v>
      </c>
      <c r="M19" s="47">
        <v>0</v>
      </c>
      <c r="N19" s="47">
        <v>0</v>
      </c>
      <c r="O19" s="47">
        <f t="shared" si="4"/>
        <v>0</v>
      </c>
      <c r="P19" s="47">
        <v>1800</v>
      </c>
      <c r="Q19" s="47">
        <v>0</v>
      </c>
      <c r="R19" s="47">
        <f t="shared" si="5"/>
        <v>1800</v>
      </c>
      <c r="S19" s="47">
        <f t="shared" si="6"/>
        <v>0</v>
      </c>
      <c r="T19" s="47" t="e">
        <f t="shared" si="7"/>
        <v>#DIV/0!</v>
      </c>
      <c r="U19" s="48">
        <v>0</v>
      </c>
      <c r="V19" s="48">
        <v>0</v>
      </c>
      <c r="W19" s="48">
        <v>0</v>
      </c>
      <c r="X19" s="48">
        <f t="shared" si="8"/>
        <v>0</v>
      </c>
      <c r="Y19" s="48">
        <v>910</v>
      </c>
      <c r="Z19" s="48">
        <v>0</v>
      </c>
      <c r="AA19" s="48">
        <f t="shared" si="9"/>
        <v>910</v>
      </c>
      <c r="AB19" s="48">
        <f t="shared" si="10"/>
        <v>0</v>
      </c>
      <c r="AC19" s="48" t="e">
        <f t="shared" si="11"/>
        <v>#DIV/0!</v>
      </c>
      <c r="AD19" s="49">
        <v>0</v>
      </c>
      <c r="AE19" s="49">
        <v>0</v>
      </c>
      <c r="AF19" s="49">
        <v>0</v>
      </c>
      <c r="AG19" s="49">
        <f t="shared" si="12"/>
        <v>0</v>
      </c>
      <c r="AH19" s="49">
        <v>1200</v>
      </c>
      <c r="AI19" s="49">
        <v>0</v>
      </c>
      <c r="AJ19" s="49">
        <f t="shared" si="13"/>
        <v>1200</v>
      </c>
      <c r="AK19" s="49">
        <f t="shared" si="14"/>
        <v>0</v>
      </c>
      <c r="AL19" s="49" t="e">
        <f t="shared" si="15"/>
        <v>#DIV/0!</v>
      </c>
      <c r="AM19" s="50">
        <v>0</v>
      </c>
      <c r="AN19" s="50">
        <v>0</v>
      </c>
      <c r="AO19" s="50">
        <v>0</v>
      </c>
      <c r="AP19" s="50">
        <f t="shared" si="16"/>
        <v>0</v>
      </c>
      <c r="AQ19" s="50">
        <v>600</v>
      </c>
      <c r="AR19" s="50">
        <v>0</v>
      </c>
      <c r="AS19" s="50">
        <f t="shared" si="17"/>
        <v>600</v>
      </c>
      <c r="AT19" s="50">
        <f t="shared" si="18"/>
        <v>0</v>
      </c>
      <c r="AU19" s="50" t="e">
        <f t="shared" si="19"/>
        <v>#DIV/0!</v>
      </c>
      <c r="AV19" s="51">
        <v>0</v>
      </c>
      <c r="AW19" s="51">
        <v>0</v>
      </c>
      <c r="AX19" s="51">
        <v>0</v>
      </c>
      <c r="AY19" s="51">
        <f t="shared" si="20"/>
        <v>0</v>
      </c>
      <c r="AZ19" s="51">
        <v>1500</v>
      </c>
      <c r="BA19" s="51">
        <v>0</v>
      </c>
      <c r="BB19" s="51">
        <f t="shared" si="21"/>
        <v>1500</v>
      </c>
      <c r="BC19" s="51">
        <f t="shared" si="22"/>
        <v>0</v>
      </c>
      <c r="BD19" s="51" t="e">
        <f t="shared" si="23"/>
        <v>#DIV/0!</v>
      </c>
      <c r="BE19" s="52">
        <v>0</v>
      </c>
      <c r="BF19" s="52">
        <v>0</v>
      </c>
      <c r="BG19" s="52">
        <v>0</v>
      </c>
      <c r="BH19" s="52">
        <f t="shared" si="24"/>
        <v>0</v>
      </c>
      <c r="BI19" s="52">
        <v>750</v>
      </c>
      <c r="BJ19" s="52">
        <v>0</v>
      </c>
      <c r="BK19" s="52">
        <f t="shared" si="25"/>
        <v>750</v>
      </c>
      <c r="BL19" s="52">
        <f t="shared" si="26"/>
        <v>0</v>
      </c>
      <c r="BM19" s="52" t="e">
        <f t="shared" si="27"/>
        <v>#DIV/0!</v>
      </c>
      <c r="BN19" s="53">
        <v>0</v>
      </c>
      <c r="BO19" s="53">
        <v>0</v>
      </c>
      <c r="BP19" s="53">
        <v>0</v>
      </c>
      <c r="BQ19" s="53">
        <f t="shared" si="28"/>
        <v>0</v>
      </c>
      <c r="BR19" s="53">
        <v>2450</v>
      </c>
      <c r="BS19" s="53">
        <v>0</v>
      </c>
      <c r="BT19" s="53">
        <f t="shared" si="29"/>
        <v>2450</v>
      </c>
      <c r="BU19" s="53">
        <f t="shared" si="30"/>
        <v>0</v>
      </c>
      <c r="BV19" s="53" t="e">
        <f t="shared" si="31"/>
        <v>#DIV/0!</v>
      </c>
      <c r="BW19" s="54">
        <v>0</v>
      </c>
      <c r="BX19" s="54">
        <v>0</v>
      </c>
      <c r="BY19" s="54">
        <v>0</v>
      </c>
      <c r="BZ19" s="54">
        <f t="shared" si="32"/>
        <v>0</v>
      </c>
      <c r="CA19" s="54">
        <v>750</v>
      </c>
      <c r="CB19" s="54">
        <v>0</v>
      </c>
      <c r="CC19" s="54">
        <f t="shared" si="33"/>
        <v>750</v>
      </c>
      <c r="CD19" s="54">
        <f t="shared" si="34"/>
        <v>0</v>
      </c>
      <c r="CE19" s="54" t="e">
        <f t="shared" si="35"/>
        <v>#DIV/0!</v>
      </c>
      <c r="CF19" s="55">
        <v>0</v>
      </c>
      <c r="CG19" s="55">
        <v>0</v>
      </c>
      <c r="CH19" s="55">
        <v>0</v>
      </c>
      <c r="CI19" s="55">
        <f t="shared" si="36"/>
        <v>0</v>
      </c>
      <c r="CJ19" s="55">
        <v>730</v>
      </c>
      <c r="CK19" s="55">
        <v>0</v>
      </c>
      <c r="CL19" s="55">
        <f t="shared" si="37"/>
        <v>730</v>
      </c>
      <c r="CM19" s="55">
        <f t="shared" si="38"/>
        <v>0</v>
      </c>
      <c r="CN19" s="55" t="e">
        <f t="shared" si="39"/>
        <v>#DIV/0!</v>
      </c>
      <c r="CO19" s="56">
        <v>0</v>
      </c>
      <c r="CP19" s="56">
        <v>0</v>
      </c>
      <c r="CQ19" s="56">
        <v>0</v>
      </c>
      <c r="CR19" s="56">
        <f t="shared" si="40"/>
        <v>0</v>
      </c>
      <c r="CS19" s="56">
        <v>730</v>
      </c>
      <c r="CT19" s="56">
        <v>0</v>
      </c>
      <c r="CU19" s="56">
        <f t="shared" si="41"/>
        <v>730</v>
      </c>
      <c r="CV19" s="56">
        <f t="shared" si="42"/>
        <v>0</v>
      </c>
      <c r="CW19" s="56" t="e">
        <f t="shared" si="43"/>
        <v>#DIV/0!</v>
      </c>
      <c r="CX19" s="57">
        <v>0</v>
      </c>
      <c r="CY19" s="57">
        <v>0</v>
      </c>
      <c r="CZ19" s="57">
        <v>0</v>
      </c>
      <c r="DA19" s="57">
        <f t="shared" si="44"/>
        <v>0</v>
      </c>
      <c r="DB19" s="57">
        <v>600</v>
      </c>
      <c r="DC19" s="57">
        <v>0</v>
      </c>
      <c r="DD19" s="57">
        <f t="shared" si="45"/>
        <v>600</v>
      </c>
      <c r="DE19" s="57">
        <f t="shared" si="46"/>
        <v>0</v>
      </c>
      <c r="DF19" s="57" t="e">
        <f t="shared" si="47"/>
        <v>#DIV/0!</v>
      </c>
    </row>
    <row r="20" spans="1:110" ht="14.25" customHeight="1">
      <c r="A20" s="59"/>
      <c r="B20" s="29"/>
      <c r="C20" s="45">
        <v>0</v>
      </c>
      <c r="D20" s="45">
        <v>0</v>
      </c>
      <c r="E20" s="45">
        <v>0</v>
      </c>
      <c r="F20" s="45">
        <f t="shared" si="0"/>
        <v>0</v>
      </c>
      <c r="G20" s="45">
        <v>900</v>
      </c>
      <c r="H20" s="45">
        <v>0</v>
      </c>
      <c r="I20" s="45">
        <f t="shared" si="1"/>
        <v>900</v>
      </c>
      <c r="J20" s="45">
        <f t="shared" si="2"/>
        <v>0</v>
      </c>
      <c r="K20" s="45" t="e">
        <f t="shared" si="3"/>
        <v>#DIV/0!</v>
      </c>
      <c r="L20" s="47">
        <v>0</v>
      </c>
      <c r="M20" s="47">
        <v>0</v>
      </c>
      <c r="N20" s="47">
        <v>0</v>
      </c>
      <c r="O20" s="47">
        <f t="shared" si="4"/>
        <v>0</v>
      </c>
      <c r="P20" s="47">
        <v>1800</v>
      </c>
      <c r="Q20" s="47">
        <v>0</v>
      </c>
      <c r="R20" s="47">
        <f t="shared" si="5"/>
        <v>1800</v>
      </c>
      <c r="S20" s="47">
        <f t="shared" si="6"/>
        <v>0</v>
      </c>
      <c r="T20" s="47" t="e">
        <f t="shared" si="7"/>
        <v>#DIV/0!</v>
      </c>
      <c r="U20" s="48">
        <v>0</v>
      </c>
      <c r="V20" s="48">
        <v>0</v>
      </c>
      <c r="W20" s="48">
        <v>0</v>
      </c>
      <c r="X20" s="48">
        <f t="shared" si="8"/>
        <v>0</v>
      </c>
      <c r="Y20" s="48">
        <v>910</v>
      </c>
      <c r="Z20" s="48">
        <v>0</v>
      </c>
      <c r="AA20" s="48">
        <f t="shared" si="9"/>
        <v>910</v>
      </c>
      <c r="AB20" s="48">
        <f t="shared" si="10"/>
        <v>0</v>
      </c>
      <c r="AC20" s="48" t="e">
        <f t="shared" si="11"/>
        <v>#DIV/0!</v>
      </c>
      <c r="AD20" s="49">
        <v>0</v>
      </c>
      <c r="AE20" s="49">
        <v>0</v>
      </c>
      <c r="AF20" s="49">
        <v>0</v>
      </c>
      <c r="AG20" s="49">
        <f t="shared" si="12"/>
        <v>0</v>
      </c>
      <c r="AH20" s="49">
        <v>1200</v>
      </c>
      <c r="AI20" s="49">
        <v>0</v>
      </c>
      <c r="AJ20" s="49">
        <f t="shared" si="13"/>
        <v>1200</v>
      </c>
      <c r="AK20" s="49">
        <f t="shared" si="14"/>
        <v>0</v>
      </c>
      <c r="AL20" s="49" t="e">
        <f t="shared" si="15"/>
        <v>#DIV/0!</v>
      </c>
      <c r="AM20" s="50">
        <v>0</v>
      </c>
      <c r="AN20" s="50">
        <v>0</v>
      </c>
      <c r="AO20" s="50">
        <v>0</v>
      </c>
      <c r="AP20" s="50">
        <f t="shared" si="16"/>
        <v>0</v>
      </c>
      <c r="AQ20" s="50">
        <v>600</v>
      </c>
      <c r="AR20" s="50">
        <v>0</v>
      </c>
      <c r="AS20" s="50">
        <f t="shared" si="17"/>
        <v>600</v>
      </c>
      <c r="AT20" s="50">
        <f t="shared" si="18"/>
        <v>0</v>
      </c>
      <c r="AU20" s="50" t="e">
        <f t="shared" si="19"/>
        <v>#DIV/0!</v>
      </c>
      <c r="AV20" s="51">
        <v>0</v>
      </c>
      <c r="AW20" s="51">
        <v>0</v>
      </c>
      <c r="AX20" s="51">
        <v>0</v>
      </c>
      <c r="AY20" s="51">
        <f t="shared" si="20"/>
        <v>0</v>
      </c>
      <c r="AZ20" s="51">
        <v>1500</v>
      </c>
      <c r="BA20" s="51">
        <v>0</v>
      </c>
      <c r="BB20" s="51">
        <f t="shared" si="21"/>
        <v>1500</v>
      </c>
      <c r="BC20" s="51">
        <f t="shared" si="22"/>
        <v>0</v>
      </c>
      <c r="BD20" s="51" t="e">
        <f t="shared" si="23"/>
        <v>#DIV/0!</v>
      </c>
      <c r="BE20" s="52">
        <v>0</v>
      </c>
      <c r="BF20" s="52">
        <v>0</v>
      </c>
      <c r="BG20" s="52">
        <v>0</v>
      </c>
      <c r="BH20" s="52">
        <f t="shared" si="24"/>
        <v>0</v>
      </c>
      <c r="BI20" s="52">
        <v>750</v>
      </c>
      <c r="BJ20" s="52">
        <v>0</v>
      </c>
      <c r="BK20" s="52">
        <f t="shared" si="25"/>
        <v>750</v>
      </c>
      <c r="BL20" s="52">
        <f t="shared" si="26"/>
        <v>0</v>
      </c>
      <c r="BM20" s="52" t="e">
        <f t="shared" si="27"/>
        <v>#DIV/0!</v>
      </c>
      <c r="BN20" s="53">
        <v>0</v>
      </c>
      <c r="BO20" s="53">
        <v>0</v>
      </c>
      <c r="BP20" s="53">
        <v>0</v>
      </c>
      <c r="BQ20" s="53">
        <f t="shared" si="28"/>
        <v>0</v>
      </c>
      <c r="BR20" s="53">
        <v>2450</v>
      </c>
      <c r="BS20" s="53">
        <v>0</v>
      </c>
      <c r="BT20" s="53">
        <f t="shared" si="29"/>
        <v>2450</v>
      </c>
      <c r="BU20" s="53">
        <f t="shared" si="30"/>
        <v>0</v>
      </c>
      <c r="BV20" s="53" t="e">
        <f t="shared" si="31"/>
        <v>#DIV/0!</v>
      </c>
      <c r="BW20" s="54">
        <v>0</v>
      </c>
      <c r="BX20" s="54">
        <v>0</v>
      </c>
      <c r="BY20" s="54">
        <v>0</v>
      </c>
      <c r="BZ20" s="54">
        <f t="shared" si="32"/>
        <v>0</v>
      </c>
      <c r="CA20" s="54">
        <v>750</v>
      </c>
      <c r="CB20" s="54">
        <v>0</v>
      </c>
      <c r="CC20" s="54">
        <f t="shared" si="33"/>
        <v>750</v>
      </c>
      <c r="CD20" s="54">
        <f t="shared" si="34"/>
        <v>0</v>
      </c>
      <c r="CE20" s="54" t="e">
        <f t="shared" si="35"/>
        <v>#DIV/0!</v>
      </c>
      <c r="CF20" s="55">
        <v>0</v>
      </c>
      <c r="CG20" s="55">
        <v>0</v>
      </c>
      <c r="CH20" s="55">
        <v>0</v>
      </c>
      <c r="CI20" s="55">
        <f t="shared" si="36"/>
        <v>0</v>
      </c>
      <c r="CJ20" s="55">
        <v>730</v>
      </c>
      <c r="CK20" s="55">
        <v>0</v>
      </c>
      <c r="CL20" s="55">
        <f t="shared" si="37"/>
        <v>730</v>
      </c>
      <c r="CM20" s="55">
        <f t="shared" si="38"/>
        <v>0</v>
      </c>
      <c r="CN20" s="55" t="e">
        <f t="shared" si="39"/>
        <v>#DIV/0!</v>
      </c>
      <c r="CO20" s="56">
        <v>0</v>
      </c>
      <c r="CP20" s="56">
        <v>0</v>
      </c>
      <c r="CQ20" s="56">
        <v>0</v>
      </c>
      <c r="CR20" s="56">
        <f t="shared" si="40"/>
        <v>0</v>
      </c>
      <c r="CS20" s="56">
        <v>730</v>
      </c>
      <c r="CT20" s="56">
        <v>0</v>
      </c>
      <c r="CU20" s="56">
        <f t="shared" si="41"/>
        <v>730</v>
      </c>
      <c r="CV20" s="56">
        <f t="shared" si="42"/>
        <v>0</v>
      </c>
      <c r="CW20" s="56" t="e">
        <f t="shared" si="43"/>
        <v>#DIV/0!</v>
      </c>
      <c r="CX20" s="57">
        <v>0</v>
      </c>
      <c r="CY20" s="57">
        <v>0</v>
      </c>
      <c r="CZ20" s="57">
        <v>0</v>
      </c>
      <c r="DA20" s="57">
        <f t="shared" si="44"/>
        <v>0</v>
      </c>
      <c r="DB20" s="57">
        <v>600</v>
      </c>
      <c r="DC20" s="57">
        <v>0</v>
      </c>
      <c r="DD20" s="57">
        <f t="shared" si="45"/>
        <v>600</v>
      </c>
      <c r="DE20" s="57">
        <f t="shared" si="46"/>
        <v>0</v>
      </c>
      <c r="DF20" s="57" t="e">
        <f t="shared" si="47"/>
        <v>#DIV/0!</v>
      </c>
    </row>
    <row r="21" spans="1:110" ht="14.25" customHeight="1">
      <c r="A21" s="59"/>
      <c r="B21" s="29"/>
      <c r="C21" s="45">
        <v>0</v>
      </c>
      <c r="D21" s="45">
        <v>0</v>
      </c>
      <c r="E21" s="45">
        <v>0</v>
      </c>
      <c r="F21" s="45">
        <f t="shared" si="0"/>
        <v>0</v>
      </c>
      <c r="G21" s="45">
        <v>900</v>
      </c>
      <c r="H21" s="45">
        <v>0</v>
      </c>
      <c r="I21" s="45">
        <f t="shared" si="1"/>
        <v>900</v>
      </c>
      <c r="J21" s="45">
        <f t="shared" si="2"/>
        <v>0</v>
      </c>
      <c r="K21" s="45" t="e">
        <f t="shared" si="3"/>
        <v>#DIV/0!</v>
      </c>
      <c r="L21" s="47">
        <v>0</v>
      </c>
      <c r="M21" s="47">
        <v>0</v>
      </c>
      <c r="N21" s="47">
        <v>0</v>
      </c>
      <c r="O21" s="47">
        <f t="shared" si="4"/>
        <v>0</v>
      </c>
      <c r="P21" s="47">
        <v>1800</v>
      </c>
      <c r="Q21" s="47">
        <v>0</v>
      </c>
      <c r="R21" s="47">
        <f t="shared" si="5"/>
        <v>1800</v>
      </c>
      <c r="S21" s="47">
        <f t="shared" si="6"/>
        <v>0</v>
      </c>
      <c r="T21" s="47" t="e">
        <f t="shared" si="7"/>
        <v>#DIV/0!</v>
      </c>
      <c r="U21" s="48">
        <v>0</v>
      </c>
      <c r="V21" s="48">
        <v>0</v>
      </c>
      <c r="W21" s="48">
        <v>0</v>
      </c>
      <c r="X21" s="48">
        <f t="shared" si="8"/>
        <v>0</v>
      </c>
      <c r="Y21" s="48">
        <v>910</v>
      </c>
      <c r="Z21" s="48">
        <v>0</v>
      </c>
      <c r="AA21" s="48">
        <f t="shared" si="9"/>
        <v>910</v>
      </c>
      <c r="AB21" s="48">
        <f t="shared" si="10"/>
        <v>0</v>
      </c>
      <c r="AC21" s="48" t="e">
        <f t="shared" si="11"/>
        <v>#DIV/0!</v>
      </c>
      <c r="AD21" s="49">
        <v>0</v>
      </c>
      <c r="AE21" s="49">
        <v>0</v>
      </c>
      <c r="AF21" s="49">
        <v>0</v>
      </c>
      <c r="AG21" s="49">
        <f t="shared" si="12"/>
        <v>0</v>
      </c>
      <c r="AH21" s="49">
        <v>1200</v>
      </c>
      <c r="AI21" s="49">
        <v>0</v>
      </c>
      <c r="AJ21" s="49">
        <f t="shared" si="13"/>
        <v>1200</v>
      </c>
      <c r="AK21" s="49">
        <f t="shared" si="14"/>
        <v>0</v>
      </c>
      <c r="AL21" s="49" t="e">
        <f t="shared" si="15"/>
        <v>#DIV/0!</v>
      </c>
      <c r="AM21" s="50">
        <v>0</v>
      </c>
      <c r="AN21" s="50">
        <v>0</v>
      </c>
      <c r="AO21" s="50">
        <v>0</v>
      </c>
      <c r="AP21" s="50">
        <f t="shared" si="16"/>
        <v>0</v>
      </c>
      <c r="AQ21" s="50">
        <v>600</v>
      </c>
      <c r="AR21" s="50">
        <v>0</v>
      </c>
      <c r="AS21" s="50">
        <f t="shared" si="17"/>
        <v>600</v>
      </c>
      <c r="AT21" s="50">
        <f t="shared" si="18"/>
        <v>0</v>
      </c>
      <c r="AU21" s="50" t="e">
        <f t="shared" si="19"/>
        <v>#DIV/0!</v>
      </c>
      <c r="AV21" s="51">
        <v>0</v>
      </c>
      <c r="AW21" s="51">
        <v>0</v>
      </c>
      <c r="AX21" s="51">
        <v>0</v>
      </c>
      <c r="AY21" s="51">
        <f t="shared" si="20"/>
        <v>0</v>
      </c>
      <c r="AZ21" s="51">
        <v>1500</v>
      </c>
      <c r="BA21" s="51">
        <v>0</v>
      </c>
      <c r="BB21" s="51">
        <f t="shared" si="21"/>
        <v>1500</v>
      </c>
      <c r="BC21" s="51">
        <f t="shared" si="22"/>
        <v>0</v>
      </c>
      <c r="BD21" s="51" t="e">
        <f t="shared" si="23"/>
        <v>#DIV/0!</v>
      </c>
      <c r="BE21" s="52">
        <v>0</v>
      </c>
      <c r="BF21" s="52">
        <v>0</v>
      </c>
      <c r="BG21" s="52">
        <v>0</v>
      </c>
      <c r="BH21" s="52">
        <f t="shared" si="24"/>
        <v>0</v>
      </c>
      <c r="BI21" s="52">
        <v>750</v>
      </c>
      <c r="BJ21" s="52">
        <v>0</v>
      </c>
      <c r="BK21" s="52">
        <f t="shared" si="25"/>
        <v>750</v>
      </c>
      <c r="BL21" s="52">
        <f t="shared" si="26"/>
        <v>0</v>
      </c>
      <c r="BM21" s="52" t="e">
        <f t="shared" si="27"/>
        <v>#DIV/0!</v>
      </c>
      <c r="BN21" s="53">
        <v>0</v>
      </c>
      <c r="BO21" s="53">
        <v>0</v>
      </c>
      <c r="BP21" s="53">
        <v>0</v>
      </c>
      <c r="BQ21" s="53">
        <f t="shared" si="28"/>
        <v>0</v>
      </c>
      <c r="BR21" s="53">
        <v>2450</v>
      </c>
      <c r="BS21" s="53">
        <v>0</v>
      </c>
      <c r="BT21" s="53">
        <f t="shared" si="29"/>
        <v>2450</v>
      </c>
      <c r="BU21" s="53">
        <f t="shared" si="30"/>
        <v>0</v>
      </c>
      <c r="BV21" s="53" t="e">
        <f t="shared" si="31"/>
        <v>#DIV/0!</v>
      </c>
      <c r="BW21" s="54">
        <v>0</v>
      </c>
      <c r="BX21" s="54">
        <v>0</v>
      </c>
      <c r="BY21" s="54">
        <v>0</v>
      </c>
      <c r="BZ21" s="54">
        <f t="shared" si="32"/>
        <v>0</v>
      </c>
      <c r="CA21" s="54">
        <v>750</v>
      </c>
      <c r="CB21" s="54">
        <v>0</v>
      </c>
      <c r="CC21" s="54">
        <f t="shared" si="33"/>
        <v>750</v>
      </c>
      <c r="CD21" s="54">
        <f t="shared" si="34"/>
        <v>0</v>
      </c>
      <c r="CE21" s="54" t="e">
        <f t="shared" si="35"/>
        <v>#DIV/0!</v>
      </c>
      <c r="CF21" s="55">
        <v>0</v>
      </c>
      <c r="CG21" s="55">
        <v>0</v>
      </c>
      <c r="CH21" s="55">
        <v>0</v>
      </c>
      <c r="CI21" s="55">
        <f t="shared" si="36"/>
        <v>0</v>
      </c>
      <c r="CJ21" s="55">
        <v>730</v>
      </c>
      <c r="CK21" s="55">
        <v>0</v>
      </c>
      <c r="CL21" s="55">
        <f t="shared" si="37"/>
        <v>730</v>
      </c>
      <c r="CM21" s="55">
        <f t="shared" si="38"/>
        <v>0</v>
      </c>
      <c r="CN21" s="55" t="e">
        <f t="shared" si="39"/>
        <v>#DIV/0!</v>
      </c>
      <c r="CO21" s="56">
        <v>0</v>
      </c>
      <c r="CP21" s="56">
        <v>0</v>
      </c>
      <c r="CQ21" s="56">
        <v>0</v>
      </c>
      <c r="CR21" s="56">
        <f t="shared" si="40"/>
        <v>0</v>
      </c>
      <c r="CS21" s="56">
        <v>730</v>
      </c>
      <c r="CT21" s="56">
        <v>0</v>
      </c>
      <c r="CU21" s="56">
        <f t="shared" si="41"/>
        <v>730</v>
      </c>
      <c r="CV21" s="56">
        <f t="shared" si="42"/>
        <v>0</v>
      </c>
      <c r="CW21" s="56" t="e">
        <f t="shared" si="43"/>
        <v>#DIV/0!</v>
      </c>
      <c r="CX21" s="57">
        <v>0</v>
      </c>
      <c r="CY21" s="57">
        <v>0</v>
      </c>
      <c r="CZ21" s="57">
        <v>0</v>
      </c>
      <c r="DA21" s="57">
        <f t="shared" si="44"/>
        <v>0</v>
      </c>
      <c r="DB21" s="57">
        <v>600</v>
      </c>
      <c r="DC21" s="57">
        <v>0</v>
      </c>
      <c r="DD21" s="57">
        <f t="shared" si="45"/>
        <v>600</v>
      </c>
      <c r="DE21" s="57">
        <f t="shared" si="46"/>
        <v>0</v>
      </c>
      <c r="DF21" s="57" t="e">
        <f t="shared" si="47"/>
        <v>#DIV/0!</v>
      </c>
    </row>
    <row r="22" spans="1:110" ht="14.25" customHeight="1">
      <c r="A22" s="59"/>
      <c r="B22" s="29"/>
      <c r="C22" s="45">
        <v>0</v>
      </c>
      <c r="D22" s="45">
        <v>0</v>
      </c>
      <c r="E22" s="45">
        <v>0</v>
      </c>
      <c r="F22" s="45">
        <f t="shared" si="0"/>
        <v>0</v>
      </c>
      <c r="G22" s="45">
        <v>900</v>
      </c>
      <c r="H22" s="45">
        <v>0</v>
      </c>
      <c r="I22" s="45">
        <f t="shared" si="1"/>
        <v>900</v>
      </c>
      <c r="J22" s="45">
        <f t="shared" si="2"/>
        <v>0</v>
      </c>
      <c r="K22" s="45" t="e">
        <f t="shared" si="3"/>
        <v>#DIV/0!</v>
      </c>
      <c r="L22" s="47">
        <v>0</v>
      </c>
      <c r="M22" s="47">
        <v>0</v>
      </c>
      <c r="N22" s="47">
        <v>0</v>
      </c>
      <c r="O22" s="47">
        <f t="shared" si="4"/>
        <v>0</v>
      </c>
      <c r="P22" s="47">
        <v>1800</v>
      </c>
      <c r="Q22" s="47">
        <v>0</v>
      </c>
      <c r="R22" s="47">
        <f t="shared" si="5"/>
        <v>1800</v>
      </c>
      <c r="S22" s="47">
        <f t="shared" si="6"/>
        <v>0</v>
      </c>
      <c r="T22" s="47" t="e">
        <f t="shared" si="7"/>
        <v>#DIV/0!</v>
      </c>
      <c r="U22" s="48">
        <v>0</v>
      </c>
      <c r="V22" s="48">
        <v>0</v>
      </c>
      <c r="W22" s="48">
        <v>0</v>
      </c>
      <c r="X22" s="48">
        <f t="shared" si="8"/>
        <v>0</v>
      </c>
      <c r="Y22" s="48">
        <v>910</v>
      </c>
      <c r="Z22" s="48">
        <v>0</v>
      </c>
      <c r="AA22" s="48">
        <f t="shared" si="9"/>
        <v>910</v>
      </c>
      <c r="AB22" s="48">
        <f t="shared" si="10"/>
        <v>0</v>
      </c>
      <c r="AC22" s="48" t="e">
        <f t="shared" si="11"/>
        <v>#DIV/0!</v>
      </c>
      <c r="AD22" s="49">
        <v>0</v>
      </c>
      <c r="AE22" s="49">
        <v>0</v>
      </c>
      <c r="AF22" s="49">
        <v>0</v>
      </c>
      <c r="AG22" s="49">
        <f t="shared" si="12"/>
        <v>0</v>
      </c>
      <c r="AH22" s="49">
        <v>1200</v>
      </c>
      <c r="AI22" s="49">
        <v>0</v>
      </c>
      <c r="AJ22" s="49">
        <f t="shared" si="13"/>
        <v>1200</v>
      </c>
      <c r="AK22" s="49">
        <f t="shared" si="14"/>
        <v>0</v>
      </c>
      <c r="AL22" s="49" t="e">
        <f t="shared" si="15"/>
        <v>#DIV/0!</v>
      </c>
      <c r="AM22" s="50">
        <v>0</v>
      </c>
      <c r="AN22" s="50">
        <v>0</v>
      </c>
      <c r="AO22" s="50">
        <v>0</v>
      </c>
      <c r="AP22" s="50">
        <f t="shared" si="16"/>
        <v>0</v>
      </c>
      <c r="AQ22" s="50">
        <v>600</v>
      </c>
      <c r="AR22" s="50">
        <v>0</v>
      </c>
      <c r="AS22" s="50">
        <f t="shared" si="17"/>
        <v>600</v>
      </c>
      <c r="AT22" s="50">
        <f t="shared" si="18"/>
        <v>0</v>
      </c>
      <c r="AU22" s="50" t="e">
        <f t="shared" si="19"/>
        <v>#DIV/0!</v>
      </c>
      <c r="AV22" s="51">
        <v>0</v>
      </c>
      <c r="AW22" s="51">
        <v>0</v>
      </c>
      <c r="AX22" s="51">
        <v>0</v>
      </c>
      <c r="AY22" s="51">
        <f t="shared" si="20"/>
        <v>0</v>
      </c>
      <c r="AZ22" s="51">
        <v>1500</v>
      </c>
      <c r="BA22" s="51">
        <v>0</v>
      </c>
      <c r="BB22" s="51">
        <f t="shared" si="21"/>
        <v>1500</v>
      </c>
      <c r="BC22" s="51">
        <f t="shared" si="22"/>
        <v>0</v>
      </c>
      <c r="BD22" s="51" t="e">
        <f t="shared" si="23"/>
        <v>#DIV/0!</v>
      </c>
      <c r="BE22" s="52">
        <v>0</v>
      </c>
      <c r="BF22" s="52">
        <v>0</v>
      </c>
      <c r="BG22" s="52">
        <v>0</v>
      </c>
      <c r="BH22" s="52">
        <f t="shared" si="24"/>
        <v>0</v>
      </c>
      <c r="BI22" s="52">
        <v>750</v>
      </c>
      <c r="BJ22" s="52">
        <v>0</v>
      </c>
      <c r="BK22" s="52">
        <f t="shared" si="25"/>
        <v>750</v>
      </c>
      <c r="BL22" s="52">
        <f t="shared" si="26"/>
        <v>0</v>
      </c>
      <c r="BM22" s="52" t="e">
        <f t="shared" si="27"/>
        <v>#DIV/0!</v>
      </c>
      <c r="BN22" s="53">
        <v>0</v>
      </c>
      <c r="BO22" s="53">
        <v>0</v>
      </c>
      <c r="BP22" s="53">
        <v>0</v>
      </c>
      <c r="BQ22" s="53">
        <f t="shared" si="28"/>
        <v>0</v>
      </c>
      <c r="BR22" s="53">
        <v>2450</v>
      </c>
      <c r="BS22" s="53">
        <v>0</v>
      </c>
      <c r="BT22" s="53">
        <f t="shared" si="29"/>
        <v>2450</v>
      </c>
      <c r="BU22" s="53">
        <f t="shared" si="30"/>
        <v>0</v>
      </c>
      <c r="BV22" s="53" t="e">
        <f t="shared" si="31"/>
        <v>#DIV/0!</v>
      </c>
      <c r="BW22" s="54">
        <v>0</v>
      </c>
      <c r="BX22" s="54">
        <v>0</v>
      </c>
      <c r="BY22" s="54">
        <v>0</v>
      </c>
      <c r="BZ22" s="54">
        <f t="shared" si="32"/>
        <v>0</v>
      </c>
      <c r="CA22" s="54">
        <v>750</v>
      </c>
      <c r="CB22" s="54">
        <v>0</v>
      </c>
      <c r="CC22" s="54">
        <f t="shared" si="33"/>
        <v>750</v>
      </c>
      <c r="CD22" s="54">
        <f t="shared" si="34"/>
        <v>0</v>
      </c>
      <c r="CE22" s="54" t="e">
        <f t="shared" si="35"/>
        <v>#DIV/0!</v>
      </c>
      <c r="CF22" s="55">
        <v>0</v>
      </c>
      <c r="CG22" s="55">
        <v>0</v>
      </c>
      <c r="CH22" s="55">
        <v>0</v>
      </c>
      <c r="CI22" s="55">
        <f t="shared" si="36"/>
        <v>0</v>
      </c>
      <c r="CJ22" s="55">
        <v>730</v>
      </c>
      <c r="CK22" s="55">
        <v>0</v>
      </c>
      <c r="CL22" s="55">
        <f t="shared" si="37"/>
        <v>730</v>
      </c>
      <c r="CM22" s="55">
        <f t="shared" si="38"/>
        <v>0</v>
      </c>
      <c r="CN22" s="55" t="e">
        <f t="shared" si="39"/>
        <v>#DIV/0!</v>
      </c>
      <c r="CO22" s="56">
        <v>0</v>
      </c>
      <c r="CP22" s="56">
        <v>0</v>
      </c>
      <c r="CQ22" s="56">
        <v>0</v>
      </c>
      <c r="CR22" s="56">
        <f t="shared" si="40"/>
        <v>0</v>
      </c>
      <c r="CS22" s="56">
        <v>730</v>
      </c>
      <c r="CT22" s="56">
        <v>0</v>
      </c>
      <c r="CU22" s="56">
        <f t="shared" si="41"/>
        <v>730</v>
      </c>
      <c r="CV22" s="56">
        <f t="shared" si="42"/>
        <v>0</v>
      </c>
      <c r="CW22" s="56" t="e">
        <f t="shared" si="43"/>
        <v>#DIV/0!</v>
      </c>
      <c r="CX22" s="57">
        <v>0</v>
      </c>
      <c r="CY22" s="57">
        <v>0</v>
      </c>
      <c r="CZ22" s="57">
        <v>0</v>
      </c>
      <c r="DA22" s="57">
        <f t="shared" si="44"/>
        <v>0</v>
      </c>
      <c r="DB22" s="57">
        <v>600</v>
      </c>
      <c r="DC22" s="57">
        <v>0</v>
      </c>
      <c r="DD22" s="57">
        <f t="shared" si="45"/>
        <v>600</v>
      </c>
      <c r="DE22" s="57">
        <f t="shared" si="46"/>
        <v>0</v>
      </c>
      <c r="DF22" s="57" t="e">
        <f t="shared" si="47"/>
        <v>#DIV/0!</v>
      </c>
    </row>
    <row r="23" spans="1:110" ht="14.25" customHeight="1">
      <c r="A23" s="59"/>
      <c r="B23" s="29"/>
      <c r="C23" s="45">
        <v>0</v>
      </c>
      <c r="D23" s="45">
        <v>0</v>
      </c>
      <c r="E23" s="45">
        <v>0</v>
      </c>
      <c r="F23" s="45">
        <f t="shared" si="0"/>
        <v>0</v>
      </c>
      <c r="G23" s="45">
        <v>900</v>
      </c>
      <c r="H23" s="45">
        <v>0</v>
      </c>
      <c r="I23" s="45">
        <f t="shared" si="1"/>
        <v>900</v>
      </c>
      <c r="J23" s="45">
        <f t="shared" si="2"/>
        <v>0</v>
      </c>
      <c r="K23" s="45" t="e">
        <f t="shared" si="3"/>
        <v>#DIV/0!</v>
      </c>
      <c r="L23" s="47">
        <v>0</v>
      </c>
      <c r="M23" s="47">
        <v>126</v>
      </c>
      <c r="N23" s="47">
        <v>0</v>
      </c>
      <c r="O23" s="47">
        <f t="shared" si="4"/>
        <v>126</v>
      </c>
      <c r="P23" s="47">
        <v>1800</v>
      </c>
      <c r="Q23" s="47">
        <v>160</v>
      </c>
      <c r="R23" s="47">
        <f t="shared" si="5"/>
        <v>1640</v>
      </c>
      <c r="S23" s="47">
        <f t="shared" si="6"/>
        <v>206640</v>
      </c>
      <c r="T23" s="47">
        <f t="shared" si="7"/>
        <v>0</v>
      </c>
      <c r="U23" s="48">
        <v>0</v>
      </c>
      <c r="V23" s="48">
        <v>0</v>
      </c>
      <c r="W23" s="48">
        <v>0</v>
      </c>
      <c r="X23" s="48">
        <f t="shared" si="8"/>
        <v>0</v>
      </c>
      <c r="Y23" s="48">
        <v>910</v>
      </c>
      <c r="Z23" s="48">
        <v>0</v>
      </c>
      <c r="AA23" s="48">
        <f t="shared" si="9"/>
        <v>910</v>
      </c>
      <c r="AB23" s="48">
        <f t="shared" si="10"/>
        <v>0</v>
      </c>
      <c r="AC23" s="48" t="e">
        <f t="shared" si="11"/>
        <v>#DIV/0!</v>
      </c>
      <c r="AD23" s="49">
        <v>0</v>
      </c>
      <c r="AE23" s="49">
        <v>0</v>
      </c>
      <c r="AF23" s="49">
        <v>0</v>
      </c>
      <c r="AG23" s="49">
        <f t="shared" si="12"/>
        <v>0</v>
      </c>
      <c r="AH23" s="49">
        <v>1200</v>
      </c>
      <c r="AI23" s="49">
        <v>0</v>
      </c>
      <c r="AJ23" s="49">
        <f t="shared" si="13"/>
        <v>1200</v>
      </c>
      <c r="AK23" s="49">
        <f t="shared" si="14"/>
        <v>0</v>
      </c>
      <c r="AL23" s="49" t="e">
        <f t="shared" si="15"/>
        <v>#DIV/0!</v>
      </c>
      <c r="AM23" s="50">
        <v>0</v>
      </c>
      <c r="AN23" s="50">
        <v>0</v>
      </c>
      <c r="AO23" s="50">
        <v>0</v>
      </c>
      <c r="AP23" s="50">
        <f t="shared" si="16"/>
        <v>0</v>
      </c>
      <c r="AQ23" s="50">
        <v>600</v>
      </c>
      <c r="AR23" s="50">
        <v>0</v>
      </c>
      <c r="AS23" s="50">
        <f t="shared" si="17"/>
        <v>600</v>
      </c>
      <c r="AT23" s="50">
        <f t="shared" si="18"/>
        <v>0</v>
      </c>
      <c r="AU23" s="50" t="e">
        <f t="shared" si="19"/>
        <v>#DIV/0!</v>
      </c>
      <c r="AV23" s="51">
        <v>0</v>
      </c>
      <c r="AW23" s="51">
        <v>0</v>
      </c>
      <c r="AX23" s="51">
        <v>0</v>
      </c>
      <c r="AY23" s="51">
        <f t="shared" si="20"/>
        <v>0</v>
      </c>
      <c r="AZ23" s="51">
        <v>1500</v>
      </c>
      <c r="BA23" s="51">
        <v>0</v>
      </c>
      <c r="BB23" s="51">
        <f t="shared" si="21"/>
        <v>1500</v>
      </c>
      <c r="BC23" s="51">
        <f t="shared" si="22"/>
        <v>0</v>
      </c>
      <c r="BD23" s="51" t="e">
        <f t="shared" si="23"/>
        <v>#DIV/0!</v>
      </c>
      <c r="BE23" s="52">
        <v>0</v>
      </c>
      <c r="BF23" s="52">
        <v>0</v>
      </c>
      <c r="BG23" s="52">
        <v>0</v>
      </c>
      <c r="BH23" s="52">
        <f t="shared" si="24"/>
        <v>0</v>
      </c>
      <c r="BI23" s="52">
        <v>750</v>
      </c>
      <c r="BJ23" s="52">
        <v>0</v>
      </c>
      <c r="BK23" s="52">
        <f t="shared" si="25"/>
        <v>750</v>
      </c>
      <c r="BL23" s="52">
        <f t="shared" si="26"/>
        <v>0</v>
      </c>
      <c r="BM23" s="52" t="e">
        <f t="shared" si="27"/>
        <v>#DIV/0!</v>
      </c>
      <c r="BN23" s="53">
        <v>0</v>
      </c>
      <c r="BO23" s="53">
        <v>290</v>
      </c>
      <c r="BP23" s="53">
        <v>0</v>
      </c>
      <c r="BQ23" s="53">
        <f t="shared" si="28"/>
        <v>290</v>
      </c>
      <c r="BR23" s="53">
        <v>2450</v>
      </c>
      <c r="BS23" s="53">
        <f>250+250</f>
        <v>500</v>
      </c>
      <c r="BT23" s="53">
        <f t="shared" si="29"/>
        <v>1950</v>
      </c>
      <c r="BU23" s="53">
        <f t="shared" si="30"/>
        <v>565500</v>
      </c>
      <c r="BV23" s="53">
        <f t="shared" si="31"/>
        <v>0</v>
      </c>
      <c r="BW23" s="54">
        <v>0</v>
      </c>
      <c r="BX23" s="54">
        <v>900</v>
      </c>
      <c r="BY23" s="54">
        <v>335</v>
      </c>
      <c r="BZ23" s="54">
        <f t="shared" si="32"/>
        <v>565</v>
      </c>
      <c r="CA23" s="54">
        <v>750</v>
      </c>
      <c r="CB23" s="54">
        <v>90</v>
      </c>
      <c r="CC23" s="54">
        <f t="shared" si="33"/>
        <v>660</v>
      </c>
      <c r="CD23" s="54">
        <f t="shared" si="34"/>
        <v>372900</v>
      </c>
      <c r="CE23" s="54">
        <f t="shared" si="35"/>
        <v>37.222222222222221</v>
      </c>
      <c r="CF23" s="55">
        <v>0</v>
      </c>
      <c r="CG23" s="55">
        <v>0</v>
      </c>
      <c r="CH23" s="55">
        <v>0</v>
      </c>
      <c r="CI23" s="55">
        <f t="shared" si="36"/>
        <v>0</v>
      </c>
      <c r="CJ23" s="55">
        <v>730</v>
      </c>
      <c r="CK23" s="55">
        <v>0</v>
      </c>
      <c r="CL23" s="55">
        <f t="shared" si="37"/>
        <v>730</v>
      </c>
      <c r="CM23" s="55">
        <f t="shared" si="38"/>
        <v>0</v>
      </c>
      <c r="CN23" s="55" t="e">
        <f t="shared" si="39"/>
        <v>#DIV/0!</v>
      </c>
      <c r="CO23" s="56">
        <v>0</v>
      </c>
      <c r="CP23" s="56">
        <v>0</v>
      </c>
      <c r="CQ23" s="56">
        <v>0</v>
      </c>
      <c r="CR23" s="56">
        <f t="shared" si="40"/>
        <v>0</v>
      </c>
      <c r="CS23" s="56">
        <v>730</v>
      </c>
      <c r="CT23" s="56">
        <v>0</v>
      </c>
      <c r="CU23" s="56">
        <f t="shared" si="41"/>
        <v>730</v>
      </c>
      <c r="CV23" s="56">
        <f t="shared" si="42"/>
        <v>0</v>
      </c>
      <c r="CW23" s="56" t="e">
        <f t="shared" si="43"/>
        <v>#DIV/0!</v>
      </c>
      <c r="CX23" s="57">
        <v>0</v>
      </c>
      <c r="CY23" s="57">
        <v>0</v>
      </c>
      <c r="CZ23" s="57">
        <v>0</v>
      </c>
      <c r="DA23" s="57">
        <f t="shared" si="44"/>
        <v>0</v>
      </c>
      <c r="DB23" s="57">
        <v>600</v>
      </c>
      <c r="DC23" s="57">
        <v>0</v>
      </c>
      <c r="DD23" s="57">
        <f t="shared" si="45"/>
        <v>600</v>
      </c>
      <c r="DE23" s="57">
        <f t="shared" si="46"/>
        <v>0</v>
      </c>
      <c r="DF23" s="57" t="e">
        <f t="shared" si="47"/>
        <v>#DIV/0!</v>
      </c>
    </row>
    <row r="24" spans="1:110" ht="14.25" customHeight="1">
      <c r="A24" s="59"/>
      <c r="B24" s="29"/>
      <c r="C24" s="45">
        <v>0</v>
      </c>
      <c r="D24" s="45">
        <v>0</v>
      </c>
      <c r="E24" s="45">
        <v>0</v>
      </c>
      <c r="F24" s="45">
        <f t="shared" si="0"/>
        <v>0</v>
      </c>
      <c r="G24" s="45">
        <v>900</v>
      </c>
      <c r="H24" s="45">
        <v>0</v>
      </c>
      <c r="I24" s="45">
        <f t="shared" si="1"/>
        <v>900</v>
      </c>
      <c r="J24" s="45">
        <f t="shared" si="2"/>
        <v>0</v>
      </c>
      <c r="K24" s="45" t="e">
        <f t="shared" si="3"/>
        <v>#DIV/0!</v>
      </c>
      <c r="L24" s="47">
        <v>0</v>
      </c>
      <c r="M24" s="47">
        <v>0</v>
      </c>
      <c r="N24" s="47">
        <v>0</v>
      </c>
      <c r="O24" s="47">
        <f t="shared" si="4"/>
        <v>0</v>
      </c>
      <c r="P24" s="47">
        <v>1800</v>
      </c>
      <c r="Q24" s="47">
        <v>0</v>
      </c>
      <c r="R24" s="47">
        <f t="shared" si="5"/>
        <v>1800</v>
      </c>
      <c r="S24" s="47">
        <f t="shared" si="6"/>
        <v>0</v>
      </c>
      <c r="T24" s="47" t="e">
        <f t="shared" si="7"/>
        <v>#DIV/0!</v>
      </c>
      <c r="U24" s="48">
        <v>0</v>
      </c>
      <c r="V24" s="48">
        <v>0</v>
      </c>
      <c r="W24" s="48">
        <v>0</v>
      </c>
      <c r="X24" s="48">
        <f t="shared" si="8"/>
        <v>0</v>
      </c>
      <c r="Y24" s="48">
        <v>910</v>
      </c>
      <c r="Z24" s="48">
        <v>0</v>
      </c>
      <c r="AA24" s="48">
        <f t="shared" si="9"/>
        <v>910</v>
      </c>
      <c r="AB24" s="48">
        <f t="shared" si="10"/>
        <v>0</v>
      </c>
      <c r="AC24" s="48" t="e">
        <f t="shared" si="11"/>
        <v>#DIV/0!</v>
      </c>
      <c r="AD24" s="49">
        <v>0</v>
      </c>
      <c r="AE24" s="49">
        <v>0</v>
      </c>
      <c r="AF24" s="49">
        <v>0</v>
      </c>
      <c r="AG24" s="49">
        <f t="shared" si="12"/>
        <v>0</v>
      </c>
      <c r="AH24" s="49">
        <v>1200</v>
      </c>
      <c r="AI24" s="49">
        <v>0</v>
      </c>
      <c r="AJ24" s="49">
        <f t="shared" si="13"/>
        <v>1200</v>
      </c>
      <c r="AK24" s="49">
        <f t="shared" si="14"/>
        <v>0</v>
      </c>
      <c r="AL24" s="49" t="e">
        <f t="shared" si="15"/>
        <v>#DIV/0!</v>
      </c>
      <c r="AM24" s="50">
        <v>0</v>
      </c>
      <c r="AN24" s="50">
        <v>0</v>
      </c>
      <c r="AO24" s="50">
        <v>0</v>
      </c>
      <c r="AP24" s="50">
        <f t="shared" si="16"/>
        <v>0</v>
      </c>
      <c r="AQ24" s="50">
        <v>600</v>
      </c>
      <c r="AR24" s="50">
        <v>0</v>
      </c>
      <c r="AS24" s="50">
        <f t="shared" si="17"/>
        <v>600</v>
      </c>
      <c r="AT24" s="50">
        <f t="shared" si="18"/>
        <v>0</v>
      </c>
      <c r="AU24" s="50" t="e">
        <f t="shared" si="19"/>
        <v>#DIV/0!</v>
      </c>
      <c r="AV24" s="51">
        <v>0</v>
      </c>
      <c r="AW24" s="51">
        <v>0</v>
      </c>
      <c r="AX24" s="51">
        <v>0</v>
      </c>
      <c r="AY24" s="51">
        <f t="shared" si="20"/>
        <v>0</v>
      </c>
      <c r="AZ24" s="51">
        <v>1500</v>
      </c>
      <c r="BA24" s="51">
        <v>0</v>
      </c>
      <c r="BB24" s="51">
        <f t="shared" si="21"/>
        <v>1500</v>
      </c>
      <c r="BC24" s="51">
        <f t="shared" si="22"/>
        <v>0</v>
      </c>
      <c r="BD24" s="51" t="e">
        <f t="shared" si="23"/>
        <v>#DIV/0!</v>
      </c>
      <c r="BE24" s="52">
        <v>0</v>
      </c>
      <c r="BF24" s="52">
        <v>0</v>
      </c>
      <c r="BG24" s="52">
        <v>0</v>
      </c>
      <c r="BH24" s="52">
        <f t="shared" si="24"/>
        <v>0</v>
      </c>
      <c r="BI24" s="52">
        <v>750</v>
      </c>
      <c r="BJ24" s="52">
        <v>0</v>
      </c>
      <c r="BK24" s="52">
        <f t="shared" si="25"/>
        <v>750</v>
      </c>
      <c r="BL24" s="52">
        <f t="shared" si="26"/>
        <v>0</v>
      </c>
      <c r="BM24" s="52" t="e">
        <f t="shared" si="27"/>
        <v>#DIV/0!</v>
      </c>
      <c r="BN24" s="53">
        <v>0</v>
      </c>
      <c r="BO24" s="53">
        <v>0</v>
      </c>
      <c r="BP24" s="53">
        <v>0</v>
      </c>
      <c r="BQ24" s="53">
        <f t="shared" si="28"/>
        <v>0</v>
      </c>
      <c r="BR24" s="53">
        <v>2450</v>
      </c>
      <c r="BS24" s="53">
        <v>0</v>
      </c>
      <c r="BT24" s="53">
        <f t="shared" si="29"/>
        <v>2450</v>
      </c>
      <c r="BU24" s="53">
        <f t="shared" si="30"/>
        <v>0</v>
      </c>
      <c r="BV24" s="53" t="e">
        <f t="shared" si="31"/>
        <v>#DIV/0!</v>
      </c>
      <c r="BW24" s="54">
        <v>0</v>
      </c>
      <c r="BX24" s="54">
        <v>0</v>
      </c>
      <c r="BY24" s="54">
        <v>0</v>
      </c>
      <c r="BZ24" s="54">
        <f t="shared" si="32"/>
        <v>0</v>
      </c>
      <c r="CA24" s="54">
        <v>750</v>
      </c>
      <c r="CB24" s="54">
        <v>0</v>
      </c>
      <c r="CC24" s="54">
        <f t="shared" si="33"/>
        <v>750</v>
      </c>
      <c r="CD24" s="54">
        <f t="shared" si="34"/>
        <v>0</v>
      </c>
      <c r="CE24" s="54" t="e">
        <f t="shared" si="35"/>
        <v>#DIV/0!</v>
      </c>
      <c r="CF24" s="55">
        <v>0</v>
      </c>
      <c r="CG24" s="55">
        <v>0</v>
      </c>
      <c r="CH24" s="55">
        <v>0</v>
      </c>
      <c r="CI24" s="55">
        <f t="shared" si="36"/>
        <v>0</v>
      </c>
      <c r="CJ24" s="55">
        <v>730</v>
      </c>
      <c r="CK24" s="55">
        <v>0</v>
      </c>
      <c r="CL24" s="55">
        <f t="shared" si="37"/>
        <v>730</v>
      </c>
      <c r="CM24" s="55">
        <f t="shared" si="38"/>
        <v>0</v>
      </c>
      <c r="CN24" s="55" t="e">
        <f t="shared" si="39"/>
        <v>#DIV/0!</v>
      </c>
      <c r="CO24" s="56">
        <v>0</v>
      </c>
      <c r="CP24" s="56">
        <v>0</v>
      </c>
      <c r="CQ24" s="56">
        <v>0</v>
      </c>
      <c r="CR24" s="56">
        <f t="shared" si="40"/>
        <v>0</v>
      </c>
      <c r="CS24" s="56">
        <v>730</v>
      </c>
      <c r="CT24" s="56">
        <v>0</v>
      </c>
      <c r="CU24" s="56">
        <f t="shared" si="41"/>
        <v>730</v>
      </c>
      <c r="CV24" s="56">
        <f t="shared" si="42"/>
        <v>0</v>
      </c>
      <c r="CW24" s="56" t="e">
        <f t="shared" si="43"/>
        <v>#DIV/0!</v>
      </c>
      <c r="CX24" s="57">
        <v>0</v>
      </c>
      <c r="CY24" s="57">
        <v>0</v>
      </c>
      <c r="CZ24" s="57">
        <v>0</v>
      </c>
      <c r="DA24" s="57">
        <f t="shared" si="44"/>
        <v>0</v>
      </c>
      <c r="DB24" s="57">
        <v>600</v>
      </c>
      <c r="DC24" s="57">
        <v>0</v>
      </c>
      <c r="DD24" s="57">
        <f t="shared" si="45"/>
        <v>600</v>
      </c>
      <c r="DE24" s="57">
        <f t="shared" si="46"/>
        <v>0</v>
      </c>
      <c r="DF24" s="57" t="e">
        <f t="shared" si="47"/>
        <v>#DIV/0!</v>
      </c>
    </row>
    <row r="25" spans="1:110" ht="14.25" customHeight="1">
      <c r="A25" s="59"/>
      <c r="B25" s="29"/>
      <c r="C25" s="45">
        <v>0</v>
      </c>
      <c r="D25" s="45">
        <v>0</v>
      </c>
      <c r="E25" s="45">
        <v>0</v>
      </c>
      <c r="F25" s="45">
        <f t="shared" si="0"/>
        <v>0</v>
      </c>
      <c r="G25" s="45">
        <v>900</v>
      </c>
      <c r="H25" s="45">
        <v>0</v>
      </c>
      <c r="I25" s="45">
        <f t="shared" si="1"/>
        <v>900</v>
      </c>
      <c r="J25" s="45">
        <f t="shared" si="2"/>
        <v>0</v>
      </c>
      <c r="K25" s="45" t="e">
        <f t="shared" si="3"/>
        <v>#DIV/0!</v>
      </c>
      <c r="L25" s="47">
        <v>0</v>
      </c>
      <c r="M25" s="47">
        <v>0</v>
      </c>
      <c r="N25" s="47">
        <v>0</v>
      </c>
      <c r="O25" s="47">
        <f t="shared" si="4"/>
        <v>0</v>
      </c>
      <c r="P25" s="47">
        <v>1800</v>
      </c>
      <c r="Q25" s="47">
        <v>0</v>
      </c>
      <c r="R25" s="47">
        <f t="shared" si="5"/>
        <v>1800</v>
      </c>
      <c r="S25" s="47">
        <f t="shared" si="6"/>
        <v>0</v>
      </c>
      <c r="T25" s="47" t="e">
        <f t="shared" si="7"/>
        <v>#DIV/0!</v>
      </c>
      <c r="U25" s="48">
        <v>0</v>
      </c>
      <c r="V25" s="48">
        <v>0</v>
      </c>
      <c r="W25" s="48">
        <v>0</v>
      </c>
      <c r="X25" s="48">
        <f t="shared" si="8"/>
        <v>0</v>
      </c>
      <c r="Y25" s="48">
        <v>910</v>
      </c>
      <c r="Z25" s="48">
        <v>0</v>
      </c>
      <c r="AA25" s="48">
        <f t="shared" si="9"/>
        <v>910</v>
      </c>
      <c r="AB25" s="48">
        <f t="shared" si="10"/>
        <v>0</v>
      </c>
      <c r="AC25" s="48" t="e">
        <f t="shared" si="11"/>
        <v>#DIV/0!</v>
      </c>
      <c r="AD25" s="49">
        <v>0</v>
      </c>
      <c r="AE25" s="49">
        <v>0</v>
      </c>
      <c r="AF25" s="49">
        <v>0</v>
      </c>
      <c r="AG25" s="49">
        <f t="shared" si="12"/>
        <v>0</v>
      </c>
      <c r="AH25" s="49">
        <v>1200</v>
      </c>
      <c r="AI25" s="49">
        <v>0</v>
      </c>
      <c r="AJ25" s="49">
        <f t="shared" si="13"/>
        <v>1200</v>
      </c>
      <c r="AK25" s="49">
        <f t="shared" si="14"/>
        <v>0</v>
      </c>
      <c r="AL25" s="49" t="e">
        <f t="shared" si="15"/>
        <v>#DIV/0!</v>
      </c>
      <c r="AM25" s="50">
        <v>0</v>
      </c>
      <c r="AN25" s="50">
        <v>0</v>
      </c>
      <c r="AO25" s="50">
        <v>0</v>
      </c>
      <c r="AP25" s="50">
        <f t="shared" si="16"/>
        <v>0</v>
      </c>
      <c r="AQ25" s="50">
        <v>600</v>
      </c>
      <c r="AR25" s="50">
        <v>0</v>
      </c>
      <c r="AS25" s="50">
        <f t="shared" si="17"/>
        <v>600</v>
      </c>
      <c r="AT25" s="50">
        <f t="shared" si="18"/>
        <v>0</v>
      </c>
      <c r="AU25" s="50" t="e">
        <f t="shared" si="19"/>
        <v>#DIV/0!</v>
      </c>
      <c r="AV25" s="51">
        <v>0</v>
      </c>
      <c r="AW25" s="51">
        <v>0</v>
      </c>
      <c r="AX25" s="51">
        <v>0</v>
      </c>
      <c r="AY25" s="51">
        <f t="shared" si="20"/>
        <v>0</v>
      </c>
      <c r="AZ25" s="51">
        <v>1500</v>
      </c>
      <c r="BA25" s="51">
        <v>0</v>
      </c>
      <c r="BB25" s="51">
        <f t="shared" si="21"/>
        <v>1500</v>
      </c>
      <c r="BC25" s="51">
        <f t="shared" si="22"/>
        <v>0</v>
      </c>
      <c r="BD25" s="51" t="e">
        <f t="shared" si="23"/>
        <v>#DIV/0!</v>
      </c>
      <c r="BE25" s="52">
        <v>0</v>
      </c>
      <c r="BF25" s="52">
        <v>0</v>
      </c>
      <c r="BG25" s="52">
        <v>0</v>
      </c>
      <c r="BH25" s="52">
        <f t="shared" si="24"/>
        <v>0</v>
      </c>
      <c r="BI25" s="52">
        <v>750</v>
      </c>
      <c r="BJ25" s="52">
        <v>0</v>
      </c>
      <c r="BK25" s="52">
        <f t="shared" si="25"/>
        <v>750</v>
      </c>
      <c r="BL25" s="52">
        <f t="shared" si="26"/>
        <v>0</v>
      </c>
      <c r="BM25" s="52" t="e">
        <f t="shared" si="27"/>
        <v>#DIV/0!</v>
      </c>
      <c r="BN25" s="53">
        <v>0</v>
      </c>
      <c r="BO25" s="53">
        <v>0</v>
      </c>
      <c r="BP25" s="53">
        <v>0</v>
      </c>
      <c r="BQ25" s="53">
        <f t="shared" si="28"/>
        <v>0</v>
      </c>
      <c r="BR25" s="53">
        <v>2450</v>
      </c>
      <c r="BS25" s="53">
        <v>0</v>
      </c>
      <c r="BT25" s="53">
        <f t="shared" si="29"/>
        <v>2450</v>
      </c>
      <c r="BU25" s="53">
        <f t="shared" si="30"/>
        <v>0</v>
      </c>
      <c r="BV25" s="53" t="e">
        <f t="shared" si="31"/>
        <v>#DIV/0!</v>
      </c>
      <c r="BW25" s="54">
        <v>0</v>
      </c>
      <c r="BX25" s="54">
        <v>0</v>
      </c>
      <c r="BY25" s="54">
        <v>0</v>
      </c>
      <c r="BZ25" s="54">
        <f t="shared" si="32"/>
        <v>0</v>
      </c>
      <c r="CA25" s="54">
        <v>750</v>
      </c>
      <c r="CB25" s="54">
        <v>0</v>
      </c>
      <c r="CC25" s="54">
        <f t="shared" si="33"/>
        <v>750</v>
      </c>
      <c r="CD25" s="54">
        <f t="shared" si="34"/>
        <v>0</v>
      </c>
      <c r="CE25" s="54" t="e">
        <f t="shared" si="35"/>
        <v>#DIV/0!</v>
      </c>
      <c r="CF25" s="55">
        <v>0</v>
      </c>
      <c r="CG25" s="55">
        <v>0</v>
      </c>
      <c r="CH25" s="55">
        <v>0</v>
      </c>
      <c r="CI25" s="55">
        <f t="shared" si="36"/>
        <v>0</v>
      </c>
      <c r="CJ25" s="55">
        <v>730</v>
      </c>
      <c r="CK25" s="55">
        <v>0</v>
      </c>
      <c r="CL25" s="55">
        <f t="shared" si="37"/>
        <v>730</v>
      </c>
      <c r="CM25" s="55">
        <f t="shared" si="38"/>
        <v>0</v>
      </c>
      <c r="CN25" s="55" t="e">
        <f t="shared" si="39"/>
        <v>#DIV/0!</v>
      </c>
      <c r="CO25" s="56">
        <v>0</v>
      </c>
      <c r="CP25" s="56">
        <v>0</v>
      </c>
      <c r="CQ25" s="56">
        <v>0</v>
      </c>
      <c r="CR25" s="56">
        <f t="shared" si="40"/>
        <v>0</v>
      </c>
      <c r="CS25" s="56">
        <v>730</v>
      </c>
      <c r="CT25" s="56">
        <v>0</v>
      </c>
      <c r="CU25" s="56">
        <f t="shared" si="41"/>
        <v>730</v>
      </c>
      <c r="CV25" s="56">
        <f t="shared" si="42"/>
        <v>0</v>
      </c>
      <c r="CW25" s="56" t="e">
        <f t="shared" si="43"/>
        <v>#DIV/0!</v>
      </c>
      <c r="CX25" s="57">
        <v>0</v>
      </c>
      <c r="CY25" s="57">
        <v>0</v>
      </c>
      <c r="CZ25" s="57">
        <v>0</v>
      </c>
      <c r="DA25" s="57">
        <f t="shared" si="44"/>
        <v>0</v>
      </c>
      <c r="DB25" s="57">
        <v>600</v>
      </c>
      <c r="DC25" s="57">
        <v>0</v>
      </c>
      <c r="DD25" s="57">
        <f t="shared" si="45"/>
        <v>600</v>
      </c>
      <c r="DE25" s="57">
        <f t="shared" si="46"/>
        <v>0</v>
      </c>
      <c r="DF25" s="57" t="e">
        <f t="shared" si="47"/>
        <v>#DIV/0!</v>
      </c>
    </row>
    <row r="26" spans="1:110" ht="14.25" customHeight="1">
      <c r="A26" s="59"/>
      <c r="B26" s="29"/>
      <c r="C26" s="45">
        <v>0</v>
      </c>
      <c r="D26" s="45">
        <v>0</v>
      </c>
      <c r="E26" s="45">
        <v>0</v>
      </c>
      <c r="F26" s="45">
        <f t="shared" si="0"/>
        <v>0</v>
      </c>
      <c r="G26" s="45">
        <v>900</v>
      </c>
      <c r="H26" s="45">
        <v>0</v>
      </c>
      <c r="I26" s="45">
        <f t="shared" si="1"/>
        <v>900</v>
      </c>
      <c r="J26" s="45">
        <f t="shared" si="2"/>
        <v>0</v>
      </c>
      <c r="K26" s="45" t="e">
        <f t="shared" si="3"/>
        <v>#DIV/0!</v>
      </c>
      <c r="L26" s="47">
        <v>0</v>
      </c>
      <c r="M26" s="47">
        <v>0</v>
      </c>
      <c r="N26" s="47">
        <v>0</v>
      </c>
      <c r="O26" s="47">
        <f t="shared" si="4"/>
        <v>0</v>
      </c>
      <c r="P26" s="47">
        <v>1800</v>
      </c>
      <c r="Q26" s="47">
        <v>0</v>
      </c>
      <c r="R26" s="47">
        <f t="shared" si="5"/>
        <v>1800</v>
      </c>
      <c r="S26" s="47">
        <f t="shared" si="6"/>
        <v>0</v>
      </c>
      <c r="T26" s="47" t="e">
        <f t="shared" si="7"/>
        <v>#DIV/0!</v>
      </c>
      <c r="U26" s="48">
        <v>0</v>
      </c>
      <c r="V26" s="48">
        <v>0</v>
      </c>
      <c r="W26" s="48">
        <v>0</v>
      </c>
      <c r="X26" s="48">
        <f t="shared" si="8"/>
        <v>0</v>
      </c>
      <c r="Y26" s="48">
        <v>910</v>
      </c>
      <c r="Z26" s="48">
        <v>0</v>
      </c>
      <c r="AA26" s="48">
        <f t="shared" si="9"/>
        <v>910</v>
      </c>
      <c r="AB26" s="48">
        <f t="shared" si="10"/>
        <v>0</v>
      </c>
      <c r="AC26" s="48" t="e">
        <f t="shared" si="11"/>
        <v>#DIV/0!</v>
      </c>
      <c r="AD26" s="49">
        <v>0</v>
      </c>
      <c r="AE26" s="49">
        <v>0</v>
      </c>
      <c r="AF26" s="49">
        <v>0</v>
      </c>
      <c r="AG26" s="49">
        <f t="shared" si="12"/>
        <v>0</v>
      </c>
      <c r="AH26" s="49">
        <v>1200</v>
      </c>
      <c r="AI26" s="49">
        <v>0</v>
      </c>
      <c r="AJ26" s="49">
        <f t="shared" si="13"/>
        <v>1200</v>
      </c>
      <c r="AK26" s="49">
        <f t="shared" si="14"/>
        <v>0</v>
      </c>
      <c r="AL26" s="49" t="e">
        <f t="shared" si="15"/>
        <v>#DIV/0!</v>
      </c>
      <c r="AM26" s="50">
        <v>0</v>
      </c>
      <c r="AN26" s="50">
        <v>0</v>
      </c>
      <c r="AO26" s="50">
        <v>0</v>
      </c>
      <c r="AP26" s="50">
        <f t="shared" si="16"/>
        <v>0</v>
      </c>
      <c r="AQ26" s="50">
        <v>600</v>
      </c>
      <c r="AR26" s="50">
        <v>0</v>
      </c>
      <c r="AS26" s="50">
        <f t="shared" si="17"/>
        <v>600</v>
      </c>
      <c r="AT26" s="50">
        <f t="shared" si="18"/>
        <v>0</v>
      </c>
      <c r="AU26" s="50" t="e">
        <f t="shared" si="19"/>
        <v>#DIV/0!</v>
      </c>
      <c r="AV26" s="51">
        <v>0</v>
      </c>
      <c r="AW26" s="51">
        <v>0</v>
      </c>
      <c r="AX26" s="51">
        <v>0</v>
      </c>
      <c r="AY26" s="51">
        <f t="shared" si="20"/>
        <v>0</v>
      </c>
      <c r="AZ26" s="51">
        <v>1500</v>
      </c>
      <c r="BA26" s="51">
        <v>0</v>
      </c>
      <c r="BB26" s="51">
        <f t="shared" si="21"/>
        <v>1500</v>
      </c>
      <c r="BC26" s="51">
        <f t="shared" si="22"/>
        <v>0</v>
      </c>
      <c r="BD26" s="51" t="e">
        <f t="shared" si="23"/>
        <v>#DIV/0!</v>
      </c>
      <c r="BE26" s="52">
        <v>0</v>
      </c>
      <c r="BF26" s="52">
        <v>0</v>
      </c>
      <c r="BG26" s="52">
        <v>0</v>
      </c>
      <c r="BH26" s="52">
        <f t="shared" si="24"/>
        <v>0</v>
      </c>
      <c r="BI26" s="52">
        <v>750</v>
      </c>
      <c r="BJ26" s="52">
        <v>0</v>
      </c>
      <c r="BK26" s="52">
        <f t="shared" si="25"/>
        <v>750</v>
      </c>
      <c r="BL26" s="52">
        <f t="shared" si="26"/>
        <v>0</v>
      </c>
      <c r="BM26" s="52" t="e">
        <f t="shared" si="27"/>
        <v>#DIV/0!</v>
      </c>
      <c r="BN26" s="53">
        <v>0</v>
      </c>
      <c r="BO26" s="53">
        <v>0</v>
      </c>
      <c r="BP26" s="53">
        <v>0</v>
      </c>
      <c r="BQ26" s="53">
        <f t="shared" si="28"/>
        <v>0</v>
      </c>
      <c r="BR26" s="53">
        <v>2450</v>
      </c>
      <c r="BS26" s="53">
        <v>0</v>
      </c>
      <c r="BT26" s="53">
        <f t="shared" si="29"/>
        <v>2450</v>
      </c>
      <c r="BU26" s="53">
        <f t="shared" si="30"/>
        <v>0</v>
      </c>
      <c r="BV26" s="53" t="e">
        <f t="shared" si="31"/>
        <v>#DIV/0!</v>
      </c>
      <c r="BW26" s="54">
        <v>0</v>
      </c>
      <c r="BX26" s="54">
        <v>0</v>
      </c>
      <c r="BY26" s="54">
        <v>0</v>
      </c>
      <c r="BZ26" s="54">
        <f t="shared" si="32"/>
        <v>0</v>
      </c>
      <c r="CA26" s="54">
        <v>750</v>
      </c>
      <c r="CB26" s="54">
        <v>0</v>
      </c>
      <c r="CC26" s="54">
        <f t="shared" si="33"/>
        <v>750</v>
      </c>
      <c r="CD26" s="54">
        <f t="shared" si="34"/>
        <v>0</v>
      </c>
      <c r="CE26" s="54" t="e">
        <f t="shared" si="35"/>
        <v>#DIV/0!</v>
      </c>
      <c r="CF26" s="55">
        <v>0</v>
      </c>
      <c r="CG26" s="55">
        <v>0</v>
      </c>
      <c r="CH26" s="55">
        <v>0</v>
      </c>
      <c r="CI26" s="55">
        <f t="shared" si="36"/>
        <v>0</v>
      </c>
      <c r="CJ26" s="55">
        <v>730</v>
      </c>
      <c r="CK26" s="55">
        <v>0</v>
      </c>
      <c r="CL26" s="55">
        <f t="shared" si="37"/>
        <v>730</v>
      </c>
      <c r="CM26" s="55">
        <f t="shared" si="38"/>
        <v>0</v>
      </c>
      <c r="CN26" s="55" t="e">
        <f t="shared" si="39"/>
        <v>#DIV/0!</v>
      </c>
      <c r="CO26" s="56">
        <v>0</v>
      </c>
      <c r="CP26" s="56">
        <v>0</v>
      </c>
      <c r="CQ26" s="56">
        <v>0</v>
      </c>
      <c r="CR26" s="56">
        <f t="shared" si="40"/>
        <v>0</v>
      </c>
      <c r="CS26" s="56">
        <v>730</v>
      </c>
      <c r="CT26" s="56">
        <v>0</v>
      </c>
      <c r="CU26" s="56">
        <f t="shared" si="41"/>
        <v>730</v>
      </c>
      <c r="CV26" s="56">
        <f t="shared" si="42"/>
        <v>0</v>
      </c>
      <c r="CW26" s="56" t="e">
        <f t="shared" si="43"/>
        <v>#DIV/0!</v>
      </c>
      <c r="CX26" s="57">
        <v>0</v>
      </c>
      <c r="CY26" s="57">
        <v>0</v>
      </c>
      <c r="CZ26" s="57">
        <v>0</v>
      </c>
      <c r="DA26" s="57">
        <f t="shared" si="44"/>
        <v>0</v>
      </c>
      <c r="DB26" s="57">
        <v>600</v>
      </c>
      <c r="DC26" s="57">
        <v>0</v>
      </c>
      <c r="DD26" s="57">
        <f t="shared" si="45"/>
        <v>600</v>
      </c>
      <c r="DE26" s="57">
        <f t="shared" si="46"/>
        <v>0</v>
      </c>
      <c r="DF26" s="57" t="e">
        <f t="shared" si="47"/>
        <v>#DIV/0!</v>
      </c>
    </row>
    <row r="27" spans="1:110" ht="14.25" customHeight="1">
      <c r="A27" s="59"/>
      <c r="B27" s="29"/>
      <c r="C27" s="45">
        <v>0</v>
      </c>
      <c r="D27" s="45">
        <v>0</v>
      </c>
      <c r="E27" s="45">
        <v>0</v>
      </c>
      <c r="F27" s="45">
        <f t="shared" si="0"/>
        <v>0</v>
      </c>
      <c r="G27" s="45">
        <v>900</v>
      </c>
      <c r="H27" s="45">
        <v>0</v>
      </c>
      <c r="I27" s="45">
        <f t="shared" si="1"/>
        <v>900</v>
      </c>
      <c r="J27" s="45">
        <f t="shared" si="2"/>
        <v>0</v>
      </c>
      <c r="K27" s="45" t="e">
        <f t="shared" si="3"/>
        <v>#DIV/0!</v>
      </c>
      <c r="L27" s="47">
        <v>0</v>
      </c>
      <c r="M27" s="47">
        <v>0</v>
      </c>
      <c r="N27" s="47">
        <v>0</v>
      </c>
      <c r="O27" s="47">
        <f t="shared" si="4"/>
        <v>0</v>
      </c>
      <c r="P27" s="47">
        <v>1800</v>
      </c>
      <c r="Q27" s="47">
        <v>0</v>
      </c>
      <c r="R27" s="47">
        <f t="shared" si="5"/>
        <v>1800</v>
      </c>
      <c r="S27" s="47">
        <f t="shared" si="6"/>
        <v>0</v>
      </c>
      <c r="T27" s="47" t="e">
        <f t="shared" si="7"/>
        <v>#DIV/0!</v>
      </c>
      <c r="U27" s="48">
        <v>0</v>
      </c>
      <c r="V27" s="48">
        <v>0</v>
      </c>
      <c r="W27" s="48">
        <v>0</v>
      </c>
      <c r="X27" s="48">
        <f t="shared" si="8"/>
        <v>0</v>
      </c>
      <c r="Y27" s="48">
        <v>910</v>
      </c>
      <c r="Z27" s="48">
        <v>0</v>
      </c>
      <c r="AA27" s="48">
        <f t="shared" si="9"/>
        <v>910</v>
      </c>
      <c r="AB27" s="48">
        <f t="shared" si="10"/>
        <v>0</v>
      </c>
      <c r="AC27" s="48" t="e">
        <f t="shared" si="11"/>
        <v>#DIV/0!</v>
      </c>
      <c r="AD27" s="49">
        <v>0</v>
      </c>
      <c r="AE27" s="49">
        <v>0</v>
      </c>
      <c r="AF27" s="49">
        <v>0</v>
      </c>
      <c r="AG27" s="49">
        <f t="shared" si="12"/>
        <v>0</v>
      </c>
      <c r="AH27" s="49">
        <v>1200</v>
      </c>
      <c r="AI27" s="49">
        <v>0</v>
      </c>
      <c r="AJ27" s="49">
        <f t="shared" si="13"/>
        <v>1200</v>
      </c>
      <c r="AK27" s="49">
        <f t="shared" si="14"/>
        <v>0</v>
      </c>
      <c r="AL27" s="49" t="e">
        <f t="shared" si="15"/>
        <v>#DIV/0!</v>
      </c>
      <c r="AM27" s="50">
        <v>0</v>
      </c>
      <c r="AN27" s="50">
        <v>0</v>
      </c>
      <c r="AO27" s="50">
        <v>0</v>
      </c>
      <c r="AP27" s="50">
        <f t="shared" si="16"/>
        <v>0</v>
      </c>
      <c r="AQ27" s="50">
        <v>600</v>
      </c>
      <c r="AR27" s="50">
        <v>0</v>
      </c>
      <c r="AS27" s="50">
        <f t="shared" si="17"/>
        <v>600</v>
      </c>
      <c r="AT27" s="50">
        <f t="shared" si="18"/>
        <v>0</v>
      </c>
      <c r="AU27" s="50" t="e">
        <f t="shared" si="19"/>
        <v>#DIV/0!</v>
      </c>
      <c r="AV27" s="51">
        <v>0</v>
      </c>
      <c r="AW27" s="51">
        <v>0</v>
      </c>
      <c r="AX27" s="51">
        <v>0</v>
      </c>
      <c r="AY27" s="51">
        <f t="shared" si="20"/>
        <v>0</v>
      </c>
      <c r="AZ27" s="51">
        <v>1500</v>
      </c>
      <c r="BA27" s="51">
        <v>0</v>
      </c>
      <c r="BB27" s="51">
        <f t="shared" si="21"/>
        <v>1500</v>
      </c>
      <c r="BC27" s="51">
        <f t="shared" si="22"/>
        <v>0</v>
      </c>
      <c r="BD27" s="51" t="e">
        <f t="shared" si="23"/>
        <v>#DIV/0!</v>
      </c>
      <c r="BE27" s="52">
        <v>0</v>
      </c>
      <c r="BF27" s="52">
        <v>0</v>
      </c>
      <c r="BG27" s="52">
        <v>0</v>
      </c>
      <c r="BH27" s="52">
        <f t="shared" si="24"/>
        <v>0</v>
      </c>
      <c r="BI27" s="52">
        <v>750</v>
      </c>
      <c r="BJ27" s="52">
        <v>0</v>
      </c>
      <c r="BK27" s="52">
        <f t="shared" si="25"/>
        <v>750</v>
      </c>
      <c r="BL27" s="52">
        <f t="shared" si="26"/>
        <v>0</v>
      </c>
      <c r="BM27" s="52" t="e">
        <f t="shared" si="27"/>
        <v>#DIV/0!</v>
      </c>
      <c r="BN27" s="53">
        <v>0</v>
      </c>
      <c r="BO27" s="53">
        <v>32</v>
      </c>
      <c r="BP27" s="53">
        <v>4</v>
      </c>
      <c r="BQ27" s="53">
        <f t="shared" si="28"/>
        <v>28</v>
      </c>
      <c r="BR27" s="53">
        <v>2450</v>
      </c>
      <c r="BS27" s="53">
        <v>250</v>
      </c>
      <c r="BT27" s="53">
        <f t="shared" si="29"/>
        <v>2200</v>
      </c>
      <c r="BU27" s="53">
        <f t="shared" si="30"/>
        <v>61600</v>
      </c>
      <c r="BV27" s="53">
        <f t="shared" si="31"/>
        <v>12.5</v>
      </c>
      <c r="BW27" s="54">
        <v>0</v>
      </c>
      <c r="BX27" s="54">
        <v>0</v>
      </c>
      <c r="BY27" s="54">
        <v>0</v>
      </c>
      <c r="BZ27" s="54">
        <f t="shared" si="32"/>
        <v>0</v>
      </c>
      <c r="CA27" s="54">
        <v>750</v>
      </c>
      <c r="CB27" s="54">
        <v>0</v>
      </c>
      <c r="CC27" s="54">
        <f t="shared" si="33"/>
        <v>750</v>
      </c>
      <c r="CD27" s="54">
        <f t="shared" si="34"/>
        <v>0</v>
      </c>
      <c r="CE27" s="54" t="e">
        <f t="shared" si="35"/>
        <v>#DIV/0!</v>
      </c>
      <c r="CF27" s="55">
        <v>0</v>
      </c>
      <c r="CG27" s="55">
        <v>20</v>
      </c>
      <c r="CH27" s="55">
        <v>4</v>
      </c>
      <c r="CI27" s="55">
        <f t="shared" si="36"/>
        <v>16</v>
      </c>
      <c r="CJ27" s="55">
        <v>730</v>
      </c>
      <c r="CK27" s="55">
        <v>60</v>
      </c>
      <c r="CL27" s="55">
        <f t="shared" si="37"/>
        <v>670</v>
      </c>
      <c r="CM27" s="55">
        <f t="shared" si="38"/>
        <v>10720</v>
      </c>
      <c r="CN27" s="55">
        <f t="shared" si="39"/>
        <v>20</v>
      </c>
      <c r="CO27" s="56">
        <v>0</v>
      </c>
      <c r="CP27" s="56">
        <v>0</v>
      </c>
      <c r="CQ27" s="56">
        <v>0</v>
      </c>
      <c r="CR27" s="56">
        <f t="shared" si="40"/>
        <v>0</v>
      </c>
      <c r="CS27" s="56">
        <v>730</v>
      </c>
      <c r="CT27" s="56">
        <v>0</v>
      </c>
      <c r="CU27" s="56">
        <f t="shared" si="41"/>
        <v>730</v>
      </c>
      <c r="CV27" s="56">
        <f t="shared" si="42"/>
        <v>0</v>
      </c>
      <c r="CW27" s="56" t="e">
        <f t="shared" si="43"/>
        <v>#DIV/0!</v>
      </c>
      <c r="CX27" s="57">
        <v>0</v>
      </c>
      <c r="CY27" s="57">
        <v>0</v>
      </c>
      <c r="CZ27" s="57">
        <v>0</v>
      </c>
      <c r="DA27" s="57">
        <f t="shared" si="44"/>
        <v>0</v>
      </c>
      <c r="DB27" s="57">
        <v>600</v>
      </c>
      <c r="DC27" s="57">
        <v>0</v>
      </c>
      <c r="DD27" s="57">
        <f t="shared" si="45"/>
        <v>600</v>
      </c>
      <c r="DE27" s="57">
        <f t="shared" si="46"/>
        <v>0</v>
      </c>
      <c r="DF27" s="57" t="e">
        <f t="shared" si="47"/>
        <v>#DIV/0!</v>
      </c>
    </row>
    <row r="28" spans="1:110" ht="14.25" customHeight="1">
      <c r="A28" s="59"/>
      <c r="B28" s="29"/>
      <c r="C28" s="45">
        <v>0</v>
      </c>
      <c r="D28" s="45">
        <v>0</v>
      </c>
      <c r="E28" s="45">
        <v>0</v>
      </c>
      <c r="F28" s="45">
        <f t="shared" si="0"/>
        <v>0</v>
      </c>
      <c r="G28" s="45">
        <v>900</v>
      </c>
      <c r="H28" s="45">
        <v>0</v>
      </c>
      <c r="I28" s="45">
        <f t="shared" si="1"/>
        <v>900</v>
      </c>
      <c r="J28" s="45">
        <f t="shared" si="2"/>
        <v>0</v>
      </c>
      <c r="K28" s="45" t="e">
        <f t="shared" si="3"/>
        <v>#DIV/0!</v>
      </c>
      <c r="L28" s="47">
        <v>0</v>
      </c>
      <c r="M28" s="47">
        <v>0</v>
      </c>
      <c r="N28" s="47">
        <v>0</v>
      </c>
      <c r="O28" s="47">
        <f t="shared" si="4"/>
        <v>0</v>
      </c>
      <c r="P28" s="47">
        <v>1800</v>
      </c>
      <c r="Q28" s="47">
        <v>0</v>
      </c>
      <c r="R28" s="47">
        <f t="shared" si="5"/>
        <v>1800</v>
      </c>
      <c r="S28" s="47">
        <f t="shared" si="6"/>
        <v>0</v>
      </c>
      <c r="T28" s="47" t="e">
        <f t="shared" si="7"/>
        <v>#DIV/0!</v>
      </c>
      <c r="U28" s="48">
        <v>0</v>
      </c>
      <c r="V28" s="48">
        <v>0</v>
      </c>
      <c r="W28" s="48">
        <v>0</v>
      </c>
      <c r="X28" s="48">
        <f t="shared" si="8"/>
        <v>0</v>
      </c>
      <c r="Y28" s="48">
        <v>910</v>
      </c>
      <c r="Z28" s="48">
        <v>0</v>
      </c>
      <c r="AA28" s="48">
        <f t="shared" si="9"/>
        <v>910</v>
      </c>
      <c r="AB28" s="48">
        <f t="shared" si="10"/>
        <v>0</v>
      </c>
      <c r="AC28" s="48" t="e">
        <f t="shared" si="11"/>
        <v>#DIV/0!</v>
      </c>
      <c r="AD28" s="49">
        <v>0</v>
      </c>
      <c r="AE28" s="49">
        <v>0</v>
      </c>
      <c r="AF28" s="49">
        <v>0</v>
      </c>
      <c r="AG28" s="49">
        <f t="shared" si="12"/>
        <v>0</v>
      </c>
      <c r="AH28" s="49">
        <v>1200</v>
      </c>
      <c r="AI28" s="49">
        <v>0</v>
      </c>
      <c r="AJ28" s="49">
        <f t="shared" si="13"/>
        <v>1200</v>
      </c>
      <c r="AK28" s="49">
        <f t="shared" si="14"/>
        <v>0</v>
      </c>
      <c r="AL28" s="49" t="e">
        <f t="shared" si="15"/>
        <v>#DIV/0!</v>
      </c>
      <c r="AM28" s="50">
        <v>0</v>
      </c>
      <c r="AN28" s="50">
        <v>0</v>
      </c>
      <c r="AO28" s="50">
        <v>0</v>
      </c>
      <c r="AP28" s="50">
        <f t="shared" si="16"/>
        <v>0</v>
      </c>
      <c r="AQ28" s="50">
        <v>600</v>
      </c>
      <c r="AR28" s="50">
        <v>0</v>
      </c>
      <c r="AS28" s="50">
        <f t="shared" si="17"/>
        <v>600</v>
      </c>
      <c r="AT28" s="50">
        <f t="shared" si="18"/>
        <v>0</v>
      </c>
      <c r="AU28" s="50" t="e">
        <f t="shared" si="19"/>
        <v>#DIV/0!</v>
      </c>
      <c r="AV28" s="51">
        <v>0</v>
      </c>
      <c r="AW28" s="51">
        <v>0</v>
      </c>
      <c r="AX28" s="51">
        <v>0</v>
      </c>
      <c r="AY28" s="51">
        <f t="shared" si="20"/>
        <v>0</v>
      </c>
      <c r="AZ28" s="51">
        <v>1500</v>
      </c>
      <c r="BA28" s="51">
        <v>0</v>
      </c>
      <c r="BB28" s="51">
        <f t="shared" si="21"/>
        <v>1500</v>
      </c>
      <c r="BC28" s="51">
        <f t="shared" si="22"/>
        <v>0</v>
      </c>
      <c r="BD28" s="51" t="e">
        <f t="shared" si="23"/>
        <v>#DIV/0!</v>
      </c>
      <c r="BE28" s="52">
        <v>0</v>
      </c>
      <c r="BF28" s="52">
        <v>0</v>
      </c>
      <c r="BG28" s="52">
        <v>0</v>
      </c>
      <c r="BH28" s="52">
        <f t="shared" si="24"/>
        <v>0</v>
      </c>
      <c r="BI28" s="52">
        <v>750</v>
      </c>
      <c r="BJ28" s="52">
        <v>0</v>
      </c>
      <c r="BK28" s="52">
        <f t="shared" si="25"/>
        <v>750</v>
      </c>
      <c r="BL28" s="52">
        <f t="shared" si="26"/>
        <v>0</v>
      </c>
      <c r="BM28" s="52" t="e">
        <f t="shared" si="27"/>
        <v>#DIV/0!</v>
      </c>
      <c r="BN28" s="53">
        <v>0</v>
      </c>
      <c r="BO28" s="53">
        <v>0</v>
      </c>
      <c r="BP28" s="53">
        <v>0</v>
      </c>
      <c r="BQ28" s="53">
        <f t="shared" si="28"/>
        <v>0</v>
      </c>
      <c r="BR28" s="53">
        <v>2450</v>
      </c>
      <c r="BS28" s="53">
        <v>0</v>
      </c>
      <c r="BT28" s="53">
        <f t="shared" si="29"/>
        <v>2450</v>
      </c>
      <c r="BU28" s="53">
        <f t="shared" si="30"/>
        <v>0</v>
      </c>
      <c r="BV28" s="53" t="e">
        <f t="shared" si="31"/>
        <v>#DIV/0!</v>
      </c>
      <c r="BW28" s="54">
        <v>0</v>
      </c>
      <c r="BX28" s="54">
        <v>0</v>
      </c>
      <c r="BY28" s="54">
        <v>0</v>
      </c>
      <c r="BZ28" s="54">
        <f t="shared" si="32"/>
        <v>0</v>
      </c>
      <c r="CA28" s="54">
        <v>750</v>
      </c>
      <c r="CB28" s="54">
        <v>0</v>
      </c>
      <c r="CC28" s="54">
        <f t="shared" si="33"/>
        <v>750</v>
      </c>
      <c r="CD28" s="54">
        <f t="shared" si="34"/>
        <v>0</v>
      </c>
      <c r="CE28" s="54" t="e">
        <f t="shared" si="35"/>
        <v>#DIV/0!</v>
      </c>
      <c r="CF28" s="55">
        <v>0</v>
      </c>
      <c r="CG28" s="55">
        <v>0</v>
      </c>
      <c r="CH28" s="55">
        <v>0</v>
      </c>
      <c r="CI28" s="55">
        <f t="shared" si="36"/>
        <v>0</v>
      </c>
      <c r="CJ28" s="55">
        <v>730</v>
      </c>
      <c r="CK28" s="55">
        <v>0</v>
      </c>
      <c r="CL28" s="55">
        <f t="shared" si="37"/>
        <v>730</v>
      </c>
      <c r="CM28" s="55">
        <f t="shared" si="38"/>
        <v>0</v>
      </c>
      <c r="CN28" s="55" t="e">
        <f t="shared" si="39"/>
        <v>#DIV/0!</v>
      </c>
      <c r="CO28" s="56">
        <v>0</v>
      </c>
      <c r="CP28" s="56">
        <v>0</v>
      </c>
      <c r="CQ28" s="56">
        <v>0</v>
      </c>
      <c r="CR28" s="56">
        <f t="shared" si="40"/>
        <v>0</v>
      </c>
      <c r="CS28" s="56">
        <v>730</v>
      </c>
      <c r="CT28" s="56">
        <v>0</v>
      </c>
      <c r="CU28" s="56">
        <f t="shared" si="41"/>
        <v>730</v>
      </c>
      <c r="CV28" s="56">
        <f t="shared" si="42"/>
        <v>0</v>
      </c>
      <c r="CW28" s="56" t="e">
        <f t="shared" si="43"/>
        <v>#DIV/0!</v>
      </c>
      <c r="CX28" s="57">
        <v>0</v>
      </c>
      <c r="CY28" s="57">
        <v>0</v>
      </c>
      <c r="CZ28" s="57">
        <v>0</v>
      </c>
      <c r="DA28" s="57">
        <f t="shared" si="44"/>
        <v>0</v>
      </c>
      <c r="DB28" s="57">
        <v>600</v>
      </c>
      <c r="DC28" s="57">
        <v>0</v>
      </c>
      <c r="DD28" s="57">
        <f t="shared" si="45"/>
        <v>600</v>
      </c>
      <c r="DE28" s="57">
        <f t="shared" si="46"/>
        <v>0</v>
      </c>
      <c r="DF28" s="57" t="e">
        <f t="shared" si="47"/>
        <v>#DIV/0!</v>
      </c>
    </row>
    <row r="29" spans="1:110" ht="14.25" customHeight="1">
      <c r="A29" s="59"/>
      <c r="B29" s="29"/>
      <c r="C29" s="45">
        <v>0</v>
      </c>
      <c r="D29" s="45">
        <v>0</v>
      </c>
      <c r="E29" s="45">
        <v>0</v>
      </c>
      <c r="F29" s="45">
        <f t="shared" si="0"/>
        <v>0</v>
      </c>
      <c r="G29" s="45">
        <v>900</v>
      </c>
      <c r="H29" s="45">
        <v>0</v>
      </c>
      <c r="I29" s="45">
        <f t="shared" si="1"/>
        <v>900</v>
      </c>
      <c r="J29" s="45">
        <f t="shared" si="2"/>
        <v>0</v>
      </c>
      <c r="K29" s="45" t="e">
        <f t="shared" si="3"/>
        <v>#DIV/0!</v>
      </c>
      <c r="L29" s="47">
        <v>0</v>
      </c>
      <c r="M29" s="47">
        <v>0</v>
      </c>
      <c r="N29" s="47">
        <v>0</v>
      </c>
      <c r="O29" s="47">
        <f t="shared" si="4"/>
        <v>0</v>
      </c>
      <c r="P29" s="47">
        <v>1800</v>
      </c>
      <c r="Q29" s="47">
        <v>0</v>
      </c>
      <c r="R29" s="47">
        <f t="shared" si="5"/>
        <v>1800</v>
      </c>
      <c r="S29" s="47">
        <f t="shared" si="6"/>
        <v>0</v>
      </c>
      <c r="T29" s="47" t="e">
        <f t="shared" si="7"/>
        <v>#DIV/0!</v>
      </c>
      <c r="U29" s="48">
        <v>0</v>
      </c>
      <c r="V29" s="48">
        <v>0</v>
      </c>
      <c r="W29" s="48">
        <v>0</v>
      </c>
      <c r="X29" s="48">
        <f t="shared" si="8"/>
        <v>0</v>
      </c>
      <c r="Y29" s="48">
        <v>910</v>
      </c>
      <c r="Z29" s="48">
        <v>0</v>
      </c>
      <c r="AA29" s="48">
        <f t="shared" si="9"/>
        <v>910</v>
      </c>
      <c r="AB29" s="48">
        <f t="shared" si="10"/>
        <v>0</v>
      </c>
      <c r="AC29" s="48" t="e">
        <f t="shared" si="11"/>
        <v>#DIV/0!</v>
      </c>
      <c r="AD29" s="49">
        <v>0</v>
      </c>
      <c r="AE29" s="49">
        <v>0</v>
      </c>
      <c r="AF29" s="49">
        <v>0</v>
      </c>
      <c r="AG29" s="49">
        <f t="shared" si="12"/>
        <v>0</v>
      </c>
      <c r="AH29" s="49">
        <v>1200</v>
      </c>
      <c r="AI29" s="49">
        <v>0</v>
      </c>
      <c r="AJ29" s="49">
        <f t="shared" si="13"/>
        <v>1200</v>
      </c>
      <c r="AK29" s="49">
        <f t="shared" si="14"/>
        <v>0</v>
      </c>
      <c r="AL29" s="49" t="e">
        <f t="shared" si="15"/>
        <v>#DIV/0!</v>
      </c>
      <c r="AM29" s="50">
        <v>0</v>
      </c>
      <c r="AN29" s="50">
        <v>0</v>
      </c>
      <c r="AO29" s="50">
        <v>0</v>
      </c>
      <c r="AP29" s="50">
        <f t="shared" si="16"/>
        <v>0</v>
      </c>
      <c r="AQ29" s="50">
        <v>600</v>
      </c>
      <c r="AR29" s="50">
        <v>0</v>
      </c>
      <c r="AS29" s="50">
        <f t="shared" si="17"/>
        <v>600</v>
      </c>
      <c r="AT29" s="50">
        <f t="shared" si="18"/>
        <v>0</v>
      </c>
      <c r="AU29" s="50" t="e">
        <f t="shared" si="19"/>
        <v>#DIV/0!</v>
      </c>
      <c r="AV29" s="51">
        <v>0</v>
      </c>
      <c r="AW29" s="51">
        <v>0</v>
      </c>
      <c r="AX29" s="51">
        <v>0</v>
      </c>
      <c r="AY29" s="51">
        <f t="shared" si="20"/>
        <v>0</v>
      </c>
      <c r="AZ29" s="51">
        <v>1500</v>
      </c>
      <c r="BA29" s="51">
        <v>0</v>
      </c>
      <c r="BB29" s="51">
        <f t="shared" si="21"/>
        <v>1500</v>
      </c>
      <c r="BC29" s="51">
        <f t="shared" si="22"/>
        <v>0</v>
      </c>
      <c r="BD29" s="51" t="e">
        <f t="shared" si="23"/>
        <v>#DIV/0!</v>
      </c>
      <c r="BE29" s="52">
        <v>0</v>
      </c>
      <c r="BF29" s="52">
        <v>0</v>
      </c>
      <c r="BG29" s="52">
        <v>0</v>
      </c>
      <c r="BH29" s="52">
        <f t="shared" si="24"/>
        <v>0</v>
      </c>
      <c r="BI29" s="52">
        <v>750</v>
      </c>
      <c r="BJ29" s="52">
        <v>0</v>
      </c>
      <c r="BK29" s="52">
        <f t="shared" si="25"/>
        <v>750</v>
      </c>
      <c r="BL29" s="52">
        <f t="shared" si="26"/>
        <v>0</v>
      </c>
      <c r="BM29" s="52" t="e">
        <f t="shared" si="27"/>
        <v>#DIV/0!</v>
      </c>
      <c r="BN29" s="53">
        <v>0</v>
      </c>
      <c r="BO29" s="53">
        <v>0</v>
      </c>
      <c r="BP29" s="53">
        <v>0</v>
      </c>
      <c r="BQ29" s="53">
        <f t="shared" si="28"/>
        <v>0</v>
      </c>
      <c r="BR29" s="53">
        <v>2450</v>
      </c>
      <c r="BS29" s="53">
        <v>0</v>
      </c>
      <c r="BT29" s="53">
        <f t="shared" si="29"/>
        <v>2450</v>
      </c>
      <c r="BU29" s="53">
        <f t="shared" si="30"/>
        <v>0</v>
      </c>
      <c r="BV29" s="53" t="e">
        <f t="shared" si="31"/>
        <v>#DIV/0!</v>
      </c>
      <c r="BW29" s="54">
        <v>0</v>
      </c>
      <c r="BX29" s="54">
        <v>0</v>
      </c>
      <c r="BY29" s="54">
        <v>0</v>
      </c>
      <c r="BZ29" s="54">
        <f t="shared" si="32"/>
        <v>0</v>
      </c>
      <c r="CA29" s="54">
        <v>750</v>
      </c>
      <c r="CB29" s="54">
        <v>0</v>
      </c>
      <c r="CC29" s="54">
        <f t="shared" si="33"/>
        <v>750</v>
      </c>
      <c r="CD29" s="54">
        <f t="shared" si="34"/>
        <v>0</v>
      </c>
      <c r="CE29" s="54" t="e">
        <f t="shared" si="35"/>
        <v>#DIV/0!</v>
      </c>
      <c r="CF29" s="55">
        <v>0</v>
      </c>
      <c r="CG29" s="55">
        <v>0</v>
      </c>
      <c r="CH29" s="55">
        <v>0</v>
      </c>
      <c r="CI29" s="55">
        <f t="shared" si="36"/>
        <v>0</v>
      </c>
      <c r="CJ29" s="55">
        <v>730</v>
      </c>
      <c r="CK29" s="55">
        <v>0</v>
      </c>
      <c r="CL29" s="55">
        <f t="shared" si="37"/>
        <v>730</v>
      </c>
      <c r="CM29" s="55">
        <f t="shared" si="38"/>
        <v>0</v>
      </c>
      <c r="CN29" s="55" t="e">
        <f t="shared" si="39"/>
        <v>#DIV/0!</v>
      </c>
      <c r="CO29" s="56">
        <v>0</v>
      </c>
      <c r="CP29" s="56">
        <v>0</v>
      </c>
      <c r="CQ29" s="56">
        <v>0</v>
      </c>
      <c r="CR29" s="56">
        <f t="shared" si="40"/>
        <v>0</v>
      </c>
      <c r="CS29" s="56">
        <v>730</v>
      </c>
      <c r="CT29" s="56">
        <v>0</v>
      </c>
      <c r="CU29" s="56">
        <f t="shared" si="41"/>
        <v>730</v>
      </c>
      <c r="CV29" s="56">
        <f t="shared" si="42"/>
        <v>0</v>
      </c>
      <c r="CW29" s="56" t="e">
        <f t="shared" si="43"/>
        <v>#DIV/0!</v>
      </c>
      <c r="CX29" s="57">
        <v>0</v>
      </c>
      <c r="CY29" s="57">
        <v>0</v>
      </c>
      <c r="CZ29" s="57">
        <v>0</v>
      </c>
      <c r="DA29" s="57">
        <f t="shared" si="44"/>
        <v>0</v>
      </c>
      <c r="DB29" s="57">
        <v>600</v>
      </c>
      <c r="DC29" s="57">
        <v>0</v>
      </c>
      <c r="DD29" s="57">
        <f t="shared" si="45"/>
        <v>600</v>
      </c>
      <c r="DE29" s="57">
        <f t="shared" si="46"/>
        <v>0</v>
      </c>
      <c r="DF29" s="57" t="e">
        <f t="shared" si="47"/>
        <v>#DIV/0!</v>
      </c>
    </row>
    <row r="30" spans="1:110" ht="14.25" customHeight="1">
      <c r="A30" s="59"/>
      <c r="B30" s="29"/>
      <c r="C30" s="45">
        <v>0</v>
      </c>
      <c r="D30" s="45">
        <v>0</v>
      </c>
      <c r="E30" s="45">
        <v>0</v>
      </c>
      <c r="F30" s="45">
        <f t="shared" si="0"/>
        <v>0</v>
      </c>
      <c r="G30" s="45">
        <v>900</v>
      </c>
      <c r="H30" s="45">
        <v>0</v>
      </c>
      <c r="I30" s="45">
        <f t="shared" si="1"/>
        <v>900</v>
      </c>
      <c r="J30" s="45">
        <f t="shared" si="2"/>
        <v>0</v>
      </c>
      <c r="K30" s="45" t="e">
        <f t="shared" si="3"/>
        <v>#DIV/0!</v>
      </c>
      <c r="L30" s="47">
        <v>0</v>
      </c>
      <c r="M30" s="47">
        <v>231</v>
      </c>
      <c r="N30" s="47">
        <f>231-185</f>
        <v>46</v>
      </c>
      <c r="O30" s="47">
        <f t="shared" si="4"/>
        <v>185</v>
      </c>
      <c r="P30" s="47">
        <v>1800</v>
      </c>
      <c r="Q30" s="47">
        <v>250</v>
      </c>
      <c r="R30" s="47">
        <f t="shared" si="5"/>
        <v>1550</v>
      </c>
      <c r="S30" s="47">
        <f t="shared" si="6"/>
        <v>286750</v>
      </c>
      <c r="T30" s="47">
        <f t="shared" si="7"/>
        <v>19.913419913419915</v>
      </c>
      <c r="U30" s="48">
        <v>0</v>
      </c>
      <c r="V30" s="48">
        <v>24</v>
      </c>
      <c r="W30" s="48">
        <v>0</v>
      </c>
      <c r="X30" s="48">
        <f t="shared" si="8"/>
        <v>24</v>
      </c>
      <c r="Y30" s="48">
        <v>910</v>
      </c>
      <c r="Z30" s="48">
        <v>135</v>
      </c>
      <c r="AA30" s="48">
        <f t="shared" si="9"/>
        <v>775</v>
      </c>
      <c r="AB30" s="48">
        <f t="shared" si="10"/>
        <v>18600</v>
      </c>
      <c r="AC30" s="48">
        <f t="shared" si="11"/>
        <v>0</v>
      </c>
      <c r="AD30" s="49">
        <v>0</v>
      </c>
      <c r="AE30" s="49">
        <v>45</v>
      </c>
      <c r="AF30" s="49">
        <v>0</v>
      </c>
      <c r="AG30" s="49">
        <f t="shared" si="12"/>
        <v>45</v>
      </c>
      <c r="AH30" s="49">
        <v>1200</v>
      </c>
      <c r="AI30" s="49">
        <v>0</v>
      </c>
      <c r="AJ30" s="49">
        <f t="shared" si="13"/>
        <v>1200</v>
      </c>
      <c r="AK30" s="49">
        <f t="shared" si="14"/>
        <v>54000</v>
      </c>
      <c r="AL30" s="49">
        <f t="shared" si="15"/>
        <v>0</v>
      </c>
      <c r="AM30" s="50">
        <v>0</v>
      </c>
      <c r="AN30" s="50">
        <v>0</v>
      </c>
      <c r="AO30" s="50">
        <v>0</v>
      </c>
      <c r="AP30" s="50">
        <f t="shared" si="16"/>
        <v>0</v>
      </c>
      <c r="AQ30" s="50">
        <v>600</v>
      </c>
      <c r="AR30" s="50">
        <v>0</v>
      </c>
      <c r="AS30" s="50">
        <f t="shared" si="17"/>
        <v>600</v>
      </c>
      <c r="AT30" s="50">
        <f t="shared" si="18"/>
        <v>0</v>
      </c>
      <c r="AU30" s="50" t="e">
        <f t="shared" si="19"/>
        <v>#DIV/0!</v>
      </c>
      <c r="AV30" s="51">
        <v>0</v>
      </c>
      <c r="AW30" s="51">
        <v>45</v>
      </c>
      <c r="AX30" s="51">
        <v>0</v>
      </c>
      <c r="AY30" s="51">
        <f t="shared" si="20"/>
        <v>45</v>
      </c>
      <c r="AZ30" s="51">
        <v>1500</v>
      </c>
      <c r="BA30" s="51">
        <v>400</v>
      </c>
      <c r="BB30" s="51">
        <f t="shared" si="21"/>
        <v>1100</v>
      </c>
      <c r="BC30" s="51">
        <f t="shared" si="22"/>
        <v>49500</v>
      </c>
      <c r="BD30" s="51">
        <f t="shared" si="23"/>
        <v>0</v>
      </c>
      <c r="BE30" s="52">
        <v>0</v>
      </c>
      <c r="BF30" s="52">
        <v>864</v>
      </c>
      <c r="BG30" s="52">
        <v>95</v>
      </c>
      <c r="BH30" s="52">
        <f t="shared" si="24"/>
        <v>769</v>
      </c>
      <c r="BI30" s="52">
        <v>750</v>
      </c>
      <c r="BJ30" s="52">
        <v>200</v>
      </c>
      <c r="BK30" s="52">
        <f t="shared" si="25"/>
        <v>550</v>
      </c>
      <c r="BL30" s="52">
        <f t="shared" si="26"/>
        <v>422950</v>
      </c>
      <c r="BM30" s="52">
        <f t="shared" si="27"/>
        <v>10.99537037037037</v>
      </c>
      <c r="BN30" s="53">
        <v>0</v>
      </c>
      <c r="BO30" s="53">
        <v>760</v>
      </c>
      <c r="BP30" s="53">
        <f>760-598</f>
        <v>162</v>
      </c>
      <c r="BQ30" s="53">
        <f t="shared" si="28"/>
        <v>598</v>
      </c>
      <c r="BR30" s="53">
        <v>2450</v>
      </c>
      <c r="BS30" s="53">
        <v>550</v>
      </c>
      <c r="BT30" s="53">
        <f t="shared" si="29"/>
        <v>1900</v>
      </c>
      <c r="BU30" s="53">
        <f t="shared" si="30"/>
        <v>1136200</v>
      </c>
      <c r="BV30" s="53">
        <f t="shared" si="31"/>
        <v>21.315789473684209</v>
      </c>
      <c r="BW30" s="54">
        <v>0</v>
      </c>
      <c r="BX30" s="54">
        <v>100</v>
      </c>
      <c r="BY30" s="54">
        <v>95</v>
      </c>
      <c r="BZ30" s="54">
        <f t="shared" si="32"/>
        <v>5</v>
      </c>
      <c r="CA30" s="54">
        <v>750</v>
      </c>
      <c r="CB30" s="54">
        <v>180</v>
      </c>
      <c r="CC30" s="54">
        <f t="shared" si="33"/>
        <v>570</v>
      </c>
      <c r="CD30" s="54">
        <f t="shared" si="34"/>
        <v>2850</v>
      </c>
      <c r="CE30" s="54">
        <f t="shared" si="35"/>
        <v>95</v>
      </c>
      <c r="CF30" s="55">
        <v>0</v>
      </c>
      <c r="CG30" s="55">
        <v>360</v>
      </c>
      <c r="CH30" s="55">
        <f>360-210</f>
        <v>150</v>
      </c>
      <c r="CI30" s="55">
        <f t="shared" si="36"/>
        <v>210</v>
      </c>
      <c r="CJ30" s="55">
        <v>730</v>
      </c>
      <c r="CK30" s="55">
        <v>160</v>
      </c>
      <c r="CL30" s="55">
        <f t="shared" si="37"/>
        <v>570</v>
      </c>
      <c r="CM30" s="55">
        <f t="shared" si="38"/>
        <v>119700</v>
      </c>
      <c r="CN30" s="55">
        <f t="shared" si="39"/>
        <v>41.666666666666671</v>
      </c>
      <c r="CO30" s="56">
        <v>0</v>
      </c>
      <c r="CP30" s="56">
        <v>0</v>
      </c>
      <c r="CQ30" s="56">
        <v>0</v>
      </c>
      <c r="CR30" s="56">
        <f t="shared" si="40"/>
        <v>0</v>
      </c>
      <c r="CS30" s="56">
        <v>730</v>
      </c>
      <c r="CT30" s="56">
        <v>0</v>
      </c>
      <c r="CU30" s="56">
        <f t="shared" si="41"/>
        <v>730</v>
      </c>
      <c r="CV30" s="56">
        <f t="shared" si="42"/>
        <v>0</v>
      </c>
      <c r="CW30" s="56" t="e">
        <f t="shared" si="43"/>
        <v>#DIV/0!</v>
      </c>
      <c r="CX30" s="57">
        <v>0</v>
      </c>
      <c r="CY30" s="57">
        <v>520</v>
      </c>
      <c r="CZ30" s="57">
        <f>520-434</f>
        <v>86</v>
      </c>
      <c r="DA30" s="57">
        <f t="shared" si="44"/>
        <v>434</v>
      </c>
      <c r="DB30" s="57">
        <v>600</v>
      </c>
      <c r="DC30" s="57">
        <v>50</v>
      </c>
      <c r="DD30" s="57">
        <f t="shared" si="45"/>
        <v>550</v>
      </c>
      <c r="DE30" s="57">
        <f t="shared" si="46"/>
        <v>238700</v>
      </c>
      <c r="DF30" s="57">
        <f t="shared" si="47"/>
        <v>16.538461538461537</v>
      </c>
    </row>
    <row r="31" spans="1:110" ht="14.25" customHeight="1">
      <c r="A31" s="59"/>
      <c r="B31" s="29"/>
      <c r="C31" s="45">
        <v>0</v>
      </c>
      <c r="D31" s="45">
        <v>0</v>
      </c>
      <c r="E31" s="45">
        <v>0</v>
      </c>
      <c r="F31" s="45">
        <f t="shared" si="0"/>
        <v>0</v>
      </c>
      <c r="G31" s="45">
        <v>900</v>
      </c>
      <c r="H31" s="45">
        <v>0</v>
      </c>
      <c r="I31" s="45">
        <f t="shared" si="1"/>
        <v>900</v>
      </c>
      <c r="J31" s="45">
        <f t="shared" si="2"/>
        <v>0</v>
      </c>
      <c r="K31" s="45" t="e">
        <f t="shared" si="3"/>
        <v>#DIV/0!</v>
      </c>
      <c r="L31" s="47">
        <v>0</v>
      </c>
      <c r="M31" s="47">
        <v>0</v>
      </c>
      <c r="N31" s="47">
        <v>0</v>
      </c>
      <c r="O31" s="47">
        <f t="shared" si="4"/>
        <v>0</v>
      </c>
      <c r="P31" s="47">
        <v>1800</v>
      </c>
      <c r="Q31" s="47">
        <v>0</v>
      </c>
      <c r="R31" s="47">
        <f t="shared" si="5"/>
        <v>1800</v>
      </c>
      <c r="S31" s="47">
        <f t="shared" si="6"/>
        <v>0</v>
      </c>
      <c r="T31" s="47" t="e">
        <f t="shared" si="7"/>
        <v>#DIV/0!</v>
      </c>
      <c r="U31" s="48">
        <v>0</v>
      </c>
      <c r="V31" s="48">
        <v>0</v>
      </c>
      <c r="W31" s="48">
        <v>0</v>
      </c>
      <c r="X31" s="48">
        <f t="shared" si="8"/>
        <v>0</v>
      </c>
      <c r="Y31" s="48">
        <v>910</v>
      </c>
      <c r="Z31" s="48">
        <v>0</v>
      </c>
      <c r="AA31" s="48">
        <f t="shared" si="9"/>
        <v>910</v>
      </c>
      <c r="AB31" s="48">
        <f t="shared" si="10"/>
        <v>0</v>
      </c>
      <c r="AC31" s="48" t="e">
        <f t="shared" si="11"/>
        <v>#DIV/0!</v>
      </c>
      <c r="AD31" s="49">
        <v>0</v>
      </c>
      <c r="AE31" s="49">
        <v>0</v>
      </c>
      <c r="AF31" s="49">
        <v>0</v>
      </c>
      <c r="AG31" s="49">
        <f t="shared" si="12"/>
        <v>0</v>
      </c>
      <c r="AH31" s="49">
        <v>1200</v>
      </c>
      <c r="AI31" s="49">
        <v>0</v>
      </c>
      <c r="AJ31" s="49">
        <f t="shared" si="13"/>
        <v>1200</v>
      </c>
      <c r="AK31" s="49">
        <f t="shared" si="14"/>
        <v>0</v>
      </c>
      <c r="AL31" s="49" t="e">
        <f t="shared" si="15"/>
        <v>#DIV/0!</v>
      </c>
      <c r="AM31" s="50">
        <v>0</v>
      </c>
      <c r="AN31" s="50">
        <v>30</v>
      </c>
      <c r="AO31" s="50">
        <v>0</v>
      </c>
      <c r="AP31" s="50">
        <f t="shared" si="16"/>
        <v>30</v>
      </c>
      <c r="AQ31" s="50">
        <v>600</v>
      </c>
      <c r="AR31" s="50">
        <v>50</v>
      </c>
      <c r="AS31" s="50">
        <f t="shared" si="17"/>
        <v>550</v>
      </c>
      <c r="AT31" s="50">
        <f t="shared" si="18"/>
        <v>16500</v>
      </c>
      <c r="AU31" s="50">
        <f t="shared" si="19"/>
        <v>0</v>
      </c>
      <c r="AV31" s="51">
        <v>0</v>
      </c>
      <c r="AW31" s="51">
        <v>0</v>
      </c>
      <c r="AX31" s="51">
        <v>0</v>
      </c>
      <c r="AY31" s="51">
        <f t="shared" si="20"/>
        <v>0</v>
      </c>
      <c r="AZ31" s="51">
        <v>1500</v>
      </c>
      <c r="BA31" s="51">
        <v>0</v>
      </c>
      <c r="BB31" s="51">
        <f t="shared" si="21"/>
        <v>1500</v>
      </c>
      <c r="BC31" s="51">
        <f t="shared" si="22"/>
        <v>0</v>
      </c>
      <c r="BD31" s="51" t="e">
        <f t="shared" si="23"/>
        <v>#DIV/0!</v>
      </c>
      <c r="BE31" s="52">
        <v>0</v>
      </c>
      <c r="BF31" s="52">
        <v>0</v>
      </c>
      <c r="BG31" s="52">
        <v>0</v>
      </c>
      <c r="BH31" s="52">
        <f t="shared" si="24"/>
        <v>0</v>
      </c>
      <c r="BI31" s="52">
        <v>750</v>
      </c>
      <c r="BJ31" s="52">
        <v>0</v>
      </c>
      <c r="BK31" s="52">
        <f t="shared" si="25"/>
        <v>750</v>
      </c>
      <c r="BL31" s="52">
        <f t="shared" si="26"/>
        <v>0</v>
      </c>
      <c r="BM31" s="52" t="e">
        <f t="shared" si="27"/>
        <v>#DIV/0!</v>
      </c>
      <c r="BN31" s="53">
        <v>0</v>
      </c>
      <c r="BO31" s="53">
        <v>20</v>
      </c>
      <c r="BP31" s="53">
        <v>6</v>
      </c>
      <c r="BQ31" s="53">
        <f t="shared" si="28"/>
        <v>14</v>
      </c>
      <c r="BR31" s="53">
        <v>2450</v>
      </c>
      <c r="BS31" s="53">
        <v>350</v>
      </c>
      <c r="BT31" s="53">
        <f t="shared" si="29"/>
        <v>2100</v>
      </c>
      <c r="BU31" s="53">
        <f t="shared" si="30"/>
        <v>29400</v>
      </c>
      <c r="BV31" s="53">
        <f t="shared" si="31"/>
        <v>30</v>
      </c>
      <c r="BW31" s="54">
        <v>0</v>
      </c>
      <c r="BX31" s="54">
        <v>0</v>
      </c>
      <c r="BY31" s="54">
        <v>0</v>
      </c>
      <c r="BZ31" s="54">
        <f t="shared" si="32"/>
        <v>0</v>
      </c>
      <c r="CA31" s="54">
        <v>750</v>
      </c>
      <c r="CB31" s="54">
        <v>0</v>
      </c>
      <c r="CC31" s="54">
        <f t="shared" si="33"/>
        <v>750</v>
      </c>
      <c r="CD31" s="54">
        <f t="shared" si="34"/>
        <v>0</v>
      </c>
      <c r="CE31" s="54" t="e">
        <f t="shared" si="35"/>
        <v>#DIV/0!</v>
      </c>
      <c r="CF31" s="55">
        <v>0</v>
      </c>
      <c r="CG31" s="55">
        <v>0</v>
      </c>
      <c r="CH31" s="55">
        <v>0</v>
      </c>
      <c r="CI31" s="55">
        <f t="shared" si="36"/>
        <v>0</v>
      </c>
      <c r="CJ31" s="55">
        <v>730</v>
      </c>
      <c r="CK31" s="55">
        <v>0</v>
      </c>
      <c r="CL31" s="55">
        <f t="shared" si="37"/>
        <v>730</v>
      </c>
      <c r="CM31" s="55">
        <f t="shared" si="38"/>
        <v>0</v>
      </c>
      <c r="CN31" s="55" t="e">
        <f t="shared" si="39"/>
        <v>#DIV/0!</v>
      </c>
      <c r="CO31" s="56">
        <v>0</v>
      </c>
      <c r="CP31" s="56">
        <v>0</v>
      </c>
      <c r="CQ31" s="56">
        <v>0</v>
      </c>
      <c r="CR31" s="56">
        <f t="shared" si="40"/>
        <v>0</v>
      </c>
      <c r="CS31" s="56">
        <v>730</v>
      </c>
      <c r="CT31" s="56">
        <v>0</v>
      </c>
      <c r="CU31" s="56">
        <f t="shared" si="41"/>
        <v>730</v>
      </c>
      <c r="CV31" s="56">
        <f t="shared" si="42"/>
        <v>0</v>
      </c>
      <c r="CW31" s="56" t="e">
        <f t="shared" si="43"/>
        <v>#DIV/0!</v>
      </c>
      <c r="CX31" s="57">
        <v>0</v>
      </c>
      <c r="CY31" s="57">
        <v>0</v>
      </c>
      <c r="CZ31" s="57">
        <v>0</v>
      </c>
      <c r="DA31" s="57">
        <f t="shared" si="44"/>
        <v>0</v>
      </c>
      <c r="DB31" s="57">
        <v>600</v>
      </c>
      <c r="DC31" s="57">
        <v>0</v>
      </c>
      <c r="DD31" s="57">
        <f t="shared" si="45"/>
        <v>600</v>
      </c>
      <c r="DE31" s="57">
        <f t="shared" si="46"/>
        <v>0</v>
      </c>
      <c r="DF31" s="57" t="e">
        <f t="shared" si="47"/>
        <v>#DIV/0!</v>
      </c>
    </row>
    <row r="32" spans="1:110" ht="14.25" customHeight="1">
      <c r="A32" s="59"/>
      <c r="B32" s="29"/>
      <c r="C32" s="45">
        <v>0</v>
      </c>
      <c r="D32" s="45">
        <v>0</v>
      </c>
      <c r="E32" s="45">
        <v>0</v>
      </c>
      <c r="F32" s="45">
        <f t="shared" si="0"/>
        <v>0</v>
      </c>
      <c r="G32" s="45">
        <v>900</v>
      </c>
      <c r="H32" s="45">
        <v>0</v>
      </c>
      <c r="I32" s="45">
        <f t="shared" si="1"/>
        <v>900</v>
      </c>
      <c r="J32" s="45">
        <f t="shared" si="2"/>
        <v>0</v>
      </c>
      <c r="K32" s="45" t="e">
        <f t="shared" si="3"/>
        <v>#DIV/0!</v>
      </c>
      <c r="L32" s="47">
        <v>0</v>
      </c>
      <c r="M32" s="47">
        <v>30</v>
      </c>
      <c r="N32" s="47">
        <v>0</v>
      </c>
      <c r="O32" s="47">
        <f t="shared" si="4"/>
        <v>30</v>
      </c>
      <c r="P32" s="47">
        <v>1800</v>
      </c>
      <c r="Q32" s="47">
        <v>0</v>
      </c>
      <c r="R32" s="47">
        <f t="shared" si="5"/>
        <v>1800</v>
      </c>
      <c r="S32" s="47">
        <f t="shared" si="6"/>
        <v>54000</v>
      </c>
      <c r="T32" s="47">
        <f t="shared" si="7"/>
        <v>0</v>
      </c>
      <c r="U32" s="48">
        <v>0</v>
      </c>
      <c r="V32" s="48">
        <v>0</v>
      </c>
      <c r="W32" s="48">
        <v>0</v>
      </c>
      <c r="X32" s="48">
        <f t="shared" si="8"/>
        <v>0</v>
      </c>
      <c r="Y32" s="48">
        <v>910</v>
      </c>
      <c r="Z32" s="48">
        <v>0</v>
      </c>
      <c r="AA32" s="48">
        <f t="shared" si="9"/>
        <v>910</v>
      </c>
      <c r="AB32" s="48">
        <f t="shared" si="10"/>
        <v>0</v>
      </c>
      <c r="AC32" s="48" t="e">
        <f t="shared" si="11"/>
        <v>#DIV/0!</v>
      </c>
      <c r="AD32" s="49">
        <v>0</v>
      </c>
      <c r="AE32" s="49">
        <v>0</v>
      </c>
      <c r="AF32" s="49">
        <v>0</v>
      </c>
      <c r="AG32" s="49">
        <f t="shared" si="12"/>
        <v>0</v>
      </c>
      <c r="AH32" s="49">
        <v>1200</v>
      </c>
      <c r="AI32" s="49">
        <v>0</v>
      </c>
      <c r="AJ32" s="49">
        <f t="shared" si="13"/>
        <v>1200</v>
      </c>
      <c r="AK32" s="49">
        <f t="shared" si="14"/>
        <v>0</v>
      </c>
      <c r="AL32" s="49" t="e">
        <f t="shared" si="15"/>
        <v>#DIV/0!</v>
      </c>
      <c r="AM32" s="50">
        <v>0</v>
      </c>
      <c r="AN32" s="50">
        <v>60</v>
      </c>
      <c r="AO32" s="50">
        <v>1</v>
      </c>
      <c r="AP32" s="50">
        <f t="shared" si="16"/>
        <v>59</v>
      </c>
      <c r="AQ32" s="50">
        <v>600</v>
      </c>
      <c r="AR32" s="50">
        <v>50</v>
      </c>
      <c r="AS32" s="50">
        <f t="shared" si="17"/>
        <v>550</v>
      </c>
      <c r="AT32" s="50">
        <f t="shared" si="18"/>
        <v>32450</v>
      </c>
      <c r="AU32" s="50">
        <f t="shared" si="19"/>
        <v>1.6666666666666667</v>
      </c>
      <c r="AV32" s="51">
        <v>0</v>
      </c>
      <c r="AW32" s="51">
        <v>0</v>
      </c>
      <c r="AX32" s="51">
        <v>0</v>
      </c>
      <c r="AY32" s="51">
        <f t="shared" si="20"/>
        <v>0</v>
      </c>
      <c r="AZ32" s="51">
        <v>1500</v>
      </c>
      <c r="BA32" s="51">
        <v>0</v>
      </c>
      <c r="BB32" s="51">
        <f t="shared" si="21"/>
        <v>1500</v>
      </c>
      <c r="BC32" s="51">
        <f t="shared" si="22"/>
        <v>0</v>
      </c>
      <c r="BD32" s="51" t="e">
        <f t="shared" si="23"/>
        <v>#DIV/0!</v>
      </c>
      <c r="BE32" s="52">
        <v>0</v>
      </c>
      <c r="BF32" s="52">
        <v>60</v>
      </c>
      <c r="BG32" s="52">
        <v>0</v>
      </c>
      <c r="BH32" s="52">
        <f t="shared" si="24"/>
        <v>60</v>
      </c>
      <c r="BI32" s="52">
        <v>750</v>
      </c>
      <c r="BJ32" s="52">
        <v>0</v>
      </c>
      <c r="BK32" s="52">
        <f t="shared" si="25"/>
        <v>750</v>
      </c>
      <c r="BL32" s="52">
        <f t="shared" si="26"/>
        <v>45000</v>
      </c>
      <c r="BM32" s="52">
        <f t="shared" si="27"/>
        <v>0</v>
      </c>
      <c r="BN32" s="53">
        <v>0</v>
      </c>
      <c r="BO32" s="53">
        <v>100</v>
      </c>
      <c r="BP32" s="53">
        <v>0</v>
      </c>
      <c r="BQ32" s="53">
        <f t="shared" si="28"/>
        <v>100</v>
      </c>
      <c r="BR32" s="53">
        <v>2450</v>
      </c>
      <c r="BS32" s="53">
        <v>350</v>
      </c>
      <c r="BT32" s="53">
        <f t="shared" si="29"/>
        <v>2100</v>
      </c>
      <c r="BU32" s="53">
        <f t="shared" si="30"/>
        <v>210000</v>
      </c>
      <c r="BV32" s="53">
        <f t="shared" si="31"/>
        <v>0</v>
      </c>
      <c r="BW32" s="54">
        <v>0</v>
      </c>
      <c r="BX32" s="54">
        <v>40</v>
      </c>
      <c r="BY32" s="54">
        <v>0</v>
      </c>
      <c r="BZ32" s="54">
        <f t="shared" si="32"/>
        <v>40</v>
      </c>
      <c r="CA32" s="54">
        <v>750</v>
      </c>
      <c r="CB32" s="54">
        <v>90</v>
      </c>
      <c r="CC32" s="54">
        <f t="shared" si="33"/>
        <v>660</v>
      </c>
      <c r="CD32" s="54">
        <f t="shared" si="34"/>
        <v>26400</v>
      </c>
      <c r="CE32" s="54">
        <f t="shared" si="35"/>
        <v>0</v>
      </c>
      <c r="CF32" s="55">
        <v>0</v>
      </c>
      <c r="CG32" s="55">
        <v>0</v>
      </c>
      <c r="CH32" s="55">
        <v>0</v>
      </c>
      <c r="CI32" s="55">
        <f t="shared" si="36"/>
        <v>0</v>
      </c>
      <c r="CJ32" s="55">
        <v>730</v>
      </c>
      <c r="CK32" s="55">
        <v>0</v>
      </c>
      <c r="CL32" s="55">
        <f t="shared" si="37"/>
        <v>730</v>
      </c>
      <c r="CM32" s="55">
        <f t="shared" si="38"/>
        <v>0</v>
      </c>
      <c r="CN32" s="55" t="e">
        <f t="shared" si="39"/>
        <v>#DIV/0!</v>
      </c>
      <c r="CO32" s="56">
        <v>0</v>
      </c>
      <c r="CP32" s="56">
        <v>0</v>
      </c>
      <c r="CQ32" s="56">
        <v>0</v>
      </c>
      <c r="CR32" s="56">
        <f t="shared" si="40"/>
        <v>0</v>
      </c>
      <c r="CS32" s="56">
        <v>730</v>
      </c>
      <c r="CT32" s="56">
        <v>0</v>
      </c>
      <c r="CU32" s="56">
        <f t="shared" si="41"/>
        <v>730</v>
      </c>
      <c r="CV32" s="56">
        <f t="shared" si="42"/>
        <v>0</v>
      </c>
      <c r="CW32" s="56" t="e">
        <f t="shared" si="43"/>
        <v>#DIV/0!</v>
      </c>
      <c r="CX32" s="57">
        <v>0</v>
      </c>
      <c r="CY32" s="57">
        <v>0</v>
      </c>
      <c r="CZ32" s="57">
        <v>0</v>
      </c>
      <c r="DA32" s="57">
        <f t="shared" si="44"/>
        <v>0</v>
      </c>
      <c r="DB32" s="57">
        <v>600</v>
      </c>
      <c r="DC32" s="57">
        <v>0</v>
      </c>
      <c r="DD32" s="57">
        <f t="shared" si="45"/>
        <v>600</v>
      </c>
      <c r="DE32" s="57">
        <f t="shared" si="46"/>
        <v>0</v>
      </c>
      <c r="DF32" s="57" t="e">
        <f t="shared" si="47"/>
        <v>#DIV/0!</v>
      </c>
    </row>
    <row r="33" spans="1:110" ht="14.25" customHeight="1">
      <c r="A33" s="59"/>
      <c r="B33" s="29"/>
      <c r="C33" s="45">
        <v>0</v>
      </c>
      <c r="D33" s="45">
        <v>6</v>
      </c>
      <c r="E33" s="45">
        <v>0</v>
      </c>
      <c r="F33" s="45">
        <f t="shared" si="0"/>
        <v>6</v>
      </c>
      <c r="G33" s="45">
        <v>900</v>
      </c>
      <c r="H33" s="45">
        <v>100</v>
      </c>
      <c r="I33" s="45">
        <f t="shared" si="1"/>
        <v>800</v>
      </c>
      <c r="J33" s="45">
        <f t="shared" si="2"/>
        <v>4800</v>
      </c>
      <c r="K33" s="45">
        <f t="shared" si="3"/>
        <v>0</v>
      </c>
      <c r="L33" s="47">
        <v>0</v>
      </c>
      <c r="M33" s="47">
        <v>96</v>
      </c>
      <c r="N33" s="47">
        <v>2</v>
      </c>
      <c r="O33" s="47">
        <f t="shared" si="4"/>
        <v>94</v>
      </c>
      <c r="P33" s="47">
        <v>1800</v>
      </c>
      <c r="Q33" s="47">
        <v>200</v>
      </c>
      <c r="R33" s="47">
        <f t="shared" si="5"/>
        <v>1600</v>
      </c>
      <c r="S33" s="47">
        <f t="shared" si="6"/>
        <v>150400</v>
      </c>
      <c r="T33" s="47">
        <f t="shared" si="7"/>
        <v>2.083333333333333</v>
      </c>
      <c r="U33" s="48">
        <v>0</v>
      </c>
      <c r="V33" s="48">
        <v>0</v>
      </c>
      <c r="W33" s="48">
        <v>0</v>
      </c>
      <c r="X33" s="48">
        <f t="shared" si="8"/>
        <v>0</v>
      </c>
      <c r="Y33" s="48">
        <v>910</v>
      </c>
      <c r="Z33" s="48">
        <v>0</v>
      </c>
      <c r="AA33" s="48">
        <f t="shared" si="9"/>
        <v>910</v>
      </c>
      <c r="AB33" s="48">
        <f t="shared" si="10"/>
        <v>0</v>
      </c>
      <c r="AC33" s="48" t="e">
        <f t="shared" si="11"/>
        <v>#DIV/0!</v>
      </c>
      <c r="AD33" s="49">
        <v>0</v>
      </c>
      <c r="AE33" s="49">
        <v>0</v>
      </c>
      <c r="AF33" s="49">
        <v>0</v>
      </c>
      <c r="AG33" s="49">
        <f t="shared" si="12"/>
        <v>0</v>
      </c>
      <c r="AH33" s="49">
        <v>1200</v>
      </c>
      <c r="AI33" s="49">
        <v>0</v>
      </c>
      <c r="AJ33" s="49">
        <f t="shared" si="13"/>
        <v>1200</v>
      </c>
      <c r="AK33" s="49">
        <f t="shared" si="14"/>
        <v>0</v>
      </c>
      <c r="AL33" s="49" t="e">
        <f t="shared" si="15"/>
        <v>#DIV/0!</v>
      </c>
      <c r="AM33" s="50">
        <v>0</v>
      </c>
      <c r="AN33" s="50">
        <v>0</v>
      </c>
      <c r="AO33" s="50">
        <v>0</v>
      </c>
      <c r="AP33" s="50">
        <f t="shared" si="16"/>
        <v>0</v>
      </c>
      <c r="AQ33" s="50">
        <v>600</v>
      </c>
      <c r="AR33" s="50">
        <v>0</v>
      </c>
      <c r="AS33" s="50">
        <f t="shared" si="17"/>
        <v>600</v>
      </c>
      <c r="AT33" s="50">
        <f t="shared" si="18"/>
        <v>0</v>
      </c>
      <c r="AU33" s="50" t="e">
        <f t="shared" si="19"/>
        <v>#DIV/0!</v>
      </c>
      <c r="AV33" s="51">
        <v>0</v>
      </c>
      <c r="AW33" s="51">
        <v>75</v>
      </c>
      <c r="AX33" s="51">
        <v>36</v>
      </c>
      <c r="AY33" s="51">
        <f t="shared" si="20"/>
        <v>39</v>
      </c>
      <c r="AZ33" s="51">
        <v>1500</v>
      </c>
      <c r="BA33" s="51">
        <v>200</v>
      </c>
      <c r="BB33" s="51">
        <f t="shared" si="21"/>
        <v>1300</v>
      </c>
      <c r="BC33" s="51">
        <f t="shared" si="22"/>
        <v>50700</v>
      </c>
      <c r="BD33" s="51">
        <f t="shared" si="23"/>
        <v>48</v>
      </c>
      <c r="BE33" s="52">
        <v>0</v>
      </c>
      <c r="BF33" s="52">
        <v>390</v>
      </c>
      <c r="BG33" s="52">
        <f>390-265</f>
        <v>125</v>
      </c>
      <c r="BH33" s="52">
        <f t="shared" si="24"/>
        <v>265</v>
      </c>
      <c r="BI33" s="52">
        <v>750</v>
      </c>
      <c r="BJ33" s="52">
        <v>100</v>
      </c>
      <c r="BK33" s="52">
        <f t="shared" si="25"/>
        <v>650</v>
      </c>
      <c r="BL33" s="52">
        <f t="shared" si="26"/>
        <v>172250</v>
      </c>
      <c r="BM33" s="52">
        <f t="shared" si="27"/>
        <v>32.051282051282051</v>
      </c>
      <c r="BN33" s="53">
        <v>0</v>
      </c>
      <c r="BO33" s="53">
        <v>724</v>
      </c>
      <c r="BP33" s="53">
        <f>724-624</f>
        <v>100</v>
      </c>
      <c r="BQ33" s="53">
        <f t="shared" si="28"/>
        <v>624</v>
      </c>
      <c r="BR33" s="53">
        <v>2450</v>
      </c>
      <c r="BS33" s="53">
        <v>450</v>
      </c>
      <c r="BT33" s="53">
        <f t="shared" si="29"/>
        <v>2000</v>
      </c>
      <c r="BU33" s="53">
        <f t="shared" si="30"/>
        <v>1248000</v>
      </c>
      <c r="BV33" s="53">
        <f t="shared" si="31"/>
        <v>13.812154696132598</v>
      </c>
      <c r="BW33" s="54">
        <v>0</v>
      </c>
      <c r="BX33" s="54">
        <v>0</v>
      </c>
      <c r="BY33" s="54">
        <v>0</v>
      </c>
      <c r="BZ33" s="54">
        <f t="shared" si="32"/>
        <v>0</v>
      </c>
      <c r="CA33" s="54">
        <v>750</v>
      </c>
      <c r="CB33" s="54">
        <v>0</v>
      </c>
      <c r="CC33" s="54">
        <f t="shared" si="33"/>
        <v>750</v>
      </c>
      <c r="CD33" s="54">
        <f t="shared" si="34"/>
        <v>0</v>
      </c>
      <c r="CE33" s="54" t="e">
        <f t="shared" si="35"/>
        <v>#DIV/0!</v>
      </c>
      <c r="CF33" s="55">
        <v>0</v>
      </c>
      <c r="CG33" s="55">
        <v>0</v>
      </c>
      <c r="CH33" s="55">
        <v>0</v>
      </c>
      <c r="CI33" s="55">
        <f t="shared" si="36"/>
        <v>0</v>
      </c>
      <c r="CJ33" s="55">
        <v>730</v>
      </c>
      <c r="CK33" s="55">
        <v>0</v>
      </c>
      <c r="CL33" s="55">
        <f t="shared" si="37"/>
        <v>730</v>
      </c>
      <c r="CM33" s="55">
        <f t="shared" si="38"/>
        <v>0</v>
      </c>
      <c r="CN33" s="55" t="e">
        <f t="shared" si="39"/>
        <v>#DIV/0!</v>
      </c>
      <c r="CO33" s="56">
        <v>0</v>
      </c>
      <c r="CP33" s="56">
        <v>20</v>
      </c>
      <c r="CQ33" s="56">
        <v>15</v>
      </c>
      <c r="CR33" s="56">
        <f t="shared" si="40"/>
        <v>5</v>
      </c>
      <c r="CS33" s="56">
        <v>730</v>
      </c>
      <c r="CT33" s="56">
        <v>70</v>
      </c>
      <c r="CU33" s="56">
        <f t="shared" si="41"/>
        <v>660</v>
      </c>
      <c r="CV33" s="56">
        <f t="shared" si="42"/>
        <v>3300</v>
      </c>
      <c r="CW33" s="56">
        <f t="shared" si="43"/>
        <v>75</v>
      </c>
      <c r="CX33" s="57">
        <v>0</v>
      </c>
      <c r="CY33" s="57">
        <v>0</v>
      </c>
      <c r="CZ33" s="57">
        <v>0</v>
      </c>
      <c r="DA33" s="57">
        <f t="shared" si="44"/>
        <v>0</v>
      </c>
      <c r="DB33" s="57">
        <v>600</v>
      </c>
      <c r="DC33" s="57">
        <v>0</v>
      </c>
      <c r="DD33" s="57">
        <f t="shared" si="45"/>
        <v>600</v>
      </c>
      <c r="DE33" s="57">
        <f t="shared" si="46"/>
        <v>0</v>
      </c>
      <c r="DF33" s="57" t="e">
        <f t="shared" si="47"/>
        <v>#DIV/0!</v>
      </c>
    </row>
    <row r="34" spans="1:110" ht="14.25" customHeight="1">
      <c r="A34" s="59"/>
      <c r="B34" s="29"/>
      <c r="C34" s="45">
        <v>0</v>
      </c>
      <c r="D34" s="45">
        <v>0</v>
      </c>
      <c r="E34" s="45">
        <v>0</v>
      </c>
      <c r="F34" s="45">
        <f t="shared" si="0"/>
        <v>0</v>
      </c>
      <c r="G34" s="45">
        <v>900</v>
      </c>
      <c r="H34" s="45">
        <v>0</v>
      </c>
      <c r="I34" s="45">
        <f t="shared" si="1"/>
        <v>900</v>
      </c>
      <c r="J34" s="45">
        <f t="shared" si="2"/>
        <v>0</v>
      </c>
      <c r="K34" s="45" t="e">
        <f t="shared" si="3"/>
        <v>#DIV/0!</v>
      </c>
      <c r="L34" s="47">
        <v>0</v>
      </c>
      <c r="M34" s="47">
        <v>0</v>
      </c>
      <c r="N34" s="47">
        <v>0</v>
      </c>
      <c r="O34" s="47">
        <f t="shared" si="4"/>
        <v>0</v>
      </c>
      <c r="P34" s="47">
        <v>1800</v>
      </c>
      <c r="Q34" s="47">
        <v>0</v>
      </c>
      <c r="R34" s="47">
        <f t="shared" si="5"/>
        <v>1800</v>
      </c>
      <c r="S34" s="47">
        <f t="shared" si="6"/>
        <v>0</v>
      </c>
      <c r="T34" s="47" t="e">
        <f t="shared" si="7"/>
        <v>#DIV/0!</v>
      </c>
      <c r="U34" s="48">
        <v>0</v>
      </c>
      <c r="V34" s="48">
        <v>0</v>
      </c>
      <c r="W34" s="48">
        <v>0</v>
      </c>
      <c r="X34" s="48">
        <f t="shared" si="8"/>
        <v>0</v>
      </c>
      <c r="Y34" s="48">
        <v>910</v>
      </c>
      <c r="Z34" s="48">
        <v>0</v>
      </c>
      <c r="AA34" s="48">
        <f t="shared" si="9"/>
        <v>910</v>
      </c>
      <c r="AB34" s="48">
        <f t="shared" si="10"/>
        <v>0</v>
      </c>
      <c r="AC34" s="48" t="e">
        <f t="shared" si="11"/>
        <v>#DIV/0!</v>
      </c>
      <c r="AD34" s="49">
        <v>0</v>
      </c>
      <c r="AE34" s="49">
        <v>0</v>
      </c>
      <c r="AF34" s="49">
        <v>0</v>
      </c>
      <c r="AG34" s="49">
        <f t="shared" si="12"/>
        <v>0</v>
      </c>
      <c r="AH34" s="49">
        <v>1200</v>
      </c>
      <c r="AI34" s="49">
        <v>0</v>
      </c>
      <c r="AJ34" s="49">
        <f t="shared" si="13"/>
        <v>1200</v>
      </c>
      <c r="AK34" s="49">
        <f t="shared" si="14"/>
        <v>0</v>
      </c>
      <c r="AL34" s="49" t="e">
        <f t="shared" si="15"/>
        <v>#DIV/0!</v>
      </c>
      <c r="AM34" s="50">
        <v>0</v>
      </c>
      <c r="AN34" s="50">
        <v>0</v>
      </c>
      <c r="AO34" s="50">
        <v>0</v>
      </c>
      <c r="AP34" s="50">
        <f t="shared" si="16"/>
        <v>0</v>
      </c>
      <c r="AQ34" s="50">
        <v>600</v>
      </c>
      <c r="AR34" s="50">
        <v>0</v>
      </c>
      <c r="AS34" s="50">
        <f t="shared" si="17"/>
        <v>600</v>
      </c>
      <c r="AT34" s="50">
        <f t="shared" si="18"/>
        <v>0</v>
      </c>
      <c r="AU34" s="50" t="e">
        <f t="shared" si="19"/>
        <v>#DIV/0!</v>
      </c>
      <c r="AV34" s="51">
        <v>0</v>
      </c>
      <c r="AW34" s="51">
        <v>0</v>
      </c>
      <c r="AX34" s="51">
        <v>0</v>
      </c>
      <c r="AY34" s="51">
        <f t="shared" si="20"/>
        <v>0</v>
      </c>
      <c r="AZ34" s="51">
        <v>1500</v>
      </c>
      <c r="BA34" s="51">
        <v>0</v>
      </c>
      <c r="BB34" s="51">
        <f t="shared" si="21"/>
        <v>1500</v>
      </c>
      <c r="BC34" s="51">
        <f t="shared" si="22"/>
        <v>0</v>
      </c>
      <c r="BD34" s="51" t="e">
        <f t="shared" si="23"/>
        <v>#DIV/0!</v>
      </c>
      <c r="BE34" s="52">
        <v>0</v>
      </c>
      <c r="BF34" s="52">
        <v>0</v>
      </c>
      <c r="BG34" s="52">
        <v>0</v>
      </c>
      <c r="BH34" s="52">
        <f t="shared" si="24"/>
        <v>0</v>
      </c>
      <c r="BI34" s="52">
        <v>750</v>
      </c>
      <c r="BJ34" s="52">
        <v>0</v>
      </c>
      <c r="BK34" s="52">
        <f t="shared" si="25"/>
        <v>750</v>
      </c>
      <c r="BL34" s="52">
        <f t="shared" si="26"/>
        <v>0</v>
      </c>
      <c r="BM34" s="52" t="e">
        <f t="shared" si="27"/>
        <v>#DIV/0!</v>
      </c>
      <c r="BN34" s="53">
        <v>0</v>
      </c>
      <c r="BO34" s="53">
        <v>0</v>
      </c>
      <c r="BP34" s="53">
        <v>0</v>
      </c>
      <c r="BQ34" s="53">
        <f t="shared" si="28"/>
        <v>0</v>
      </c>
      <c r="BR34" s="53">
        <v>2450</v>
      </c>
      <c r="BS34" s="53">
        <v>0</v>
      </c>
      <c r="BT34" s="53">
        <f t="shared" si="29"/>
        <v>2450</v>
      </c>
      <c r="BU34" s="53">
        <f t="shared" si="30"/>
        <v>0</v>
      </c>
      <c r="BV34" s="53" t="e">
        <f t="shared" si="31"/>
        <v>#DIV/0!</v>
      </c>
      <c r="BW34" s="54">
        <v>0</v>
      </c>
      <c r="BX34" s="54">
        <v>0</v>
      </c>
      <c r="BY34" s="54">
        <v>0</v>
      </c>
      <c r="BZ34" s="54">
        <f t="shared" si="32"/>
        <v>0</v>
      </c>
      <c r="CA34" s="54">
        <v>750</v>
      </c>
      <c r="CB34" s="54">
        <v>0</v>
      </c>
      <c r="CC34" s="54">
        <f t="shared" si="33"/>
        <v>750</v>
      </c>
      <c r="CD34" s="54">
        <f t="shared" si="34"/>
        <v>0</v>
      </c>
      <c r="CE34" s="54" t="e">
        <f t="shared" si="35"/>
        <v>#DIV/0!</v>
      </c>
      <c r="CF34" s="55">
        <v>0</v>
      </c>
      <c r="CG34" s="55">
        <v>0</v>
      </c>
      <c r="CH34" s="55">
        <v>0</v>
      </c>
      <c r="CI34" s="55">
        <f t="shared" si="36"/>
        <v>0</v>
      </c>
      <c r="CJ34" s="55">
        <v>730</v>
      </c>
      <c r="CK34" s="55">
        <v>0</v>
      </c>
      <c r="CL34" s="55">
        <f t="shared" si="37"/>
        <v>730</v>
      </c>
      <c r="CM34" s="55">
        <f t="shared" si="38"/>
        <v>0</v>
      </c>
      <c r="CN34" s="55" t="e">
        <f t="shared" si="39"/>
        <v>#DIV/0!</v>
      </c>
      <c r="CO34" s="56">
        <v>0</v>
      </c>
      <c r="CP34" s="56">
        <v>0</v>
      </c>
      <c r="CQ34" s="56">
        <v>0</v>
      </c>
      <c r="CR34" s="56">
        <f t="shared" si="40"/>
        <v>0</v>
      </c>
      <c r="CS34" s="56">
        <v>730</v>
      </c>
      <c r="CT34" s="56">
        <v>0</v>
      </c>
      <c r="CU34" s="56">
        <f t="shared" si="41"/>
        <v>730</v>
      </c>
      <c r="CV34" s="56">
        <f t="shared" si="42"/>
        <v>0</v>
      </c>
      <c r="CW34" s="56" t="e">
        <f t="shared" si="43"/>
        <v>#DIV/0!</v>
      </c>
      <c r="CX34" s="57">
        <v>0</v>
      </c>
      <c r="CY34" s="57">
        <v>0</v>
      </c>
      <c r="CZ34" s="57">
        <v>0</v>
      </c>
      <c r="DA34" s="57">
        <f t="shared" si="44"/>
        <v>0</v>
      </c>
      <c r="DB34" s="57">
        <v>600</v>
      </c>
      <c r="DC34" s="57">
        <v>0</v>
      </c>
      <c r="DD34" s="57">
        <f t="shared" si="45"/>
        <v>600</v>
      </c>
      <c r="DE34" s="57">
        <f t="shared" si="46"/>
        <v>0</v>
      </c>
      <c r="DF34" s="57" t="e">
        <f t="shared" si="47"/>
        <v>#DIV/0!</v>
      </c>
    </row>
    <row r="35" spans="1:110" ht="14.25" customHeight="1">
      <c r="A35" s="59"/>
      <c r="B35" s="29"/>
      <c r="C35" s="45">
        <v>0</v>
      </c>
      <c r="D35" s="45">
        <v>0</v>
      </c>
      <c r="E35" s="45">
        <v>0</v>
      </c>
      <c r="F35" s="45">
        <f t="shared" si="0"/>
        <v>0</v>
      </c>
      <c r="G35" s="45">
        <v>900</v>
      </c>
      <c r="H35" s="45">
        <v>0</v>
      </c>
      <c r="I35" s="45">
        <f t="shared" si="1"/>
        <v>900</v>
      </c>
      <c r="J35" s="45">
        <f t="shared" si="2"/>
        <v>0</v>
      </c>
      <c r="K35" s="45" t="e">
        <f t="shared" si="3"/>
        <v>#DIV/0!</v>
      </c>
      <c r="L35" s="47">
        <v>0</v>
      </c>
      <c r="M35" s="47">
        <v>0</v>
      </c>
      <c r="N35" s="47">
        <v>0</v>
      </c>
      <c r="O35" s="47">
        <f t="shared" si="4"/>
        <v>0</v>
      </c>
      <c r="P35" s="47">
        <v>1800</v>
      </c>
      <c r="Q35" s="47">
        <v>0</v>
      </c>
      <c r="R35" s="47">
        <f t="shared" si="5"/>
        <v>1800</v>
      </c>
      <c r="S35" s="47">
        <f t="shared" si="6"/>
        <v>0</v>
      </c>
      <c r="T35" s="47" t="e">
        <f t="shared" si="7"/>
        <v>#DIV/0!</v>
      </c>
      <c r="U35" s="48">
        <v>0</v>
      </c>
      <c r="V35" s="48">
        <v>0</v>
      </c>
      <c r="W35" s="48">
        <v>0</v>
      </c>
      <c r="X35" s="48">
        <f t="shared" si="8"/>
        <v>0</v>
      </c>
      <c r="Y35" s="48">
        <v>910</v>
      </c>
      <c r="Z35" s="48">
        <v>0</v>
      </c>
      <c r="AA35" s="48">
        <f t="shared" si="9"/>
        <v>910</v>
      </c>
      <c r="AB35" s="48">
        <f t="shared" si="10"/>
        <v>0</v>
      </c>
      <c r="AC35" s="48" t="e">
        <f t="shared" si="11"/>
        <v>#DIV/0!</v>
      </c>
      <c r="AD35" s="49">
        <v>0</v>
      </c>
      <c r="AE35" s="49">
        <v>0</v>
      </c>
      <c r="AF35" s="49">
        <v>0</v>
      </c>
      <c r="AG35" s="49">
        <f t="shared" si="12"/>
        <v>0</v>
      </c>
      <c r="AH35" s="49">
        <v>1200</v>
      </c>
      <c r="AI35" s="49">
        <v>0</v>
      </c>
      <c r="AJ35" s="49">
        <f t="shared" si="13"/>
        <v>1200</v>
      </c>
      <c r="AK35" s="49">
        <f t="shared" si="14"/>
        <v>0</v>
      </c>
      <c r="AL35" s="49" t="e">
        <f t="shared" si="15"/>
        <v>#DIV/0!</v>
      </c>
      <c r="AM35" s="50">
        <v>0</v>
      </c>
      <c r="AN35" s="50">
        <v>0</v>
      </c>
      <c r="AO35" s="50">
        <v>0</v>
      </c>
      <c r="AP35" s="50">
        <f t="shared" si="16"/>
        <v>0</v>
      </c>
      <c r="AQ35" s="50">
        <v>600</v>
      </c>
      <c r="AR35" s="50">
        <v>0</v>
      </c>
      <c r="AS35" s="50">
        <f t="shared" si="17"/>
        <v>600</v>
      </c>
      <c r="AT35" s="50">
        <f t="shared" si="18"/>
        <v>0</v>
      </c>
      <c r="AU35" s="50" t="e">
        <f t="shared" si="19"/>
        <v>#DIV/0!</v>
      </c>
      <c r="AV35" s="51">
        <v>0</v>
      </c>
      <c r="AW35" s="51">
        <v>0</v>
      </c>
      <c r="AX35" s="51">
        <v>0</v>
      </c>
      <c r="AY35" s="51">
        <f t="shared" si="20"/>
        <v>0</v>
      </c>
      <c r="AZ35" s="51">
        <v>1500</v>
      </c>
      <c r="BA35" s="51">
        <v>0</v>
      </c>
      <c r="BB35" s="51">
        <f t="shared" si="21"/>
        <v>1500</v>
      </c>
      <c r="BC35" s="51">
        <f t="shared" si="22"/>
        <v>0</v>
      </c>
      <c r="BD35" s="51" t="e">
        <f t="shared" si="23"/>
        <v>#DIV/0!</v>
      </c>
      <c r="BE35" s="52">
        <v>0</v>
      </c>
      <c r="BF35" s="52">
        <v>0</v>
      </c>
      <c r="BG35" s="52">
        <v>0</v>
      </c>
      <c r="BH35" s="52">
        <f t="shared" si="24"/>
        <v>0</v>
      </c>
      <c r="BI35" s="52">
        <v>750</v>
      </c>
      <c r="BJ35" s="52">
        <v>0</v>
      </c>
      <c r="BK35" s="52">
        <f t="shared" si="25"/>
        <v>750</v>
      </c>
      <c r="BL35" s="52">
        <f t="shared" si="26"/>
        <v>0</v>
      </c>
      <c r="BM35" s="52" t="e">
        <f t="shared" si="27"/>
        <v>#DIV/0!</v>
      </c>
      <c r="BN35" s="53">
        <v>0</v>
      </c>
      <c r="BO35" s="53">
        <v>24</v>
      </c>
      <c r="BP35" s="53">
        <v>0</v>
      </c>
      <c r="BQ35" s="53">
        <f t="shared" si="28"/>
        <v>24</v>
      </c>
      <c r="BR35" s="53">
        <v>2450</v>
      </c>
      <c r="BS35" s="53">
        <v>300</v>
      </c>
      <c r="BT35" s="53">
        <f t="shared" si="29"/>
        <v>2150</v>
      </c>
      <c r="BU35" s="53">
        <f t="shared" si="30"/>
        <v>51600</v>
      </c>
      <c r="BV35" s="53">
        <f t="shared" si="31"/>
        <v>0</v>
      </c>
      <c r="BW35" s="54">
        <v>0</v>
      </c>
      <c r="BX35" s="54">
        <v>0</v>
      </c>
      <c r="BY35" s="54">
        <v>0</v>
      </c>
      <c r="BZ35" s="54">
        <f t="shared" si="32"/>
        <v>0</v>
      </c>
      <c r="CA35" s="54">
        <v>750</v>
      </c>
      <c r="CB35" s="54">
        <v>0</v>
      </c>
      <c r="CC35" s="54">
        <f t="shared" si="33"/>
        <v>750</v>
      </c>
      <c r="CD35" s="54">
        <f t="shared" si="34"/>
        <v>0</v>
      </c>
      <c r="CE35" s="54" t="e">
        <f t="shared" si="35"/>
        <v>#DIV/0!</v>
      </c>
      <c r="CF35" s="55">
        <v>0</v>
      </c>
      <c r="CG35" s="55">
        <v>0</v>
      </c>
      <c r="CH35" s="55">
        <v>0</v>
      </c>
      <c r="CI35" s="55">
        <f t="shared" si="36"/>
        <v>0</v>
      </c>
      <c r="CJ35" s="55">
        <v>730</v>
      </c>
      <c r="CK35" s="55">
        <v>0</v>
      </c>
      <c r="CL35" s="55">
        <f t="shared" si="37"/>
        <v>730</v>
      </c>
      <c r="CM35" s="55">
        <f t="shared" si="38"/>
        <v>0</v>
      </c>
      <c r="CN35" s="55" t="e">
        <f t="shared" si="39"/>
        <v>#DIV/0!</v>
      </c>
      <c r="CO35" s="56">
        <v>0</v>
      </c>
      <c r="CP35" s="56">
        <v>0</v>
      </c>
      <c r="CQ35" s="56">
        <v>0</v>
      </c>
      <c r="CR35" s="56">
        <f t="shared" si="40"/>
        <v>0</v>
      </c>
      <c r="CS35" s="56">
        <v>730</v>
      </c>
      <c r="CT35" s="56">
        <v>0</v>
      </c>
      <c r="CU35" s="56">
        <f t="shared" si="41"/>
        <v>730</v>
      </c>
      <c r="CV35" s="56">
        <f t="shared" si="42"/>
        <v>0</v>
      </c>
      <c r="CW35" s="56" t="e">
        <f t="shared" si="43"/>
        <v>#DIV/0!</v>
      </c>
      <c r="CX35" s="57">
        <v>0</v>
      </c>
      <c r="CY35" s="57">
        <v>0</v>
      </c>
      <c r="CZ35" s="57">
        <v>0</v>
      </c>
      <c r="DA35" s="57">
        <f t="shared" si="44"/>
        <v>0</v>
      </c>
      <c r="DB35" s="57">
        <v>600</v>
      </c>
      <c r="DC35" s="57">
        <v>0</v>
      </c>
      <c r="DD35" s="57">
        <f t="shared" si="45"/>
        <v>600</v>
      </c>
      <c r="DE35" s="57">
        <f t="shared" si="46"/>
        <v>0</v>
      </c>
      <c r="DF35" s="57" t="e">
        <f t="shared" si="47"/>
        <v>#DIV/0!</v>
      </c>
    </row>
    <row r="36" spans="1:110" ht="14.25" customHeight="1">
      <c r="A36" s="59"/>
      <c r="B36" s="29"/>
      <c r="C36" s="45">
        <v>0</v>
      </c>
      <c r="D36" s="45">
        <v>0</v>
      </c>
      <c r="E36" s="45">
        <v>0</v>
      </c>
      <c r="F36" s="45">
        <f t="shared" si="0"/>
        <v>0</v>
      </c>
      <c r="G36" s="45">
        <v>900</v>
      </c>
      <c r="H36" s="45">
        <v>0</v>
      </c>
      <c r="I36" s="45">
        <f t="shared" si="1"/>
        <v>900</v>
      </c>
      <c r="J36" s="45">
        <f t="shared" si="2"/>
        <v>0</v>
      </c>
      <c r="K36" s="45" t="e">
        <f t="shared" si="3"/>
        <v>#DIV/0!</v>
      </c>
      <c r="L36" s="47">
        <v>0</v>
      </c>
      <c r="M36" s="47">
        <v>0</v>
      </c>
      <c r="N36" s="47">
        <v>0</v>
      </c>
      <c r="O36" s="47">
        <f t="shared" si="4"/>
        <v>0</v>
      </c>
      <c r="P36" s="47">
        <v>1800</v>
      </c>
      <c r="Q36" s="47">
        <v>0</v>
      </c>
      <c r="R36" s="47">
        <f t="shared" si="5"/>
        <v>1800</v>
      </c>
      <c r="S36" s="47">
        <f t="shared" si="6"/>
        <v>0</v>
      </c>
      <c r="T36" s="47" t="e">
        <f t="shared" si="7"/>
        <v>#DIV/0!</v>
      </c>
      <c r="U36" s="48">
        <v>0</v>
      </c>
      <c r="V36" s="48">
        <v>0</v>
      </c>
      <c r="W36" s="48">
        <v>0</v>
      </c>
      <c r="X36" s="48">
        <f t="shared" si="8"/>
        <v>0</v>
      </c>
      <c r="Y36" s="48">
        <v>910</v>
      </c>
      <c r="Z36" s="48">
        <v>0</v>
      </c>
      <c r="AA36" s="48">
        <f t="shared" si="9"/>
        <v>910</v>
      </c>
      <c r="AB36" s="48">
        <f t="shared" si="10"/>
        <v>0</v>
      </c>
      <c r="AC36" s="48" t="e">
        <f t="shared" si="11"/>
        <v>#DIV/0!</v>
      </c>
      <c r="AD36" s="49">
        <v>0</v>
      </c>
      <c r="AE36" s="49">
        <v>0</v>
      </c>
      <c r="AF36" s="49">
        <v>0</v>
      </c>
      <c r="AG36" s="49">
        <f t="shared" si="12"/>
        <v>0</v>
      </c>
      <c r="AH36" s="49">
        <v>1200</v>
      </c>
      <c r="AI36" s="49">
        <v>0</v>
      </c>
      <c r="AJ36" s="49">
        <f t="shared" si="13"/>
        <v>1200</v>
      </c>
      <c r="AK36" s="49">
        <f t="shared" si="14"/>
        <v>0</v>
      </c>
      <c r="AL36" s="49" t="e">
        <f t="shared" si="15"/>
        <v>#DIV/0!</v>
      </c>
      <c r="AM36" s="50">
        <v>0</v>
      </c>
      <c r="AN36" s="50">
        <v>0</v>
      </c>
      <c r="AO36" s="50">
        <v>0</v>
      </c>
      <c r="AP36" s="50">
        <f t="shared" si="16"/>
        <v>0</v>
      </c>
      <c r="AQ36" s="50">
        <v>600</v>
      </c>
      <c r="AR36" s="50">
        <v>0</v>
      </c>
      <c r="AS36" s="50">
        <f t="shared" si="17"/>
        <v>600</v>
      </c>
      <c r="AT36" s="50">
        <f t="shared" si="18"/>
        <v>0</v>
      </c>
      <c r="AU36" s="50" t="e">
        <f t="shared" si="19"/>
        <v>#DIV/0!</v>
      </c>
      <c r="AV36" s="51">
        <v>0</v>
      </c>
      <c r="AW36" s="51">
        <v>0</v>
      </c>
      <c r="AX36" s="51">
        <v>0</v>
      </c>
      <c r="AY36" s="51">
        <f t="shared" si="20"/>
        <v>0</v>
      </c>
      <c r="AZ36" s="51">
        <v>1500</v>
      </c>
      <c r="BA36" s="51">
        <v>0</v>
      </c>
      <c r="BB36" s="51">
        <f t="shared" si="21"/>
        <v>1500</v>
      </c>
      <c r="BC36" s="51">
        <f t="shared" si="22"/>
        <v>0</v>
      </c>
      <c r="BD36" s="51" t="e">
        <f t="shared" si="23"/>
        <v>#DIV/0!</v>
      </c>
      <c r="BE36" s="52">
        <v>0</v>
      </c>
      <c r="BF36" s="52">
        <v>0</v>
      </c>
      <c r="BG36" s="52">
        <v>0</v>
      </c>
      <c r="BH36" s="52">
        <f t="shared" si="24"/>
        <v>0</v>
      </c>
      <c r="BI36" s="52">
        <v>750</v>
      </c>
      <c r="BJ36" s="52">
        <v>0</v>
      </c>
      <c r="BK36" s="52">
        <f t="shared" si="25"/>
        <v>750</v>
      </c>
      <c r="BL36" s="52">
        <f t="shared" si="26"/>
        <v>0</v>
      </c>
      <c r="BM36" s="52" t="e">
        <f t="shared" si="27"/>
        <v>#DIV/0!</v>
      </c>
      <c r="BN36" s="53">
        <v>0</v>
      </c>
      <c r="BO36" s="53">
        <v>0</v>
      </c>
      <c r="BP36" s="53">
        <v>0</v>
      </c>
      <c r="BQ36" s="53">
        <f t="shared" si="28"/>
        <v>0</v>
      </c>
      <c r="BR36" s="53">
        <v>2450</v>
      </c>
      <c r="BS36" s="53">
        <v>0</v>
      </c>
      <c r="BT36" s="53">
        <f t="shared" si="29"/>
        <v>2450</v>
      </c>
      <c r="BU36" s="53">
        <f t="shared" si="30"/>
        <v>0</v>
      </c>
      <c r="BV36" s="53" t="e">
        <f t="shared" si="31"/>
        <v>#DIV/0!</v>
      </c>
      <c r="BW36" s="54">
        <v>0</v>
      </c>
      <c r="BX36" s="54">
        <v>0</v>
      </c>
      <c r="BY36" s="54">
        <v>0</v>
      </c>
      <c r="BZ36" s="54">
        <f t="shared" si="32"/>
        <v>0</v>
      </c>
      <c r="CA36" s="54">
        <v>750</v>
      </c>
      <c r="CB36" s="54">
        <v>0</v>
      </c>
      <c r="CC36" s="54">
        <f t="shared" si="33"/>
        <v>750</v>
      </c>
      <c r="CD36" s="54">
        <f t="shared" si="34"/>
        <v>0</v>
      </c>
      <c r="CE36" s="54" t="e">
        <f t="shared" si="35"/>
        <v>#DIV/0!</v>
      </c>
      <c r="CF36" s="55">
        <v>0</v>
      </c>
      <c r="CG36" s="55">
        <v>0</v>
      </c>
      <c r="CH36" s="55">
        <v>0</v>
      </c>
      <c r="CI36" s="55">
        <f t="shared" si="36"/>
        <v>0</v>
      </c>
      <c r="CJ36" s="55">
        <v>730</v>
      </c>
      <c r="CK36" s="55">
        <v>0</v>
      </c>
      <c r="CL36" s="55">
        <f t="shared" si="37"/>
        <v>730</v>
      </c>
      <c r="CM36" s="55">
        <f t="shared" si="38"/>
        <v>0</v>
      </c>
      <c r="CN36" s="55" t="e">
        <f t="shared" si="39"/>
        <v>#DIV/0!</v>
      </c>
      <c r="CO36" s="56">
        <v>0</v>
      </c>
      <c r="CP36" s="56">
        <v>0</v>
      </c>
      <c r="CQ36" s="56">
        <v>0</v>
      </c>
      <c r="CR36" s="56">
        <f t="shared" si="40"/>
        <v>0</v>
      </c>
      <c r="CS36" s="56">
        <v>730</v>
      </c>
      <c r="CT36" s="56">
        <v>0</v>
      </c>
      <c r="CU36" s="56">
        <f t="shared" si="41"/>
        <v>730</v>
      </c>
      <c r="CV36" s="56">
        <f t="shared" si="42"/>
        <v>0</v>
      </c>
      <c r="CW36" s="56" t="e">
        <f t="shared" si="43"/>
        <v>#DIV/0!</v>
      </c>
      <c r="CX36" s="57">
        <v>0</v>
      </c>
      <c r="CY36" s="57">
        <v>0</v>
      </c>
      <c r="CZ36" s="57">
        <v>0</v>
      </c>
      <c r="DA36" s="57">
        <f t="shared" si="44"/>
        <v>0</v>
      </c>
      <c r="DB36" s="57">
        <v>600</v>
      </c>
      <c r="DC36" s="57">
        <v>0</v>
      </c>
      <c r="DD36" s="57">
        <f t="shared" si="45"/>
        <v>600</v>
      </c>
      <c r="DE36" s="57">
        <f t="shared" si="46"/>
        <v>0</v>
      </c>
      <c r="DF36" s="57" t="e">
        <f t="shared" si="47"/>
        <v>#DIV/0!</v>
      </c>
    </row>
    <row r="37" spans="1:110" ht="14.25" customHeight="1">
      <c r="A37" s="59"/>
      <c r="B37" s="29"/>
      <c r="C37" s="45">
        <v>0</v>
      </c>
      <c r="D37" s="45">
        <v>162</v>
      </c>
      <c r="E37" s="45">
        <v>0</v>
      </c>
      <c r="F37" s="45">
        <f t="shared" si="0"/>
        <v>162</v>
      </c>
      <c r="G37" s="45">
        <v>900</v>
      </c>
      <c r="H37" s="45">
        <v>100</v>
      </c>
      <c r="I37" s="45">
        <f t="shared" si="1"/>
        <v>800</v>
      </c>
      <c r="J37" s="45">
        <f t="shared" si="2"/>
        <v>129600</v>
      </c>
      <c r="K37" s="45">
        <f t="shared" si="3"/>
        <v>0</v>
      </c>
      <c r="L37" s="47">
        <v>0</v>
      </c>
      <c r="M37" s="47">
        <v>438</v>
      </c>
      <c r="N37" s="47">
        <v>0</v>
      </c>
      <c r="O37" s="47">
        <f t="shared" si="4"/>
        <v>438</v>
      </c>
      <c r="P37" s="47">
        <v>1800</v>
      </c>
      <c r="Q37" s="47">
        <v>200</v>
      </c>
      <c r="R37" s="47">
        <f t="shared" si="5"/>
        <v>1600</v>
      </c>
      <c r="S37" s="47">
        <f t="shared" si="6"/>
        <v>700800</v>
      </c>
      <c r="T37" s="47">
        <f t="shared" si="7"/>
        <v>0</v>
      </c>
      <c r="U37" s="48">
        <v>0</v>
      </c>
      <c r="V37" s="48">
        <v>0</v>
      </c>
      <c r="W37" s="48">
        <v>0</v>
      </c>
      <c r="X37" s="48">
        <f t="shared" si="8"/>
        <v>0</v>
      </c>
      <c r="Y37" s="48">
        <v>910</v>
      </c>
      <c r="Z37" s="48">
        <v>0</v>
      </c>
      <c r="AA37" s="48">
        <f t="shared" si="9"/>
        <v>910</v>
      </c>
      <c r="AB37" s="48">
        <f t="shared" si="10"/>
        <v>0</v>
      </c>
      <c r="AC37" s="48" t="e">
        <f t="shared" si="11"/>
        <v>#DIV/0!</v>
      </c>
      <c r="AD37" s="49">
        <v>0</v>
      </c>
      <c r="AE37" s="49">
        <v>33</v>
      </c>
      <c r="AF37" s="49">
        <v>0</v>
      </c>
      <c r="AG37" s="49">
        <f t="shared" si="12"/>
        <v>33</v>
      </c>
      <c r="AH37" s="49">
        <v>1200</v>
      </c>
      <c r="AI37" s="49">
        <v>100</v>
      </c>
      <c r="AJ37" s="49">
        <f t="shared" si="13"/>
        <v>1100</v>
      </c>
      <c r="AK37" s="49">
        <f t="shared" si="14"/>
        <v>36300</v>
      </c>
      <c r="AL37" s="49">
        <f t="shared" si="15"/>
        <v>0</v>
      </c>
      <c r="AM37" s="50">
        <v>0</v>
      </c>
      <c r="AN37" s="50">
        <v>72</v>
      </c>
      <c r="AO37" s="50">
        <v>1</v>
      </c>
      <c r="AP37" s="50">
        <f t="shared" si="16"/>
        <v>71</v>
      </c>
      <c r="AQ37" s="50">
        <v>600</v>
      </c>
      <c r="AR37" s="50">
        <v>50</v>
      </c>
      <c r="AS37" s="50">
        <f t="shared" si="17"/>
        <v>550</v>
      </c>
      <c r="AT37" s="50">
        <f t="shared" si="18"/>
        <v>39050</v>
      </c>
      <c r="AU37" s="50">
        <f t="shared" si="19"/>
        <v>1.3888888888888888</v>
      </c>
      <c r="AV37" s="51">
        <v>0</v>
      </c>
      <c r="AW37" s="51">
        <v>0</v>
      </c>
      <c r="AX37" s="51">
        <v>0</v>
      </c>
      <c r="AY37" s="51">
        <f t="shared" si="20"/>
        <v>0</v>
      </c>
      <c r="AZ37" s="51">
        <v>1500</v>
      </c>
      <c r="BA37" s="51">
        <v>0</v>
      </c>
      <c r="BB37" s="51">
        <f t="shared" si="21"/>
        <v>1500</v>
      </c>
      <c r="BC37" s="51">
        <f t="shared" si="22"/>
        <v>0</v>
      </c>
      <c r="BD37" s="51" t="e">
        <f t="shared" si="23"/>
        <v>#DIV/0!</v>
      </c>
      <c r="BE37" s="52">
        <v>0</v>
      </c>
      <c r="BF37" s="52">
        <v>108</v>
      </c>
      <c r="BG37" s="52">
        <v>21</v>
      </c>
      <c r="BH37" s="52">
        <f t="shared" si="24"/>
        <v>87</v>
      </c>
      <c r="BI37" s="52">
        <v>750</v>
      </c>
      <c r="BJ37" s="52">
        <v>40</v>
      </c>
      <c r="BK37" s="52">
        <f t="shared" si="25"/>
        <v>710</v>
      </c>
      <c r="BL37" s="52">
        <f t="shared" si="26"/>
        <v>61770</v>
      </c>
      <c r="BM37" s="52">
        <f t="shared" si="27"/>
        <v>19.444444444444446</v>
      </c>
      <c r="BN37" s="53">
        <v>0</v>
      </c>
      <c r="BO37" s="53">
        <v>528</v>
      </c>
      <c r="BP37" s="53">
        <v>0</v>
      </c>
      <c r="BQ37" s="53">
        <f t="shared" si="28"/>
        <v>528</v>
      </c>
      <c r="BR37" s="53">
        <v>2450</v>
      </c>
      <c r="BS37" s="53">
        <v>400</v>
      </c>
      <c r="BT37" s="53">
        <f t="shared" si="29"/>
        <v>2050</v>
      </c>
      <c r="BU37" s="53">
        <f t="shared" si="30"/>
        <v>1082400</v>
      </c>
      <c r="BV37" s="53">
        <f t="shared" si="31"/>
        <v>0</v>
      </c>
      <c r="BW37" s="54">
        <v>0</v>
      </c>
      <c r="BX37" s="54">
        <v>0</v>
      </c>
      <c r="BY37" s="54">
        <v>0</v>
      </c>
      <c r="BZ37" s="54">
        <f t="shared" si="32"/>
        <v>0</v>
      </c>
      <c r="CA37" s="54">
        <v>750</v>
      </c>
      <c r="CB37" s="54">
        <v>0</v>
      </c>
      <c r="CC37" s="54">
        <f t="shared" si="33"/>
        <v>750</v>
      </c>
      <c r="CD37" s="54">
        <f t="shared" si="34"/>
        <v>0</v>
      </c>
      <c r="CE37" s="54" t="e">
        <f t="shared" si="35"/>
        <v>#DIV/0!</v>
      </c>
      <c r="CF37" s="55">
        <v>0</v>
      </c>
      <c r="CG37" s="55">
        <v>0</v>
      </c>
      <c r="CH37" s="55">
        <v>0</v>
      </c>
      <c r="CI37" s="55">
        <f t="shared" si="36"/>
        <v>0</v>
      </c>
      <c r="CJ37" s="55">
        <v>730</v>
      </c>
      <c r="CK37" s="55">
        <v>0</v>
      </c>
      <c r="CL37" s="55">
        <f t="shared" si="37"/>
        <v>730</v>
      </c>
      <c r="CM37" s="55">
        <f t="shared" si="38"/>
        <v>0</v>
      </c>
      <c r="CN37" s="55" t="e">
        <f t="shared" si="39"/>
        <v>#DIV/0!</v>
      </c>
      <c r="CO37" s="56">
        <v>0</v>
      </c>
      <c r="CP37" s="56">
        <v>0</v>
      </c>
      <c r="CQ37" s="56">
        <v>0</v>
      </c>
      <c r="CR37" s="56">
        <f t="shared" si="40"/>
        <v>0</v>
      </c>
      <c r="CS37" s="56">
        <v>730</v>
      </c>
      <c r="CT37" s="56">
        <v>0</v>
      </c>
      <c r="CU37" s="56">
        <f t="shared" si="41"/>
        <v>730</v>
      </c>
      <c r="CV37" s="56">
        <f t="shared" si="42"/>
        <v>0</v>
      </c>
      <c r="CW37" s="56" t="e">
        <f t="shared" si="43"/>
        <v>#DIV/0!</v>
      </c>
      <c r="CX37" s="57">
        <v>0</v>
      </c>
      <c r="CY37" s="57">
        <v>0</v>
      </c>
      <c r="CZ37" s="57">
        <v>0</v>
      </c>
      <c r="DA37" s="57">
        <f t="shared" si="44"/>
        <v>0</v>
      </c>
      <c r="DB37" s="57">
        <v>600</v>
      </c>
      <c r="DC37" s="57">
        <v>0</v>
      </c>
      <c r="DD37" s="57">
        <f t="shared" si="45"/>
        <v>600</v>
      </c>
      <c r="DE37" s="57">
        <f t="shared" si="46"/>
        <v>0</v>
      </c>
      <c r="DF37" s="57" t="e">
        <f t="shared" si="47"/>
        <v>#DIV/0!</v>
      </c>
    </row>
    <row r="38" spans="1:110" ht="14.25" customHeight="1">
      <c r="A38" s="59"/>
      <c r="B38" s="29"/>
      <c r="C38" s="45">
        <v>0</v>
      </c>
      <c r="D38" s="45">
        <v>0</v>
      </c>
      <c r="E38" s="45">
        <v>0</v>
      </c>
      <c r="F38" s="45">
        <f t="shared" si="0"/>
        <v>0</v>
      </c>
      <c r="G38" s="45">
        <v>900</v>
      </c>
      <c r="H38" s="45">
        <v>0</v>
      </c>
      <c r="I38" s="45">
        <f t="shared" si="1"/>
        <v>900</v>
      </c>
      <c r="J38" s="45">
        <f t="shared" si="2"/>
        <v>0</v>
      </c>
      <c r="K38" s="45" t="e">
        <f t="shared" si="3"/>
        <v>#DIV/0!</v>
      </c>
      <c r="L38" s="47">
        <v>0</v>
      </c>
      <c r="M38" s="47">
        <v>0</v>
      </c>
      <c r="N38" s="47">
        <v>0</v>
      </c>
      <c r="O38" s="47">
        <f t="shared" si="4"/>
        <v>0</v>
      </c>
      <c r="P38" s="47">
        <v>1800</v>
      </c>
      <c r="Q38" s="47">
        <v>0</v>
      </c>
      <c r="R38" s="47">
        <f t="shared" si="5"/>
        <v>1800</v>
      </c>
      <c r="S38" s="47">
        <f t="shared" si="6"/>
        <v>0</v>
      </c>
      <c r="T38" s="47" t="e">
        <f t="shared" si="7"/>
        <v>#DIV/0!</v>
      </c>
      <c r="U38" s="48">
        <v>0</v>
      </c>
      <c r="V38" s="48">
        <v>0</v>
      </c>
      <c r="W38" s="48">
        <v>0</v>
      </c>
      <c r="X38" s="48">
        <f t="shared" si="8"/>
        <v>0</v>
      </c>
      <c r="Y38" s="48">
        <v>910</v>
      </c>
      <c r="Z38" s="48">
        <v>0</v>
      </c>
      <c r="AA38" s="48">
        <f t="shared" si="9"/>
        <v>910</v>
      </c>
      <c r="AB38" s="48">
        <f t="shared" si="10"/>
        <v>0</v>
      </c>
      <c r="AC38" s="48" t="e">
        <f t="shared" si="11"/>
        <v>#DIV/0!</v>
      </c>
      <c r="AD38" s="49">
        <v>0</v>
      </c>
      <c r="AE38" s="49">
        <v>0</v>
      </c>
      <c r="AF38" s="49">
        <v>0</v>
      </c>
      <c r="AG38" s="49">
        <f t="shared" si="12"/>
        <v>0</v>
      </c>
      <c r="AH38" s="49">
        <v>1200</v>
      </c>
      <c r="AI38" s="49">
        <v>0</v>
      </c>
      <c r="AJ38" s="49">
        <f t="shared" si="13"/>
        <v>1200</v>
      </c>
      <c r="AK38" s="49">
        <f t="shared" si="14"/>
        <v>0</v>
      </c>
      <c r="AL38" s="49" t="e">
        <f t="shared" si="15"/>
        <v>#DIV/0!</v>
      </c>
      <c r="AM38" s="50">
        <v>0</v>
      </c>
      <c r="AN38" s="50">
        <v>0</v>
      </c>
      <c r="AO38" s="50">
        <v>0</v>
      </c>
      <c r="AP38" s="50">
        <f t="shared" si="16"/>
        <v>0</v>
      </c>
      <c r="AQ38" s="50">
        <v>600</v>
      </c>
      <c r="AR38" s="50">
        <v>0</v>
      </c>
      <c r="AS38" s="50">
        <f t="shared" si="17"/>
        <v>600</v>
      </c>
      <c r="AT38" s="50">
        <f t="shared" si="18"/>
        <v>0</v>
      </c>
      <c r="AU38" s="50" t="e">
        <f t="shared" si="19"/>
        <v>#DIV/0!</v>
      </c>
      <c r="AV38" s="51">
        <v>0</v>
      </c>
      <c r="AW38" s="51">
        <v>0</v>
      </c>
      <c r="AX38" s="51">
        <v>0</v>
      </c>
      <c r="AY38" s="51">
        <f t="shared" si="20"/>
        <v>0</v>
      </c>
      <c r="AZ38" s="51">
        <v>1500</v>
      </c>
      <c r="BA38" s="51">
        <v>0</v>
      </c>
      <c r="BB38" s="51">
        <f t="shared" si="21"/>
        <v>1500</v>
      </c>
      <c r="BC38" s="51">
        <f t="shared" si="22"/>
        <v>0</v>
      </c>
      <c r="BD38" s="51" t="e">
        <f t="shared" si="23"/>
        <v>#DIV/0!</v>
      </c>
      <c r="BE38" s="52">
        <v>0</v>
      </c>
      <c r="BF38" s="52">
        <v>0</v>
      </c>
      <c r="BG38" s="52">
        <v>0</v>
      </c>
      <c r="BH38" s="52">
        <f t="shared" si="24"/>
        <v>0</v>
      </c>
      <c r="BI38" s="52">
        <v>750</v>
      </c>
      <c r="BJ38" s="52">
        <v>0</v>
      </c>
      <c r="BK38" s="52">
        <f t="shared" si="25"/>
        <v>750</v>
      </c>
      <c r="BL38" s="52">
        <f t="shared" si="26"/>
        <v>0</v>
      </c>
      <c r="BM38" s="52" t="e">
        <f t="shared" si="27"/>
        <v>#DIV/0!</v>
      </c>
      <c r="BN38" s="53">
        <v>0</v>
      </c>
      <c r="BO38" s="53">
        <v>0</v>
      </c>
      <c r="BP38" s="53">
        <v>0</v>
      </c>
      <c r="BQ38" s="53">
        <f t="shared" si="28"/>
        <v>0</v>
      </c>
      <c r="BR38" s="53">
        <v>2450</v>
      </c>
      <c r="BS38" s="53">
        <v>0</v>
      </c>
      <c r="BT38" s="53">
        <f t="shared" si="29"/>
        <v>2450</v>
      </c>
      <c r="BU38" s="53">
        <f t="shared" si="30"/>
        <v>0</v>
      </c>
      <c r="BV38" s="53" t="e">
        <f t="shared" si="31"/>
        <v>#DIV/0!</v>
      </c>
      <c r="BW38" s="54">
        <v>0</v>
      </c>
      <c r="BX38" s="54">
        <v>0</v>
      </c>
      <c r="BY38" s="54">
        <v>0</v>
      </c>
      <c r="BZ38" s="54">
        <f t="shared" si="32"/>
        <v>0</v>
      </c>
      <c r="CA38" s="54">
        <v>750</v>
      </c>
      <c r="CB38" s="54">
        <v>0</v>
      </c>
      <c r="CC38" s="54">
        <f t="shared" si="33"/>
        <v>750</v>
      </c>
      <c r="CD38" s="54">
        <f t="shared" si="34"/>
        <v>0</v>
      </c>
      <c r="CE38" s="54" t="e">
        <f t="shared" si="35"/>
        <v>#DIV/0!</v>
      </c>
      <c r="CF38" s="55">
        <v>0</v>
      </c>
      <c r="CG38" s="55">
        <v>0</v>
      </c>
      <c r="CH38" s="55">
        <v>0</v>
      </c>
      <c r="CI38" s="55">
        <f t="shared" si="36"/>
        <v>0</v>
      </c>
      <c r="CJ38" s="55">
        <v>730</v>
      </c>
      <c r="CK38" s="55">
        <v>0</v>
      </c>
      <c r="CL38" s="55">
        <f t="shared" si="37"/>
        <v>730</v>
      </c>
      <c r="CM38" s="55">
        <f t="shared" si="38"/>
        <v>0</v>
      </c>
      <c r="CN38" s="55" t="e">
        <f t="shared" si="39"/>
        <v>#DIV/0!</v>
      </c>
      <c r="CO38" s="56">
        <v>0</v>
      </c>
      <c r="CP38" s="56">
        <v>0</v>
      </c>
      <c r="CQ38" s="56">
        <v>0</v>
      </c>
      <c r="CR38" s="56">
        <f t="shared" si="40"/>
        <v>0</v>
      </c>
      <c r="CS38" s="56">
        <v>730</v>
      </c>
      <c r="CT38" s="56">
        <v>0</v>
      </c>
      <c r="CU38" s="56">
        <f t="shared" si="41"/>
        <v>730</v>
      </c>
      <c r="CV38" s="56">
        <f t="shared" si="42"/>
        <v>0</v>
      </c>
      <c r="CW38" s="56" t="e">
        <f t="shared" si="43"/>
        <v>#DIV/0!</v>
      </c>
      <c r="CX38" s="57">
        <v>0</v>
      </c>
      <c r="CY38" s="57">
        <v>0</v>
      </c>
      <c r="CZ38" s="57">
        <v>0</v>
      </c>
      <c r="DA38" s="57">
        <f t="shared" si="44"/>
        <v>0</v>
      </c>
      <c r="DB38" s="57">
        <v>600</v>
      </c>
      <c r="DC38" s="57">
        <v>0</v>
      </c>
      <c r="DD38" s="57">
        <f t="shared" si="45"/>
        <v>600</v>
      </c>
      <c r="DE38" s="57">
        <f t="shared" si="46"/>
        <v>0</v>
      </c>
      <c r="DF38" s="57" t="e">
        <f t="shared" si="47"/>
        <v>#DIV/0!</v>
      </c>
    </row>
    <row r="39" spans="1:110" ht="14.25" customHeight="1">
      <c r="A39" s="59"/>
      <c r="B39" s="29"/>
      <c r="C39" s="45">
        <v>0</v>
      </c>
      <c r="D39" s="45">
        <v>0</v>
      </c>
      <c r="E39" s="45">
        <v>0</v>
      </c>
      <c r="F39" s="45">
        <f t="shared" si="0"/>
        <v>0</v>
      </c>
      <c r="G39" s="45">
        <v>900</v>
      </c>
      <c r="H39" s="45">
        <v>0</v>
      </c>
      <c r="I39" s="45">
        <f t="shared" si="1"/>
        <v>900</v>
      </c>
      <c r="J39" s="45">
        <f t="shared" si="2"/>
        <v>0</v>
      </c>
      <c r="K39" s="45" t="e">
        <f t="shared" si="3"/>
        <v>#DIV/0!</v>
      </c>
      <c r="L39" s="47">
        <v>0</v>
      </c>
      <c r="M39" s="47">
        <v>0</v>
      </c>
      <c r="N39" s="47">
        <v>0</v>
      </c>
      <c r="O39" s="47">
        <f t="shared" si="4"/>
        <v>0</v>
      </c>
      <c r="P39" s="47">
        <v>1800</v>
      </c>
      <c r="Q39" s="47">
        <v>0</v>
      </c>
      <c r="R39" s="47">
        <f t="shared" si="5"/>
        <v>1800</v>
      </c>
      <c r="S39" s="47">
        <f t="shared" si="6"/>
        <v>0</v>
      </c>
      <c r="T39" s="47" t="e">
        <f t="shared" si="7"/>
        <v>#DIV/0!</v>
      </c>
      <c r="U39" s="48">
        <v>0</v>
      </c>
      <c r="V39" s="48">
        <v>0</v>
      </c>
      <c r="W39" s="48">
        <v>0</v>
      </c>
      <c r="X39" s="48">
        <f t="shared" si="8"/>
        <v>0</v>
      </c>
      <c r="Y39" s="48">
        <v>910</v>
      </c>
      <c r="Z39" s="48">
        <v>0</v>
      </c>
      <c r="AA39" s="48">
        <f t="shared" si="9"/>
        <v>910</v>
      </c>
      <c r="AB39" s="48">
        <f t="shared" si="10"/>
        <v>0</v>
      </c>
      <c r="AC39" s="48" t="e">
        <f t="shared" si="11"/>
        <v>#DIV/0!</v>
      </c>
      <c r="AD39" s="49">
        <v>0</v>
      </c>
      <c r="AE39" s="49">
        <v>0</v>
      </c>
      <c r="AF39" s="49">
        <v>0</v>
      </c>
      <c r="AG39" s="49">
        <f t="shared" si="12"/>
        <v>0</v>
      </c>
      <c r="AH39" s="49">
        <v>1200</v>
      </c>
      <c r="AI39" s="49">
        <v>0</v>
      </c>
      <c r="AJ39" s="49">
        <f t="shared" si="13"/>
        <v>1200</v>
      </c>
      <c r="AK39" s="49">
        <f t="shared" si="14"/>
        <v>0</v>
      </c>
      <c r="AL39" s="49" t="e">
        <f t="shared" si="15"/>
        <v>#DIV/0!</v>
      </c>
      <c r="AM39" s="50">
        <v>0</v>
      </c>
      <c r="AN39" s="50">
        <v>0</v>
      </c>
      <c r="AO39" s="50">
        <v>0</v>
      </c>
      <c r="AP39" s="50">
        <f t="shared" si="16"/>
        <v>0</v>
      </c>
      <c r="AQ39" s="50">
        <v>600</v>
      </c>
      <c r="AR39" s="50">
        <v>0</v>
      </c>
      <c r="AS39" s="50">
        <f t="shared" si="17"/>
        <v>600</v>
      </c>
      <c r="AT39" s="50">
        <f t="shared" si="18"/>
        <v>0</v>
      </c>
      <c r="AU39" s="50" t="e">
        <f t="shared" si="19"/>
        <v>#DIV/0!</v>
      </c>
      <c r="AV39" s="51">
        <v>0</v>
      </c>
      <c r="AW39" s="51">
        <v>0</v>
      </c>
      <c r="AX39" s="51">
        <v>0</v>
      </c>
      <c r="AY39" s="51">
        <f t="shared" si="20"/>
        <v>0</v>
      </c>
      <c r="AZ39" s="51">
        <v>1500</v>
      </c>
      <c r="BA39" s="51">
        <v>0</v>
      </c>
      <c r="BB39" s="51">
        <f t="shared" si="21"/>
        <v>1500</v>
      </c>
      <c r="BC39" s="51">
        <f t="shared" si="22"/>
        <v>0</v>
      </c>
      <c r="BD39" s="51" t="e">
        <f t="shared" si="23"/>
        <v>#DIV/0!</v>
      </c>
      <c r="BE39" s="52">
        <v>0</v>
      </c>
      <c r="BF39" s="52">
        <v>0</v>
      </c>
      <c r="BG39" s="52">
        <v>0</v>
      </c>
      <c r="BH39" s="52">
        <f t="shared" si="24"/>
        <v>0</v>
      </c>
      <c r="BI39" s="52">
        <v>750</v>
      </c>
      <c r="BJ39" s="52">
        <v>0</v>
      </c>
      <c r="BK39" s="52">
        <f t="shared" si="25"/>
        <v>750</v>
      </c>
      <c r="BL39" s="52">
        <f t="shared" si="26"/>
        <v>0</v>
      </c>
      <c r="BM39" s="52" t="e">
        <f t="shared" si="27"/>
        <v>#DIV/0!</v>
      </c>
      <c r="BN39" s="53">
        <v>0</v>
      </c>
      <c r="BO39" s="53">
        <v>0</v>
      </c>
      <c r="BP39" s="53">
        <v>0</v>
      </c>
      <c r="BQ39" s="53">
        <f t="shared" si="28"/>
        <v>0</v>
      </c>
      <c r="BR39" s="53">
        <v>2450</v>
      </c>
      <c r="BS39" s="53">
        <v>0</v>
      </c>
      <c r="BT39" s="53">
        <f t="shared" si="29"/>
        <v>2450</v>
      </c>
      <c r="BU39" s="53">
        <f t="shared" si="30"/>
        <v>0</v>
      </c>
      <c r="BV39" s="53" t="e">
        <f t="shared" si="31"/>
        <v>#DIV/0!</v>
      </c>
      <c r="BW39" s="54">
        <v>0</v>
      </c>
      <c r="BX39" s="54">
        <v>0</v>
      </c>
      <c r="BY39" s="54">
        <v>0</v>
      </c>
      <c r="BZ39" s="54">
        <f t="shared" si="32"/>
        <v>0</v>
      </c>
      <c r="CA39" s="54">
        <v>750</v>
      </c>
      <c r="CB39" s="54">
        <v>0</v>
      </c>
      <c r="CC39" s="54">
        <f t="shared" si="33"/>
        <v>750</v>
      </c>
      <c r="CD39" s="54">
        <f t="shared" si="34"/>
        <v>0</v>
      </c>
      <c r="CE39" s="54" t="e">
        <f t="shared" si="35"/>
        <v>#DIV/0!</v>
      </c>
      <c r="CF39" s="55">
        <v>0</v>
      </c>
      <c r="CG39" s="55">
        <v>0</v>
      </c>
      <c r="CH39" s="55">
        <v>0</v>
      </c>
      <c r="CI39" s="55">
        <f t="shared" si="36"/>
        <v>0</v>
      </c>
      <c r="CJ39" s="55">
        <v>730</v>
      </c>
      <c r="CK39" s="55">
        <v>0</v>
      </c>
      <c r="CL39" s="55">
        <f t="shared" si="37"/>
        <v>730</v>
      </c>
      <c r="CM39" s="55">
        <f t="shared" si="38"/>
        <v>0</v>
      </c>
      <c r="CN39" s="55" t="e">
        <f t="shared" si="39"/>
        <v>#DIV/0!</v>
      </c>
      <c r="CO39" s="56">
        <v>0</v>
      </c>
      <c r="CP39" s="56">
        <v>0</v>
      </c>
      <c r="CQ39" s="56">
        <v>0</v>
      </c>
      <c r="CR39" s="56">
        <f t="shared" si="40"/>
        <v>0</v>
      </c>
      <c r="CS39" s="56">
        <v>730</v>
      </c>
      <c r="CT39" s="56">
        <v>0</v>
      </c>
      <c r="CU39" s="56">
        <f t="shared" si="41"/>
        <v>730</v>
      </c>
      <c r="CV39" s="56">
        <f t="shared" si="42"/>
        <v>0</v>
      </c>
      <c r="CW39" s="56" t="e">
        <f t="shared" si="43"/>
        <v>#DIV/0!</v>
      </c>
      <c r="CX39" s="57">
        <v>0</v>
      </c>
      <c r="CY39" s="57">
        <v>0</v>
      </c>
      <c r="CZ39" s="57">
        <v>0</v>
      </c>
      <c r="DA39" s="57">
        <f t="shared" si="44"/>
        <v>0</v>
      </c>
      <c r="DB39" s="57">
        <v>600</v>
      </c>
      <c r="DC39" s="57">
        <v>0</v>
      </c>
      <c r="DD39" s="57">
        <f t="shared" si="45"/>
        <v>600</v>
      </c>
      <c r="DE39" s="57">
        <f t="shared" si="46"/>
        <v>0</v>
      </c>
      <c r="DF39" s="57" t="e">
        <f t="shared" si="47"/>
        <v>#DIV/0!</v>
      </c>
    </row>
    <row r="40" spans="1:110" ht="14.25" customHeight="1">
      <c r="A40" s="59"/>
      <c r="B40" s="29"/>
      <c r="C40" s="45">
        <v>0</v>
      </c>
      <c r="D40" s="45">
        <v>0</v>
      </c>
      <c r="E40" s="45">
        <v>0</v>
      </c>
      <c r="F40" s="45">
        <f t="shared" si="0"/>
        <v>0</v>
      </c>
      <c r="G40" s="45">
        <v>900</v>
      </c>
      <c r="H40" s="45">
        <v>0</v>
      </c>
      <c r="I40" s="45">
        <f t="shared" si="1"/>
        <v>900</v>
      </c>
      <c r="J40" s="45">
        <f t="shared" si="2"/>
        <v>0</v>
      </c>
      <c r="K40" s="45" t="e">
        <f t="shared" si="3"/>
        <v>#DIV/0!</v>
      </c>
      <c r="L40" s="47">
        <v>0</v>
      </c>
      <c r="M40" s="47">
        <v>0</v>
      </c>
      <c r="N40" s="47">
        <v>0</v>
      </c>
      <c r="O40" s="47">
        <f t="shared" si="4"/>
        <v>0</v>
      </c>
      <c r="P40" s="47">
        <v>1800</v>
      </c>
      <c r="Q40" s="47">
        <v>0</v>
      </c>
      <c r="R40" s="47">
        <f t="shared" si="5"/>
        <v>1800</v>
      </c>
      <c r="S40" s="47">
        <f t="shared" si="6"/>
        <v>0</v>
      </c>
      <c r="T40" s="47" t="e">
        <f t="shared" si="7"/>
        <v>#DIV/0!</v>
      </c>
      <c r="U40" s="48">
        <v>0</v>
      </c>
      <c r="V40" s="48">
        <v>0</v>
      </c>
      <c r="W40" s="48">
        <v>0</v>
      </c>
      <c r="X40" s="48">
        <f t="shared" si="8"/>
        <v>0</v>
      </c>
      <c r="Y40" s="48">
        <v>910</v>
      </c>
      <c r="Z40" s="48">
        <v>0</v>
      </c>
      <c r="AA40" s="48">
        <f t="shared" si="9"/>
        <v>910</v>
      </c>
      <c r="AB40" s="48">
        <f t="shared" si="10"/>
        <v>0</v>
      </c>
      <c r="AC40" s="48" t="e">
        <f t="shared" si="11"/>
        <v>#DIV/0!</v>
      </c>
      <c r="AD40" s="49">
        <v>0</v>
      </c>
      <c r="AE40" s="49">
        <v>0</v>
      </c>
      <c r="AF40" s="49">
        <v>0</v>
      </c>
      <c r="AG40" s="49">
        <f t="shared" si="12"/>
        <v>0</v>
      </c>
      <c r="AH40" s="49">
        <v>1200</v>
      </c>
      <c r="AI40" s="49">
        <v>0</v>
      </c>
      <c r="AJ40" s="49">
        <f t="shared" si="13"/>
        <v>1200</v>
      </c>
      <c r="AK40" s="49">
        <f t="shared" si="14"/>
        <v>0</v>
      </c>
      <c r="AL40" s="49" t="e">
        <f t="shared" si="15"/>
        <v>#DIV/0!</v>
      </c>
      <c r="AM40" s="50">
        <v>0</v>
      </c>
      <c r="AN40" s="50">
        <v>0</v>
      </c>
      <c r="AO40" s="50">
        <v>0</v>
      </c>
      <c r="AP40" s="50">
        <f t="shared" si="16"/>
        <v>0</v>
      </c>
      <c r="AQ40" s="50">
        <v>600</v>
      </c>
      <c r="AR40" s="50">
        <v>0</v>
      </c>
      <c r="AS40" s="50">
        <f t="shared" si="17"/>
        <v>600</v>
      </c>
      <c r="AT40" s="50">
        <f t="shared" si="18"/>
        <v>0</v>
      </c>
      <c r="AU40" s="50" t="e">
        <f t="shared" si="19"/>
        <v>#DIV/0!</v>
      </c>
      <c r="AV40" s="51">
        <v>0</v>
      </c>
      <c r="AW40" s="51">
        <v>0</v>
      </c>
      <c r="AX40" s="51">
        <v>0</v>
      </c>
      <c r="AY40" s="51">
        <f t="shared" si="20"/>
        <v>0</v>
      </c>
      <c r="AZ40" s="51">
        <v>1500</v>
      </c>
      <c r="BA40" s="51">
        <v>0</v>
      </c>
      <c r="BB40" s="51">
        <f t="shared" si="21"/>
        <v>1500</v>
      </c>
      <c r="BC40" s="51">
        <f t="shared" si="22"/>
        <v>0</v>
      </c>
      <c r="BD40" s="51" t="e">
        <f t="shared" si="23"/>
        <v>#DIV/0!</v>
      </c>
      <c r="BE40" s="52">
        <v>0</v>
      </c>
      <c r="BF40" s="52">
        <v>0</v>
      </c>
      <c r="BG40" s="52">
        <v>0</v>
      </c>
      <c r="BH40" s="52">
        <f t="shared" si="24"/>
        <v>0</v>
      </c>
      <c r="BI40" s="52">
        <v>750</v>
      </c>
      <c r="BJ40" s="52">
        <v>0</v>
      </c>
      <c r="BK40" s="52">
        <f t="shared" si="25"/>
        <v>750</v>
      </c>
      <c r="BL40" s="52">
        <f t="shared" si="26"/>
        <v>0</v>
      </c>
      <c r="BM40" s="52" t="e">
        <f t="shared" si="27"/>
        <v>#DIV/0!</v>
      </c>
      <c r="BN40" s="53">
        <v>0</v>
      </c>
      <c r="BO40" s="53">
        <v>0</v>
      </c>
      <c r="BP40" s="53">
        <v>0</v>
      </c>
      <c r="BQ40" s="53">
        <f t="shared" si="28"/>
        <v>0</v>
      </c>
      <c r="BR40" s="53">
        <v>2450</v>
      </c>
      <c r="BS40" s="53">
        <v>0</v>
      </c>
      <c r="BT40" s="53">
        <f t="shared" si="29"/>
        <v>2450</v>
      </c>
      <c r="BU40" s="53">
        <f t="shared" si="30"/>
        <v>0</v>
      </c>
      <c r="BV40" s="53" t="e">
        <f t="shared" si="31"/>
        <v>#DIV/0!</v>
      </c>
      <c r="BW40" s="54">
        <v>0</v>
      </c>
      <c r="BX40" s="54">
        <v>0</v>
      </c>
      <c r="BY40" s="54">
        <v>0</v>
      </c>
      <c r="BZ40" s="54">
        <f t="shared" si="32"/>
        <v>0</v>
      </c>
      <c r="CA40" s="54">
        <v>750</v>
      </c>
      <c r="CB40" s="54">
        <v>0</v>
      </c>
      <c r="CC40" s="54">
        <f t="shared" si="33"/>
        <v>750</v>
      </c>
      <c r="CD40" s="54">
        <f t="shared" si="34"/>
        <v>0</v>
      </c>
      <c r="CE40" s="54" t="e">
        <f t="shared" si="35"/>
        <v>#DIV/0!</v>
      </c>
      <c r="CF40" s="55">
        <v>0</v>
      </c>
      <c r="CG40" s="55">
        <v>0</v>
      </c>
      <c r="CH40" s="55">
        <v>0</v>
      </c>
      <c r="CI40" s="55">
        <f t="shared" si="36"/>
        <v>0</v>
      </c>
      <c r="CJ40" s="55">
        <v>730</v>
      </c>
      <c r="CK40" s="55">
        <v>0</v>
      </c>
      <c r="CL40" s="55">
        <f t="shared" si="37"/>
        <v>730</v>
      </c>
      <c r="CM40" s="55">
        <f t="shared" si="38"/>
        <v>0</v>
      </c>
      <c r="CN40" s="55" t="e">
        <f t="shared" si="39"/>
        <v>#DIV/0!</v>
      </c>
      <c r="CO40" s="56">
        <v>0</v>
      </c>
      <c r="CP40" s="56">
        <v>0</v>
      </c>
      <c r="CQ40" s="56">
        <v>0</v>
      </c>
      <c r="CR40" s="56">
        <f t="shared" si="40"/>
        <v>0</v>
      </c>
      <c r="CS40" s="56">
        <v>730</v>
      </c>
      <c r="CT40" s="56">
        <v>0</v>
      </c>
      <c r="CU40" s="56">
        <f t="shared" si="41"/>
        <v>730</v>
      </c>
      <c r="CV40" s="56">
        <f t="shared" si="42"/>
        <v>0</v>
      </c>
      <c r="CW40" s="56" t="e">
        <f t="shared" si="43"/>
        <v>#DIV/0!</v>
      </c>
      <c r="CX40" s="57">
        <v>0</v>
      </c>
      <c r="CY40" s="57">
        <v>0</v>
      </c>
      <c r="CZ40" s="57">
        <v>0</v>
      </c>
      <c r="DA40" s="57">
        <f t="shared" si="44"/>
        <v>0</v>
      </c>
      <c r="DB40" s="57">
        <v>600</v>
      </c>
      <c r="DC40" s="57">
        <v>0</v>
      </c>
      <c r="DD40" s="57">
        <f t="shared" si="45"/>
        <v>600</v>
      </c>
      <c r="DE40" s="57">
        <f t="shared" si="46"/>
        <v>0</v>
      </c>
      <c r="DF40" s="57" t="e">
        <f t="shared" si="47"/>
        <v>#DIV/0!</v>
      </c>
    </row>
    <row r="41" spans="1:110" ht="14.25" customHeight="1">
      <c r="A41" s="59"/>
      <c r="B41" s="29"/>
      <c r="C41" s="45">
        <v>0</v>
      </c>
      <c r="D41" s="45">
        <v>0</v>
      </c>
      <c r="E41" s="45">
        <v>0</v>
      </c>
      <c r="F41" s="45">
        <f t="shared" si="0"/>
        <v>0</v>
      </c>
      <c r="G41" s="45">
        <v>900</v>
      </c>
      <c r="H41" s="45">
        <v>0</v>
      </c>
      <c r="I41" s="45">
        <f t="shared" si="1"/>
        <v>900</v>
      </c>
      <c r="J41" s="45">
        <f t="shared" si="2"/>
        <v>0</v>
      </c>
      <c r="K41" s="45" t="e">
        <f t="shared" si="3"/>
        <v>#DIV/0!</v>
      </c>
      <c r="L41" s="47">
        <v>0</v>
      </c>
      <c r="M41" s="47">
        <v>0</v>
      </c>
      <c r="N41" s="47">
        <v>0</v>
      </c>
      <c r="O41" s="47">
        <f t="shared" si="4"/>
        <v>0</v>
      </c>
      <c r="P41" s="47">
        <v>1800</v>
      </c>
      <c r="Q41" s="47">
        <v>0</v>
      </c>
      <c r="R41" s="47">
        <f t="shared" si="5"/>
        <v>1800</v>
      </c>
      <c r="S41" s="47">
        <f t="shared" si="6"/>
        <v>0</v>
      </c>
      <c r="T41" s="47" t="e">
        <f t="shared" si="7"/>
        <v>#DIV/0!</v>
      </c>
      <c r="U41" s="48">
        <v>0</v>
      </c>
      <c r="V41" s="48">
        <v>0</v>
      </c>
      <c r="W41" s="48">
        <v>0</v>
      </c>
      <c r="X41" s="48">
        <f t="shared" si="8"/>
        <v>0</v>
      </c>
      <c r="Y41" s="48">
        <v>910</v>
      </c>
      <c r="Z41" s="48">
        <v>0</v>
      </c>
      <c r="AA41" s="48">
        <f t="shared" si="9"/>
        <v>910</v>
      </c>
      <c r="AB41" s="48">
        <f t="shared" si="10"/>
        <v>0</v>
      </c>
      <c r="AC41" s="48" t="e">
        <f t="shared" si="11"/>
        <v>#DIV/0!</v>
      </c>
      <c r="AD41" s="49">
        <v>0</v>
      </c>
      <c r="AE41" s="49">
        <v>0</v>
      </c>
      <c r="AF41" s="49">
        <v>0</v>
      </c>
      <c r="AG41" s="49">
        <f t="shared" si="12"/>
        <v>0</v>
      </c>
      <c r="AH41" s="49">
        <v>1200</v>
      </c>
      <c r="AI41" s="49">
        <v>0</v>
      </c>
      <c r="AJ41" s="49">
        <f t="shared" si="13"/>
        <v>1200</v>
      </c>
      <c r="AK41" s="49">
        <f t="shared" si="14"/>
        <v>0</v>
      </c>
      <c r="AL41" s="49" t="e">
        <f t="shared" si="15"/>
        <v>#DIV/0!</v>
      </c>
      <c r="AM41" s="50">
        <v>0</v>
      </c>
      <c r="AN41" s="50">
        <v>0</v>
      </c>
      <c r="AO41" s="50">
        <v>0</v>
      </c>
      <c r="AP41" s="50">
        <f t="shared" si="16"/>
        <v>0</v>
      </c>
      <c r="AQ41" s="50">
        <v>600</v>
      </c>
      <c r="AR41" s="50">
        <v>0</v>
      </c>
      <c r="AS41" s="50">
        <f t="shared" si="17"/>
        <v>600</v>
      </c>
      <c r="AT41" s="50">
        <f t="shared" si="18"/>
        <v>0</v>
      </c>
      <c r="AU41" s="50" t="e">
        <f t="shared" si="19"/>
        <v>#DIV/0!</v>
      </c>
      <c r="AV41" s="51">
        <v>0</v>
      </c>
      <c r="AW41" s="51">
        <v>0</v>
      </c>
      <c r="AX41" s="51">
        <v>0</v>
      </c>
      <c r="AY41" s="51">
        <f t="shared" si="20"/>
        <v>0</v>
      </c>
      <c r="AZ41" s="51">
        <v>1500</v>
      </c>
      <c r="BA41" s="51">
        <v>0</v>
      </c>
      <c r="BB41" s="51">
        <f t="shared" si="21"/>
        <v>1500</v>
      </c>
      <c r="BC41" s="51">
        <f t="shared" si="22"/>
        <v>0</v>
      </c>
      <c r="BD41" s="51" t="e">
        <f t="shared" si="23"/>
        <v>#DIV/0!</v>
      </c>
      <c r="BE41" s="52">
        <v>0</v>
      </c>
      <c r="BF41" s="52">
        <v>0</v>
      </c>
      <c r="BG41" s="52">
        <v>0</v>
      </c>
      <c r="BH41" s="52">
        <f t="shared" si="24"/>
        <v>0</v>
      </c>
      <c r="BI41" s="52">
        <v>750</v>
      </c>
      <c r="BJ41" s="52">
        <v>0</v>
      </c>
      <c r="BK41" s="52">
        <f t="shared" si="25"/>
        <v>750</v>
      </c>
      <c r="BL41" s="52">
        <f t="shared" si="26"/>
        <v>0</v>
      </c>
      <c r="BM41" s="52" t="e">
        <f t="shared" si="27"/>
        <v>#DIV/0!</v>
      </c>
      <c r="BN41" s="53">
        <v>0</v>
      </c>
      <c r="BO41" s="53">
        <v>0</v>
      </c>
      <c r="BP41" s="53">
        <v>0</v>
      </c>
      <c r="BQ41" s="53">
        <f t="shared" si="28"/>
        <v>0</v>
      </c>
      <c r="BR41" s="53">
        <v>2450</v>
      </c>
      <c r="BS41" s="53">
        <v>0</v>
      </c>
      <c r="BT41" s="53">
        <f t="shared" si="29"/>
        <v>2450</v>
      </c>
      <c r="BU41" s="53">
        <f t="shared" si="30"/>
        <v>0</v>
      </c>
      <c r="BV41" s="53" t="e">
        <f t="shared" si="31"/>
        <v>#DIV/0!</v>
      </c>
      <c r="BW41" s="54">
        <v>0</v>
      </c>
      <c r="BX41" s="54">
        <v>0</v>
      </c>
      <c r="BY41" s="54">
        <v>0</v>
      </c>
      <c r="BZ41" s="54">
        <f t="shared" si="32"/>
        <v>0</v>
      </c>
      <c r="CA41" s="54">
        <v>750</v>
      </c>
      <c r="CB41" s="54">
        <v>0</v>
      </c>
      <c r="CC41" s="54">
        <f t="shared" si="33"/>
        <v>750</v>
      </c>
      <c r="CD41" s="54">
        <f t="shared" si="34"/>
        <v>0</v>
      </c>
      <c r="CE41" s="54" t="e">
        <f t="shared" si="35"/>
        <v>#DIV/0!</v>
      </c>
      <c r="CF41" s="55">
        <v>0</v>
      </c>
      <c r="CG41" s="55">
        <v>0</v>
      </c>
      <c r="CH41" s="55">
        <v>0</v>
      </c>
      <c r="CI41" s="55">
        <f t="shared" si="36"/>
        <v>0</v>
      </c>
      <c r="CJ41" s="55">
        <v>730</v>
      </c>
      <c r="CK41" s="55">
        <v>0</v>
      </c>
      <c r="CL41" s="55">
        <f t="shared" si="37"/>
        <v>730</v>
      </c>
      <c r="CM41" s="55">
        <f t="shared" si="38"/>
        <v>0</v>
      </c>
      <c r="CN41" s="55" t="e">
        <f t="shared" si="39"/>
        <v>#DIV/0!</v>
      </c>
      <c r="CO41" s="56">
        <v>0</v>
      </c>
      <c r="CP41" s="56">
        <v>0</v>
      </c>
      <c r="CQ41" s="56">
        <v>0</v>
      </c>
      <c r="CR41" s="56">
        <f t="shared" si="40"/>
        <v>0</v>
      </c>
      <c r="CS41" s="56">
        <v>730</v>
      </c>
      <c r="CT41" s="56">
        <v>0</v>
      </c>
      <c r="CU41" s="56">
        <f t="shared" si="41"/>
        <v>730</v>
      </c>
      <c r="CV41" s="56">
        <f t="shared" si="42"/>
        <v>0</v>
      </c>
      <c r="CW41" s="56" t="e">
        <f t="shared" si="43"/>
        <v>#DIV/0!</v>
      </c>
      <c r="CX41" s="57">
        <v>0</v>
      </c>
      <c r="CY41" s="57">
        <v>0</v>
      </c>
      <c r="CZ41" s="57">
        <v>0</v>
      </c>
      <c r="DA41" s="57">
        <f t="shared" si="44"/>
        <v>0</v>
      </c>
      <c r="DB41" s="57">
        <v>600</v>
      </c>
      <c r="DC41" s="57">
        <v>0</v>
      </c>
      <c r="DD41" s="57">
        <f t="shared" si="45"/>
        <v>600</v>
      </c>
      <c r="DE41" s="57">
        <f t="shared" si="46"/>
        <v>0</v>
      </c>
      <c r="DF41" s="57" t="e">
        <f t="shared" si="47"/>
        <v>#DIV/0!</v>
      </c>
    </row>
    <row r="42" spans="1:110" ht="14.25" customHeight="1">
      <c r="A42" s="59"/>
      <c r="B42" s="29"/>
      <c r="C42" s="45">
        <v>0</v>
      </c>
      <c r="D42" s="45">
        <v>0</v>
      </c>
      <c r="E42" s="45">
        <v>0</v>
      </c>
      <c r="F42" s="45">
        <f t="shared" si="0"/>
        <v>0</v>
      </c>
      <c r="G42" s="45">
        <v>900</v>
      </c>
      <c r="H42" s="45">
        <v>0</v>
      </c>
      <c r="I42" s="45">
        <f t="shared" si="1"/>
        <v>900</v>
      </c>
      <c r="J42" s="45">
        <f t="shared" si="2"/>
        <v>0</v>
      </c>
      <c r="K42" s="45" t="e">
        <f t="shared" si="3"/>
        <v>#DIV/0!</v>
      </c>
      <c r="L42" s="47">
        <v>0</v>
      </c>
      <c r="M42" s="47">
        <v>0</v>
      </c>
      <c r="N42" s="47">
        <v>0</v>
      </c>
      <c r="O42" s="47">
        <f t="shared" si="4"/>
        <v>0</v>
      </c>
      <c r="P42" s="47">
        <v>1800</v>
      </c>
      <c r="Q42" s="47">
        <v>0</v>
      </c>
      <c r="R42" s="47">
        <f t="shared" si="5"/>
        <v>1800</v>
      </c>
      <c r="S42" s="47">
        <f t="shared" si="6"/>
        <v>0</v>
      </c>
      <c r="T42" s="47" t="e">
        <f t="shared" si="7"/>
        <v>#DIV/0!</v>
      </c>
      <c r="U42" s="48">
        <v>0</v>
      </c>
      <c r="V42" s="48">
        <v>0</v>
      </c>
      <c r="W42" s="48">
        <v>0</v>
      </c>
      <c r="X42" s="48">
        <f t="shared" si="8"/>
        <v>0</v>
      </c>
      <c r="Y42" s="48">
        <v>910</v>
      </c>
      <c r="Z42" s="48">
        <v>0</v>
      </c>
      <c r="AA42" s="48">
        <f t="shared" si="9"/>
        <v>910</v>
      </c>
      <c r="AB42" s="48">
        <f t="shared" si="10"/>
        <v>0</v>
      </c>
      <c r="AC42" s="48" t="e">
        <f t="shared" si="11"/>
        <v>#DIV/0!</v>
      </c>
      <c r="AD42" s="49">
        <v>0</v>
      </c>
      <c r="AE42" s="49">
        <v>0</v>
      </c>
      <c r="AF42" s="49">
        <v>0</v>
      </c>
      <c r="AG42" s="49">
        <f t="shared" si="12"/>
        <v>0</v>
      </c>
      <c r="AH42" s="49">
        <v>1200</v>
      </c>
      <c r="AI42" s="49">
        <v>0</v>
      </c>
      <c r="AJ42" s="49">
        <f t="shared" si="13"/>
        <v>1200</v>
      </c>
      <c r="AK42" s="49">
        <f t="shared" si="14"/>
        <v>0</v>
      </c>
      <c r="AL42" s="49" t="e">
        <f t="shared" si="15"/>
        <v>#DIV/0!</v>
      </c>
      <c r="AM42" s="50">
        <v>0</v>
      </c>
      <c r="AN42" s="50">
        <v>0</v>
      </c>
      <c r="AO42" s="50">
        <v>0</v>
      </c>
      <c r="AP42" s="50">
        <f t="shared" si="16"/>
        <v>0</v>
      </c>
      <c r="AQ42" s="50">
        <v>600</v>
      </c>
      <c r="AR42" s="50">
        <v>0</v>
      </c>
      <c r="AS42" s="50">
        <f t="shared" si="17"/>
        <v>600</v>
      </c>
      <c r="AT42" s="50">
        <f t="shared" si="18"/>
        <v>0</v>
      </c>
      <c r="AU42" s="50" t="e">
        <f t="shared" si="19"/>
        <v>#DIV/0!</v>
      </c>
      <c r="AV42" s="51">
        <v>0</v>
      </c>
      <c r="AW42" s="51">
        <v>0</v>
      </c>
      <c r="AX42" s="51">
        <v>0</v>
      </c>
      <c r="AY42" s="51">
        <f t="shared" si="20"/>
        <v>0</v>
      </c>
      <c r="AZ42" s="51">
        <v>1500</v>
      </c>
      <c r="BA42" s="51">
        <v>0</v>
      </c>
      <c r="BB42" s="51">
        <f t="shared" si="21"/>
        <v>1500</v>
      </c>
      <c r="BC42" s="51">
        <f t="shared" si="22"/>
        <v>0</v>
      </c>
      <c r="BD42" s="51" t="e">
        <f t="shared" si="23"/>
        <v>#DIV/0!</v>
      </c>
      <c r="BE42" s="52">
        <v>0</v>
      </c>
      <c r="BF42" s="52">
        <v>0</v>
      </c>
      <c r="BG42" s="52">
        <v>0</v>
      </c>
      <c r="BH42" s="52">
        <f t="shared" si="24"/>
        <v>0</v>
      </c>
      <c r="BI42" s="52">
        <v>750</v>
      </c>
      <c r="BJ42" s="52">
        <v>0</v>
      </c>
      <c r="BK42" s="52">
        <f t="shared" si="25"/>
        <v>750</v>
      </c>
      <c r="BL42" s="52">
        <f t="shared" si="26"/>
        <v>0</v>
      </c>
      <c r="BM42" s="52" t="e">
        <f t="shared" si="27"/>
        <v>#DIV/0!</v>
      </c>
      <c r="BN42" s="53">
        <v>0</v>
      </c>
      <c r="BO42" s="53">
        <v>40</v>
      </c>
      <c r="BP42" s="53">
        <v>0</v>
      </c>
      <c r="BQ42" s="53">
        <f t="shared" si="28"/>
        <v>40</v>
      </c>
      <c r="BR42" s="53">
        <v>2450</v>
      </c>
      <c r="BS42" s="53">
        <v>350</v>
      </c>
      <c r="BT42" s="53">
        <f t="shared" si="29"/>
        <v>2100</v>
      </c>
      <c r="BU42" s="53">
        <f t="shared" si="30"/>
        <v>84000</v>
      </c>
      <c r="BV42" s="53">
        <f t="shared" si="31"/>
        <v>0</v>
      </c>
      <c r="BW42" s="54">
        <v>0</v>
      </c>
      <c r="BX42" s="54">
        <v>0</v>
      </c>
      <c r="BY42" s="54">
        <v>0</v>
      </c>
      <c r="BZ42" s="54">
        <f t="shared" si="32"/>
        <v>0</v>
      </c>
      <c r="CA42" s="54">
        <v>750</v>
      </c>
      <c r="CB42" s="54">
        <v>0</v>
      </c>
      <c r="CC42" s="54">
        <f t="shared" si="33"/>
        <v>750</v>
      </c>
      <c r="CD42" s="54">
        <f t="shared" si="34"/>
        <v>0</v>
      </c>
      <c r="CE42" s="54" t="e">
        <f t="shared" si="35"/>
        <v>#DIV/0!</v>
      </c>
      <c r="CF42" s="55">
        <v>0</v>
      </c>
      <c r="CG42" s="55">
        <v>0</v>
      </c>
      <c r="CH42" s="55">
        <v>0</v>
      </c>
      <c r="CI42" s="55">
        <f t="shared" si="36"/>
        <v>0</v>
      </c>
      <c r="CJ42" s="55">
        <v>730</v>
      </c>
      <c r="CK42" s="55">
        <v>0</v>
      </c>
      <c r="CL42" s="55">
        <f t="shared" si="37"/>
        <v>730</v>
      </c>
      <c r="CM42" s="55">
        <f t="shared" si="38"/>
        <v>0</v>
      </c>
      <c r="CN42" s="55" t="e">
        <f t="shared" si="39"/>
        <v>#DIV/0!</v>
      </c>
      <c r="CO42" s="56">
        <v>0</v>
      </c>
      <c r="CP42" s="56">
        <v>0</v>
      </c>
      <c r="CQ42" s="56">
        <v>0</v>
      </c>
      <c r="CR42" s="56">
        <f t="shared" si="40"/>
        <v>0</v>
      </c>
      <c r="CS42" s="56">
        <v>730</v>
      </c>
      <c r="CT42" s="56">
        <v>0</v>
      </c>
      <c r="CU42" s="56">
        <f t="shared" si="41"/>
        <v>730</v>
      </c>
      <c r="CV42" s="56">
        <f t="shared" si="42"/>
        <v>0</v>
      </c>
      <c r="CW42" s="56" t="e">
        <f t="shared" si="43"/>
        <v>#DIV/0!</v>
      </c>
      <c r="CX42" s="57">
        <v>0</v>
      </c>
      <c r="CY42" s="57">
        <v>0</v>
      </c>
      <c r="CZ42" s="57">
        <v>0</v>
      </c>
      <c r="DA42" s="57">
        <f t="shared" si="44"/>
        <v>0</v>
      </c>
      <c r="DB42" s="57">
        <v>600</v>
      </c>
      <c r="DC42" s="57">
        <v>0</v>
      </c>
      <c r="DD42" s="57">
        <f t="shared" si="45"/>
        <v>600</v>
      </c>
      <c r="DE42" s="57">
        <f t="shared" si="46"/>
        <v>0</v>
      </c>
      <c r="DF42" s="57" t="e">
        <f t="shared" si="47"/>
        <v>#DIV/0!</v>
      </c>
    </row>
    <row r="43" spans="1:110" ht="14.25" customHeight="1">
      <c r="A43" s="59"/>
      <c r="B43" s="29"/>
      <c r="C43" s="45">
        <v>0</v>
      </c>
      <c r="D43" s="45">
        <v>0</v>
      </c>
      <c r="E43" s="45">
        <v>0</v>
      </c>
      <c r="F43" s="45">
        <f t="shared" si="0"/>
        <v>0</v>
      </c>
      <c r="G43" s="45">
        <v>900</v>
      </c>
      <c r="H43" s="45">
        <v>0</v>
      </c>
      <c r="I43" s="45">
        <f t="shared" si="1"/>
        <v>900</v>
      </c>
      <c r="J43" s="45">
        <f t="shared" si="2"/>
        <v>0</v>
      </c>
      <c r="K43" s="45" t="e">
        <f t="shared" si="3"/>
        <v>#DIV/0!</v>
      </c>
      <c r="L43" s="47">
        <v>0</v>
      </c>
      <c r="M43" s="47">
        <v>0</v>
      </c>
      <c r="N43" s="47">
        <v>0</v>
      </c>
      <c r="O43" s="47">
        <f t="shared" si="4"/>
        <v>0</v>
      </c>
      <c r="P43" s="47">
        <v>1800</v>
      </c>
      <c r="Q43" s="47">
        <v>0</v>
      </c>
      <c r="R43" s="47">
        <f t="shared" si="5"/>
        <v>1800</v>
      </c>
      <c r="S43" s="47">
        <f t="shared" si="6"/>
        <v>0</v>
      </c>
      <c r="T43" s="47" t="e">
        <f t="shared" si="7"/>
        <v>#DIV/0!</v>
      </c>
      <c r="U43" s="48">
        <v>0</v>
      </c>
      <c r="V43" s="48">
        <v>0</v>
      </c>
      <c r="W43" s="48">
        <v>0</v>
      </c>
      <c r="X43" s="48">
        <f t="shared" si="8"/>
        <v>0</v>
      </c>
      <c r="Y43" s="48">
        <v>910</v>
      </c>
      <c r="Z43" s="48">
        <v>0</v>
      </c>
      <c r="AA43" s="48">
        <f t="shared" si="9"/>
        <v>910</v>
      </c>
      <c r="AB43" s="48">
        <f t="shared" si="10"/>
        <v>0</v>
      </c>
      <c r="AC43" s="48" t="e">
        <f t="shared" si="11"/>
        <v>#DIV/0!</v>
      </c>
      <c r="AD43" s="49">
        <v>0</v>
      </c>
      <c r="AE43" s="49">
        <v>0</v>
      </c>
      <c r="AF43" s="49">
        <v>0</v>
      </c>
      <c r="AG43" s="49">
        <f t="shared" si="12"/>
        <v>0</v>
      </c>
      <c r="AH43" s="49">
        <v>1200</v>
      </c>
      <c r="AI43" s="49">
        <v>0</v>
      </c>
      <c r="AJ43" s="49">
        <f t="shared" si="13"/>
        <v>1200</v>
      </c>
      <c r="AK43" s="49">
        <f t="shared" si="14"/>
        <v>0</v>
      </c>
      <c r="AL43" s="49" t="e">
        <f t="shared" si="15"/>
        <v>#DIV/0!</v>
      </c>
      <c r="AM43" s="50">
        <v>0</v>
      </c>
      <c r="AN43" s="50">
        <v>0</v>
      </c>
      <c r="AO43" s="50">
        <v>0</v>
      </c>
      <c r="AP43" s="50">
        <f t="shared" si="16"/>
        <v>0</v>
      </c>
      <c r="AQ43" s="50">
        <v>600</v>
      </c>
      <c r="AR43" s="50">
        <v>0</v>
      </c>
      <c r="AS43" s="50">
        <f t="shared" si="17"/>
        <v>600</v>
      </c>
      <c r="AT43" s="50">
        <f t="shared" si="18"/>
        <v>0</v>
      </c>
      <c r="AU43" s="50" t="e">
        <f t="shared" si="19"/>
        <v>#DIV/0!</v>
      </c>
      <c r="AV43" s="51">
        <v>0</v>
      </c>
      <c r="AW43" s="51">
        <v>0</v>
      </c>
      <c r="AX43" s="51">
        <v>0</v>
      </c>
      <c r="AY43" s="51">
        <f t="shared" si="20"/>
        <v>0</v>
      </c>
      <c r="AZ43" s="51">
        <v>1500</v>
      </c>
      <c r="BA43" s="51">
        <v>0</v>
      </c>
      <c r="BB43" s="51">
        <f t="shared" si="21"/>
        <v>1500</v>
      </c>
      <c r="BC43" s="51">
        <f t="shared" si="22"/>
        <v>0</v>
      </c>
      <c r="BD43" s="51" t="e">
        <f t="shared" si="23"/>
        <v>#DIV/0!</v>
      </c>
      <c r="BE43" s="52">
        <v>0</v>
      </c>
      <c r="BF43" s="52">
        <v>0</v>
      </c>
      <c r="BG43" s="52">
        <v>0</v>
      </c>
      <c r="BH43" s="52">
        <f t="shared" si="24"/>
        <v>0</v>
      </c>
      <c r="BI43" s="52">
        <v>750</v>
      </c>
      <c r="BJ43" s="52">
        <v>0</v>
      </c>
      <c r="BK43" s="52">
        <f t="shared" si="25"/>
        <v>750</v>
      </c>
      <c r="BL43" s="52">
        <f t="shared" si="26"/>
        <v>0</v>
      </c>
      <c r="BM43" s="52" t="e">
        <f t="shared" si="27"/>
        <v>#DIV/0!</v>
      </c>
      <c r="BN43" s="53">
        <v>0</v>
      </c>
      <c r="BO43" s="53">
        <v>0</v>
      </c>
      <c r="BP43" s="53">
        <v>0</v>
      </c>
      <c r="BQ43" s="53">
        <f t="shared" si="28"/>
        <v>0</v>
      </c>
      <c r="BR43" s="53">
        <v>2450</v>
      </c>
      <c r="BS43" s="53">
        <v>0</v>
      </c>
      <c r="BT43" s="53">
        <f t="shared" si="29"/>
        <v>2450</v>
      </c>
      <c r="BU43" s="53">
        <f t="shared" si="30"/>
        <v>0</v>
      </c>
      <c r="BV43" s="53" t="e">
        <f t="shared" si="31"/>
        <v>#DIV/0!</v>
      </c>
      <c r="BW43" s="54">
        <v>0</v>
      </c>
      <c r="BX43" s="54">
        <v>0</v>
      </c>
      <c r="BY43" s="54">
        <v>0</v>
      </c>
      <c r="BZ43" s="54">
        <f t="shared" si="32"/>
        <v>0</v>
      </c>
      <c r="CA43" s="54">
        <v>750</v>
      </c>
      <c r="CB43" s="54">
        <v>0</v>
      </c>
      <c r="CC43" s="54">
        <f t="shared" si="33"/>
        <v>750</v>
      </c>
      <c r="CD43" s="54">
        <f t="shared" si="34"/>
        <v>0</v>
      </c>
      <c r="CE43" s="54" t="e">
        <f t="shared" si="35"/>
        <v>#DIV/0!</v>
      </c>
      <c r="CF43" s="55">
        <v>0</v>
      </c>
      <c r="CG43" s="55">
        <v>0</v>
      </c>
      <c r="CH43" s="55">
        <v>0</v>
      </c>
      <c r="CI43" s="55">
        <f t="shared" si="36"/>
        <v>0</v>
      </c>
      <c r="CJ43" s="55">
        <v>730</v>
      </c>
      <c r="CK43" s="55">
        <v>0</v>
      </c>
      <c r="CL43" s="55">
        <f t="shared" si="37"/>
        <v>730</v>
      </c>
      <c r="CM43" s="55">
        <f t="shared" si="38"/>
        <v>0</v>
      </c>
      <c r="CN43" s="55" t="e">
        <f t="shared" si="39"/>
        <v>#DIV/0!</v>
      </c>
      <c r="CO43" s="56">
        <v>0</v>
      </c>
      <c r="CP43" s="56">
        <v>0</v>
      </c>
      <c r="CQ43" s="56">
        <v>0</v>
      </c>
      <c r="CR43" s="56">
        <f t="shared" si="40"/>
        <v>0</v>
      </c>
      <c r="CS43" s="56">
        <v>730</v>
      </c>
      <c r="CT43" s="56">
        <v>0</v>
      </c>
      <c r="CU43" s="56">
        <f t="shared" si="41"/>
        <v>730</v>
      </c>
      <c r="CV43" s="56">
        <f t="shared" si="42"/>
        <v>0</v>
      </c>
      <c r="CW43" s="56" t="e">
        <f t="shared" si="43"/>
        <v>#DIV/0!</v>
      </c>
      <c r="CX43" s="57">
        <v>0</v>
      </c>
      <c r="CY43" s="57">
        <v>0</v>
      </c>
      <c r="CZ43" s="57">
        <v>0</v>
      </c>
      <c r="DA43" s="57">
        <f t="shared" si="44"/>
        <v>0</v>
      </c>
      <c r="DB43" s="57">
        <v>600</v>
      </c>
      <c r="DC43" s="57">
        <v>0</v>
      </c>
      <c r="DD43" s="57">
        <f t="shared" si="45"/>
        <v>600</v>
      </c>
      <c r="DE43" s="57">
        <f t="shared" si="46"/>
        <v>0</v>
      </c>
      <c r="DF43" s="57" t="e">
        <f t="shared" si="47"/>
        <v>#DIV/0!</v>
      </c>
    </row>
    <row r="44" spans="1:110" ht="14.25" customHeight="1">
      <c r="A44" s="59"/>
      <c r="B44" s="29"/>
      <c r="C44" s="45">
        <v>0</v>
      </c>
      <c r="D44" s="45">
        <v>0</v>
      </c>
      <c r="E44" s="45">
        <v>0</v>
      </c>
      <c r="F44" s="45">
        <f t="shared" si="0"/>
        <v>0</v>
      </c>
      <c r="G44" s="45">
        <v>900</v>
      </c>
      <c r="H44" s="45">
        <v>0</v>
      </c>
      <c r="I44" s="45">
        <f t="shared" si="1"/>
        <v>900</v>
      </c>
      <c r="J44" s="45">
        <f t="shared" si="2"/>
        <v>0</v>
      </c>
      <c r="K44" s="45" t="e">
        <f t="shared" si="3"/>
        <v>#DIV/0!</v>
      </c>
      <c r="L44" s="47">
        <v>0</v>
      </c>
      <c r="M44" s="47">
        <v>0</v>
      </c>
      <c r="N44" s="47">
        <v>0</v>
      </c>
      <c r="O44" s="47">
        <f t="shared" si="4"/>
        <v>0</v>
      </c>
      <c r="P44" s="47">
        <v>1800</v>
      </c>
      <c r="Q44" s="47">
        <v>0</v>
      </c>
      <c r="R44" s="47">
        <f t="shared" si="5"/>
        <v>1800</v>
      </c>
      <c r="S44" s="47">
        <f t="shared" si="6"/>
        <v>0</v>
      </c>
      <c r="T44" s="47" t="e">
        <f t="shared" si="7"/>
        <v>#DIV/0!</v>
      </c>
      <c r="U44" s="48">
        <v>0</v>
      </c>
      <c r="V44" s="48">
        <v>0</v>
      </c>
      <c r="W44" s="48">
        <v>0</v>
      </c>
      <c r="X44" s="48">
        <f t="shared" si="8"/>
        <v>0</v>
      </c>
      <c r="Y44" s="48">
        <v>910</v>
      </c>
      <c r="Z44" s="48">
        <v>0</v>
      </c>
      <c r="AA44" s="48">
        <f t="shared" si="9"/>
        <v>910</v>
      </c>
      <c r="AB44" s="48">
        <f t="shared" si="10"/>
        <v>0</v>
      </c>
      <c r="AC44" s="48" t="e">
        <f t="shared" si="11"/>
        <v>#DIV/0!</v>
      </c>
      <c r="AD44" s="49">
        <v>0</v>
      </c>
      <c r="AE44" s="49">
        <v>0</v>
      </c>
      <c r="AF44" s="49">
        <v>0</v>
      </c>
      <c r="AG44" s="49">
        <f t="shared" si="12"/>
        <v>0</v>
      </c>
      <c r="AH44" s="49">
        <v>1200</v>
      </c>
      <c r="AI44" s="49">
        <v>0</v>
      </c>
      <c r="AJ44" s="49">
        <f t="shared" si="13"/>
        <v>1200</v>
      </c>
      <c r="AK44" s="49">
        <f t="shared" si="14"/>
        <v>0</v>
      </c>
      <c r="AL44" s="49" t="e">
        <f t="shared" si="15"/>
        <v>#DIV/0!</v>
      </c>
      <c r="AM44" s="50">
        <v>0</v>
      </c>
      <c r="AN44" s="50">
        <v>0</v>
      </c>
      <c r="AO44" s="50">
        <v>0</v>
      </c>
      <c r="AP44" s="50">
        <f t="shared" si="16"/>
        <v>0</v>
      </c>
      <c r="AQ44" s="50">
        <v>600</v>
      </c>
      <c r="AR44" s="50">
        <v>0</v>
      </c>
      <c r="AS44" s="50">
        <f t="shared" si="17"/>
        <v>600</v>
      </c>
      <c r="AT44" s="50">
        <f t="shared" si="18"/>
        <v>0</v>
      </c>
      <c r="AU44" s="50" t="e">
        <f t="shared" si="19"/>
        <v>#DIV/0!</v>
      </c>
      <c r="AV44" s="51">
        <v>0</v>
      </c>
      <c r="AW44" s="51">
        <v>0</v>
      </c>
      <c r="AX44" s="51">
        <v>0</v>
      </c>
      <c r="AY44" s="51">
        <f t="shared" si="20"/>
        <v>0</v>
      </c>
      <c r="AZ44" s="51">
        <v>1500</v>
      </c>
      <c r="BA44" s="51">
        <v>0</v>
      </c>
      <c r="BB44" s="51">
        <f t="shared" si="21"/>
        <v>1500</v>
      </c>
      <c r="BC44" s="51">
        <f t="shared" si="22"/>
        <v>0</v>
      </c>
      <c r="BD44" s="51" t="e">
        <f t="shared" si="23"/>
        <v>#DIV/0!</v>
      </c>
      <c r="BE44" s="52">
        <v>0</v>
      </c>
      <c r="BF44" s="52">
        <v>0</v>
      </c>
      <c r="BG44" s="52">
        <v>0</v>
      </c>
      <c r="BH44" s="52">
        <f t="shared" si="24"/>
        <v>0</v>
      </c>
      <c r="BI44" s="52">
        <v>750</v>
      </c>
      <c r="BJ44" s="52">
        <v>0</v>
      </c>
      <c r="BK44" s="52">
        <f t="shared" si="25"/>
        <v>750</v>
      </c>
      <c r="BL44" s="52">
        <f t="shared" si="26"/>
        <v>0</v>
      </c>
      <c r="BM44" s="52" t="e">
        <f t="shared" si="27"/>
        <v>#DIV/0!</v>
      </c>
      <c r="BN44" s="53">
        <v>0</v>
      </c>
      <c r="BO44" s="53">
        <v>0</v>
      </c>
      <c r="BP44" s="53">
        <v>0</v>
      </c>
      <c r="BQ44" s="53">
        <f t="shared" si="28"/>
        <v>0</v>
      </c>
      <c r="BR44" s="53">
        <v>2450</v>
      </c>
      <c r="BS44" s="53">
        <v>0</v>
      </c>
      <c r="BT44" s="53">
        <f t="shared" si="29"/>
        <v>2450</v>
      </c>
      <c r="BU44" s="53">
        <f t="shared" si="30"/>
        <v>0</v>
      </c>
      <c r="BV44" s="53" t="e">
        <f t="shared" si="31"/>
        <v>#DIV/0!</v>
      </c>
      <c r="BW44" s="54">
        <v>0</v>
      </c>
      <c r="BX44" s="54">
        <v>0</v>
      </c>
      <c r="BY44" s="54">
        <v>0</v>
      </c>
      <c r="BZ44" s="54">
        <f t="shared" si="32"/>
        <v>0</v>
      </c>
      <c r="CA44" s="54">
        <v>750</v>
      </c>
      <c r="CB44" s="54">
        <v>0</v>
      </c>
      <c r="CC44" s="54">
        <f t="shared" si="33"/>
        <v>750</v>
      </c>
      <c r="CD44" s="54">
        <f t="shared" si="34"/>
        <v>0</v>
      </c>
      <c r="CE44" s="54" t="e">
        <f t="shared" si="35"/>
        <v>#DIV/0!</v>
      </c>
      <c r="CF44" s="55">
        <v>0</v>
      </c>
      <c r="CG44" s="55">
        <v>0</v>
      </c>
      <c r="CH44" s="55">
        <v>0</v>
      </c>
      <c r="CI44" s="55">
        <f t="shared" si="36"/>
        <v>0</v>
      </c>
      <c r="CJ44" s="55">
        <v>730</v>
      </c>
      <c r="CK44" s="55">
        <v>0</v>
      </c>
      <c r="CL44" s="55">
        <f t="shared" si="37"/>
        <v>730</v>
      </c>
      <c r="CM44" s="55">
        <f t="shared" si="38"/>
        <v>0</v>
      </c>
      <c r="CN44" s="55" t="e">
        <f t="shared" si="39"/>
        <v>#DIV/0!</v>
      </c>
      <c r="CO44" s="56">
        <v>0</v>
      </c>
      <c r="CP44" s="56">
        <v>0</v>
      </c>
      <c r="CQ44" s="56">
        <v>0</v>
      </c>
      <c r="CR44" s="56">
        <f t="shared" si="40"/>
        <v>0</v>
      </c>
      <c r="CS44" s="56">
        <v>730</v>
      </c>
      <c r="CT44" s="56">
        <v>0</v>
      </c>
      <c r="CU44" s="56">
        <f t="shared" si="41"/>
        <v>730</v>
      </c>
      <c r="CV44" s="56">
        <f t="shared" si="42"/>
        <v>0</v>
      </c>
      <c r="CW44" s="56" t="e">
        <f t="shared" si="43"/>
        <v>#DIV/0!</v>
      </c>
      <c r="CX44" s="57">
        <v>0</v>
      </c>
      <c r="CY44" s="57">
        <v>0</v>
      </c>
      <c r="CZ44" s="57">
        <v>0</v>
      </c>
      <c r="DA44" s="57">
        <f t="shared" si="44"/>
        <v>0</v>
      </c>
      <c r="DB44" s="57">
        <v>600</v>
      </c>
      <c r="DC44" s="57">
        <v>0</v>
      </c>
      <c r="DD44" s="57">
        <f t="shared" si="45"/>
        <v>600</v>
      </c>
      <c r="DE44" s="57">
        <f t="shared" si="46"/>
        <v>0</v>
      </c>
      <c r="DF44" s="57" t="e">
        <f t="shared" si="47"/>
        <v>#DIV/0!</v>
      </c>
    </row>
    <row r="45" spans="1:110" ht="14.25" customHeight="1">
      <c r="A45" s="59"/>
      <c r="B45" s="29"/>
      <c r="C45" s="45">
        <v>0</v>
      </c>
      <c r="D45" s="45">
        <v>0</v>
      </c>
      <c r="E45" s="45">
        <v>0</v>
      </c>
      <c r="F45" s="45">
        <f t="shared" si="0"/>
        <v>0</v>
      </c>
      <c r="G45" s="45">
        <v>900</v>
      </c>
      <c r="H45" s="45">
        <v>0</v>
      </c>
      <c r="I45" s="45">
        <f t="shared" si="1"/>
        <v>900</v>
      </c>
      <c r="J45" s="45">
        <f t="shared" si="2"/>
        <v>0</v>
      </c>
      <c r="K45" s="45" t="e">
        <f t="shared" si="3"/>
        <v>#DIV/0!</v>
      </c>
      <c r="L45" s="47">
        <v>0</v>
      </c>
      <c r="M45" s="47">
        <v>0</v>
      </c>
      <c r="N45" s="47">
        <v>0</v>
      </c>
      <c r="O45" s="47">
        <f t="shared" si="4"/>
        <v>0</v>
      </c>
      <c r="P45" s="47">
        <v>1800</v>
      </c>
      <c r="Q45" s="47">
        <v>0</v>
      </c>
      <c r="R45" s="47">
        <f t="shared" si="5"/>
        <v>1800</v>
      </c>
      <c r="S45" s="47">
        <f t="shared" si="6"/>
        <v>0</v>
      </c>
      <c r="T45" s="47" t="e">
        <f t="shared" si="7"/>
        <v>#DIV/0!</v>
      </c>
      <c r="U45" s="48">
        <v>0</v>
      </c>
      <c r="V45" s="48">
        <v>0</v>
      </c>
      <c r="W45" s="48">
        <v>0</v>
      </c>
      <c r="X45" s="48">
        <f t="shared" si="8"/>
        <v>0</v>
      </c>
      <c r="Y45" s="48">
        <v>910</v>
      </c>
      <c r="Z45" s="48">
        <v>0</v>
      </c>
      <c r="AA45" s="48">
        <f t="shared" si="9"/>
        <v>910</v>
      </c>
      <c r="AB45" s="48">
        <f t="shared" si="10"/>
        <v>0</v>
      </c>
      <c r="AC45" s="48" t="e">
        <f t="shared" si="11"/>
        <v>#DIV/0!</v>
      </c>
      <c r="AD45" s="49">
        <v>0</v>
      </c>
      <c r="AE45" s="49">
        <v>0</v>
      </c>
      <c r="AF45" s="49">
        <v>0</v>
      </c>
      <c r="AG45" s="49">
        <f t="shared" si="12"/>
        <v>0</v>
      </c>
      <c r="AH45" s="49">
        <v>1200</v>
      </c>
      <c r="AI45" s="49">
        <v>0</v>
      </c>
      <c r="AJ45" s="49">
        <f t="shared" si="13"/>
        <v>1200</v>
      </c>
      <c r="AK45" s="49">
        <f t="shared" si="14"/>
        <v>0</v>
      </c>
      <c r="AL45" s="49" t="e">
        <f t="shared" si="15"/>
        <v>#DIV/0!</v>
      </c>
      <c r="AM45" s="50">
        <v>0</v>
      </c>
      <c r="AN45" s="50">
        <v>0</v>
      </c>
      <c r="AO45" s="50">
        <v>0</v>
      </c>
      <c r="AP45" s="50">
        <f t="shared" si="16"/>
        <v>0</v>
      </c>
      <c r="AQ45" s="50">
        <v>600</v>
      </c>
      <c r="AR45" s="50">
        <v>0</v>
      </c>
      <c r="AS45" s="50">
        <f t="shared" si="17"/>
        <v>600</v>
      </c>
      <c r="AT45" s="50">
        <f t="shared" si="18"/>
        <v>0</v>
      </c>
      <c r="AU45" s="50" t="e">
        <f t="shared" si="19"/>
        <v>#DIV/0!</v>
      </c>
      <c r="AV45" s="51">
        <v>0</v>
      </c>
      <c r="AW45" s="51">
        <v>0</v>
      </c>
      <c r="AX45" s="51">
        <v>0</v>
      </c>
      <c r="AY45" s="51">
        <f t="shared" si="20"/>
        <v>0</v>
      </c>
      <c r="AZ45" s="51">
        <v>1500</v>
      </c>
      <c r="BA45" s="51">
        <v>0</v>
      </c>
      <c r="BB45" s="51">
        <f t="shared" si="21"/>
        <v>1500</v>
      </c>
      <c r="BC45" s="51">
        <f t="shared" si="22"/>
        <v>0</v>
      </c>
      <c r="BD45" s="51" t="e">
        <f t="shared" si="23"/>
        <v>#DIV/0!</v>
      </c>
      <c r="BE45" s="52">
        <v>0</v>
      </c>
      <c r="BF45" s="52">
        <v>0</v>
      </c>
      <c r="BG45" s="52">
        <v>0</v>
      </c>
      <c r="BH45" s="52">
        <f t="shared" si="24"/>
        <v>0</v>
      </c>
      <c r="BI45" s="52">
        <v>750</v>
      </c>
      <c r="BJ45" s="52">
        <v>0</v>
      </c>
      <c r="BK45" s="52">
        <f t="shared" si="25"/>
        <v>750</v>
      </c>
      <c r="BL45" s="52">
        <f t="shared" si="26"/>
        <v>0</v>
      </c>
      <c r="BM45" s="52" t="e">
        <f t="shared" si="27"/>
        <v>#DIV/0!</v>
      </c>
      <c r="BN45" s="53">
        <v>0</v>
      </c>
      <c r="BO45" s="53">
        <v>26</v>
      </c>
      <c r="BP45" s="53">
        <v>4</v>
      </c>
      <c r="BQ45" s="53">
        <f t="shared" si="28"/>
        <v>22</v>
      </c>
      <c r="BR45" s="53">
        <v>2450</v>
      </c>
      <c r="BS45" s="53">
        <v>350</v>
      </c>
      <c r="BT45" s="53">
        <f t="shared" si="29"/>
        <v>2100</v>
      </c>
      <c r="BU45" s="53">
        <f t="shared" si="30"/>
        <v>46200</v>
      </c>
      <c r="BV45" s="53">
        <f t="shared" si="31"/>
        <v>15.384615384615385</v>
      </c>
      <c r="BW45" s="54">
        <v>0</v>
      </c>
      <c r="BX45" s="54">
        <v>20</v>
      </c>
      <c r="BY45" s="54">
        <v>0</v>
      </c>
      <c r="BZ45" s="54">
        <f t="shared" si="32"/>
        <v>20</v>
      </c>
      <c r="CA45" s="54">
        <v>750</v>
      </c>
      <c r="CB45" s="54">
        <v>90</v>
      </c>
      <c r="CC45" s="54">
        <f t="shared" si="33"/>
        <v>660</v>
      </c>
      <c r="CD45" s="54">
        <f t="shared" si="34"/>
        <v>13200</v>
      </c>
      <c r="CE45" s="54">
        <f t="shared" si="35"/>
        <v>0</v>
      </c>
      <c r="CF45" s="55">
        <v>0</v>
      </c>
      <c r="CG45" s="55">
        <v>0</v>
      </c>
      <c r="CH45" s="55">
        <v>0</v>
      </c>
      <c r="CI45" s="55">
        <f t="shared" si="36"/>
        <v>0</v>
      </c>
      <c r="CJ45" s="55">
        <v>730</v>
      </c>
      <c r="CK45" s="55">
        <v>0</v>
      </c>
      <c r="CL45" s="55">
        <f t="shared" si="37"/>
        <v>730</v>
      </c>
      <c r="CM45" s="55">
        <f t="shared" si="38"/>
        <v>0</v>
      </c>
      <c r="CN45" s="55" t="e">
        <f t="shared" si="39"/>
        <v>#DIV/0!</v>
      </c>
      <c r="CO45" s="56">
        <v>0</v>
      </c>
      <c r="CP45" s="56">
        <v>0</v>
      </c>
      <c r="CQ45" s="56">
        <v>0</v>
      </c>
      <c r="CR45" s="56">
        <f t="shared" si="40"/>
        <v>0</v>
      </c>
      <c r="CS45" s="56">
        <v>730</v>
      </c>
      <c r="CT45" s="56">
        <v>0</v>
      </c>
      <c r="CU45" s="56">
        <f t="shared" si="41"/>
        <v>730</v>
      </c>
      <c r="CV45" s="56">
        <f t="shared" si="42"/>
        <v>0</v>
      </c>
      <c r="CW45" s="56" t="e">
        <f t="shared" si="43"/>
        <v>#DIV/0!</v>
      </c>
      <c r="CX45" s="57">
        <v>0</v>
      </c>
      <c r="CY45" s="57">
        <v>0</v>
      </c>
      <c r="CZ45" s="57">
        <v>0</v>
      </c>
      <c r="DA45" s="57">
        <f t="shared" si="44"/>
        <v>0</v>
      </c>
      <c r="DB45" s="57">
        <v>600</v>
      </c>
      <c r="DC45" s="57">
        <v>0</v>
      </c>
      <c r="DD45" s="57">
        <f t="shared" si="45"/>
        <v>600</v>
      </c>
      <c r="DE45" s="57">
        <f t="shared" si="46"/>
        <v>0</v>
      </c>
      <c r="DF45" s="57" t="e">
        <f t="shared" si="47"/>
        <v>#DIV/0!</v>
      </c>
    </row>
    <row r="46" spans="1:110" ht="14.25" customHeight="1">
      <c r="A46" s="59"/>
      <c r="B46" s="29"/>
      <c r="C46" s="45">
        <v>0</v>
      </c>
      <c r="D46" s="45">
        <v>0</v>
      </c>
      <c r="E46" s="45">
        <v>0</v>
      </c>
      <c r="F46" s="45">
        <f t="shared" si="0"/>
        <v>0</v>
      </c>
      <c r="G46" s="45">
        <v>900</v>
      </c>
      <c r="H46" s="45">
        <v>0</v>
      </c>
      <c r="I46" s="45">
        <f t="shared" si="1"/>
        <v>900</v>
      </c>
      <c r="J46" s="45">
        <f t="shared" si="2"/>
        <v>0</v>
      </c>
      <c r="K46" s="45" t="e">
        <f t="shared" si="3"/>
        <v>#DIV/0!</v>
      </c>
      <c r="L46" s="47">
        <v>0</v>
      </c>
      <c r="M46" s="47">
        <v>0</v>
      </c>
      <c r="N46" s="47">
        <v>0</v>
      </c>
      <c r="O46" s="47">
        <f t="shared" si="4"/>
        <v>0</v>
      </c>
      <c r="P46" s="47">
        <v>1800</v>
      </c>
      <c r="Q46" s="47">
        <v>0</v>
      </c>
      <c r="R46" s="47">
        <f t="shared" si="5"/>
        <v>1800</v>
      </c>
      <c r="S46" s="47">
        <f t="shared" si="6"/>
        <v>0</v>
      </c>
      <c r="T46" s="47" t="e">
        <f t="shared" si="7"/>
        <v>#DIV/0!</v>
      </c>
      <c r="U46" s="48">
        <v>0</v>
      </c>
      <c r="V46" s="48">
        <v>0</v>
      </c>
      <c r="W46" s="48">
        <v>0</v>
      </c>
      <c r="X46" s="48">
        <f t="shared" si="8"/>
        <v>0</v>
      </c>
      <c r="Y46" s="48">
        <v>910</v>
      </c>
      <c r="Z46" s="48">
        <v>0</v>
      </c>
      <c r="AA46" s="48">
        <f t="shared" si="9"/>
        <v>910</v>
      </c>
      <c r="AB46" s="48">
        <f t="shared" si="10"/>
        <v>0</v>
      </c>
      <c r="AC46" s="48" t="e">
        <f t="shared" si="11"/>
        <v>#DIV/0!</v>
      </c>
      <c r="AD46" s="49">
        <v>0</v>
      </c>
      <c r="AE46" s="49">
        <v>0</v>
      </c>
      <c r="AF46" s="49">
        <v>0</v>
      </c>
      <c r="AG46" s="49">
        <f t="shared" si="12"/>
        <v>0</v>
      </c>
      <c r="AH46" s="49">
        <v>1200</v>
      </c>
      <c r="AI46" s="49">
        <v>0</v>
      </c>
      <c r="AJ46" s="49">
        <f t="shared" si="13"/>
        <v>1200</v>
      </c>
      <c r="AK46" s="49">
        <f t="shared" si="14"/>
        <v>0</v>
      </c>
      <c r="AL46" s="49" t="e">
        <f t="shared" si="15"/>
        <v>#DIV/0!</v>
      </c>
      <c r="AM46" s="50">
        <v>0</v>
      </c>
      <c r="AN46" s="50">
        <v>0</v>
      </c>
      <c r="AO46" s="50">
        <v>0</v>
      </c>
      <c r="AP46" s="50">
        <f t="shared" si="16"/>
        <v>0</v>
      </c>
      <c r="AQ46" s="50">
        <v>600</v>
      </c>
      <c r="AR46" s="50">
        <v>0</v>
      </c>
      <c r="AS46" s="50">
        <f t="shared" si="17"/>
        <v>600</v>
      </c>
      <c r="AT46" s="50">
        <f t="shared" si="18"/>
        <v>0</v>
      </c>
      <c r="AU46" s="50" t="e">
        <f t="shared" si="19"/>
        <v>#DIV/0!</v>
      </c>
      <c r="AV46" s="51">
        <v>0</v>
      </c>
      <c r="AW46" s="51">
        <v>0</v>
      </c>
      <c r="AX46" s="51">
        <v>0</v>
      </c>
      <c r="AY46" s="51">
        <f t="shared" si="20"/>
        <v>0</v>
      </c>
      <c r="AZ46" s="51">
        <v>1500</v>
      </c>
      <c r="BA46" s="51">
        <v>0</v>
      </c>
      <c r="BB46" s="51">
        <f t="shared" si="21"/>
        <v>1500</v>
      </c>
      <c r="BC46" s="51">
        <f t="shared" si="22"/>
        <v>0</v>
      </c>
      <c r="BD46" s="51" t="e">
        <f t="shared" si="23"/>
        <v>#DIV/0!</v>
      </c>
      <c r="BE46" s="52">
        <v>0</v>
      </c>
      <c r="BF46" s="52">
        <v>0</v>
      </c>
      <c r="BG46" s="52">
        <v>0</v>
      </c>
      <c r="BH46" s="52">
        <f t="shared" si="24"/>
        <v>0</v>
      </c>
      <c r="BI46" s="52">
        <v>750</v>
      </c>
      <c r="BJ46" s="52">
        <v>0</v>
      </c>
      <c r="BK46" s="52">
        <f t="shared" si="25"/>
        <v>750</v>
      </c>
      <c r="BL46" s="52">
        <f t="shared" si="26"/>
        <v>0</v>
      </c>
      <c r="BM46" s="52" t="e">
        <f t="shared" si="27"/>
        <v>#DIV/0!</v>
      </c>
      <c r="BN46" s="53">
        <v>0</v>
      </c>
      <c r="BO46" s="53">
        <v>0</v>
      </c>
      <c r="BP46" s="53">
        <v>0</v>
      </c>
      <c r="BQ46" s="53">
        <f t="shared" si="28"/>
        <v>0</v>
      </c>
      <c r="BR46" s="53">
        <v>2450</v>
      </c>
      <c r="BS46" s="53">
        <v>0</v>
      </c>
      <c r="BT46" s="53">
        <f t="shared" si="29"/>
        <v>2450</v>
      </c>
      <c r="BU46" s="53">
        <f t="shared" si="30"/>
        <v>0</v>
      </c>
      <c r="BV46" s="53" t="e">
        <f t="shared" si="31"/>
        <v>#DIV/0!</v>
      </c>
      <c r="BW46" s="54">
        <v>0</v>
      </c>
      <c r="BX46" s="54">
        <v>0</v>
      </c>
      <c r="BY46" s="54">
        <v>0</v>
      </c>
      <c r="BZ46" s="54">
        <f t="shared" si="32"/>
        <v>0</v>
      </c>
      <c r="CA46" s="54">
        <v>750</v>
      </c>
      <c r="CB46" s="54">
        <v>0</v>
      </c>
      <c r="CC46" s="54">
        <f t="shared" si="33"/>
        <v>750</v>
      </c>
      <c r="CD46" s="54">
        <f t="shared" si="34"/>
        <v>0</v>
      </c>
      <c r="CE46" s="54" t="e">
        <f t="shared" si="35"/>
        <v>#DIV/0!</v>
      </c>
      <c r="CF46" s="55">
        <v>0</v>
      </c>
      <c r="CG46" s="55">
        <v>0</v>
      </c>
      <c r="CH46" s="55">
        <v>0</v>
      </c>
      <c r="CI46" s="55">
        <f t="shared" si="36"/>
        <v>0</v>
      </c>
      <c r="CJ46" s="55">
        <v>730</v>
      </c>
      <c r="CK46" s="55">
        <v>0</v>
      </c>
      <c r="CL46" s="55">
        <f t="shared" si="37"/>
        <v>730</v>
      </c>
      <c r="CM46" s="55">
        <f t="shared" si="38"/>
        <v>0</v>
      </c>
      <c r="CN46" s="55" t="e">
        <f t="shared" si="39"/>
        <v>#DIV/0!</v>
      </c>
      <c r="CO46" s="56">
        <v>0</v>
      </c>
      <c r="CP46" s="56">
        <v>0</v>
      </c>
      <c r="CQ46" s="56">
        <v>0</v>
      </c>
      <c r="CR46" s="56">
        <f t="shared" si="40"/>
        <v>0</v>
      </c>
      <c r="CS46" s="56">
        <v>730</v>
      </c>
      <c r="CT46" s="56">
        <v>0</v>
      </c>
      <c r="CU46" s="56">
        <f t="shared" si="41"/>
        <v>730</v>
      </c>
      <c r="CV46" s="56">
        <f t="shared" si="42"/>
        <v>0</v>
      </c>
      <c r="CW46" s="56" t="e">
        <f t="shared" si="43"/>
        <v>#DIV/0!</v>
      </c>
      <c r="CX46" s="57">
        <v>0</v>
      </c>
      <c r="CY46" s="57">
        <v>0</v>
      </c>
      <c r="CZ46" s="57">
        <v>0</v>
      </c>
      <c r="DA46" s="57">
        <f t="shared" si="44"/>
        <v>0</v>
      </c>
      <c r="DB46" s="57">
        <v>600</v>
      </c>
      <c r="DC46" s="57">
        <v>0</v>
      </c>
      <c r="DD46" s="57">
        <f t="shared" si="45"/>
        <v>600</v>
      </c>
      <c r="DE46" s="57">
        <f t="shared" si="46"/>
        <v>0</v>
      </c>
      <c r="DF46" s="57" t="e">
        <f t="shared" si="47"/>
        <v>#DIV/0!</v>
      </c>
    </row>
    <row r="47" spans="1:110" ht="14.25" customHeight="1">
      <c r="A47" s="59"/>
      <c r="B47" s="29"/>
      <c r="C47" s="45">
        <v>0</v>
      </c>
      <c r="D47" s="45">
        <v>0</v>
      </c>
      <c r="E47" s="45">
        <v>0</v>
      </c>
      <c r="F47" s="45">
        <f t="shared" si="0"/>
        <v>0</v>
      </c>
      <c r="G47" s="45">
        <v>900</v>
      </c>
      <c r="H47" s="45">
        <v>0</v>
      </c>
      <c r="I47" s="45">
        <f t="shared" si="1"/>
        <v>900</v>
      </c>
      <c r="J47" s="45">
        <f t="shared" si="2"/>
        <v>0</v>
      </c>
      <c r="K47" s="45" t="e">
        <f t="shared" si="3"/>
        <v>#DIV/0!</v>
      </c>
      <c r="L47" s="47">
        <v>0</v>
      </c>
      <c r="M47" s="47">
        <v>0</v>
      </c>
      <c r="N47" s="47">
        <v>0</v>
      </c>
      <c r="O47" s="47">
        <f t="shared" si="4"/>
        <v>0</v>
      </c>
      <c r="P47" s="47">
        <v>1800</v>
      </c>
      <c r="Q47" s="47">
        <v>0</v>
      </c>
      <c r="R47" s="47">
        <f t="shared" si="5"/>
        <v>1800</v>
      </c>
      <c r="S47" s="47">
        <f t="shared" si="6"/>
        <v>0</v>
      </c>
      <c r="T47" s="47" t="e">
        <f t="shared" si="7"/>
        <v>#DIV/0!</v>
      </c>
      <c r="U47" s="48">
        <v>0</v>
      </c>
      <c r="V47" s="48">
        <v>0</v>
      </c>
      <c r="W47" s="48">
        <v>0</v>
      </c>
      <c r="X47" s="48">
        <f t="shared" si="8"/>
        <v>0</v>
      </c>
      <c r="Y47" s="48">
        <v>910</v>
      </c>
      <c r="Z47" s="48">
        <v>0</v>
      </c>
      <c r="AA47" s="48">
        <f t="shared" si="9"/>
        <v>910</v>
      </c>
      <c r="AB47" s="48">
        <f t="shared" si="10"/>
        <v>0</v>
      </c>
      <c r="AC47" s="48" t="e">
        <f t="shared" si="11"/>
        <v>#DIV/0!</v>
      </c>
      <c r="AD47" s="49">
        <v>0</v>
      </c>
      <c r="AE47" s="49">
        <v>0</v>
      </c>
      <c r="AF47" s="49">
        <v>0</v>
      </c>
      <c r="AG47" s="49">
        <f t="shared" si="12"/>
        <v>0</v>
      </c>
      <c r="AH47" s="49">
        <v>1200</v>
      </c>
      <c r="AI47" s="49">
        <v>0</v>
      </c>
      <c r="AJ47" s="49">
        <f t="shared" si="13"/>
        <v>1200</v>
      </c>
      <c r="AK47" s="49">
        <f t="shared" si="14"/>
        <v>0</v>
      </c>
      <c r="AL47" s="49" t="e">
        <f t="shared" si="15"/>
        <v>#DIV/0!</v>
      </c>
      <c r="AM47" s="50">
        <v>0</v>
      </c>
      <c r="AN47" s="50">
        <v>0</v>
      </c>
      <c r="AO47" s="50">
        <v>0</v>
      </c>
      <c r="AP47" s="50">
        <f t="shared" si="16"/>
        <v>0</v>
      </c>
      <c r="AQ47" s="50">
        <v>600</v>
      </c>
      <c r="AR47" s="50">
        <v>0</v>
      </c>
      <c r="AS47" s="50">
        <f t="shared" si="17"/>
        <v>600</v>
      </c>
      <c r="AT47" s="50">
        <f t="shared" si="18"/>
        <v>0</v>
      </c>
      <c r="AU47" s="50" t="e">
        <f t="shared" si="19"/>
        <v>#DIV/0!</v>
      </c>
      <c r="AV47" s="51">
        <v>0</v>
      </c>
      <c r="AW47" s="51">
        <v>0</v>
      </c>
      <c r="AX47" s="51">
        <v>0</v>
      </c>
      <c r="AY47" s="51">
        <f t="shared" si="20"/>
        <v>0</v>
      </c>
      <c r="AZ47" s="51">
        <v>1500</v>
      </c>
      <c r="BA47" s="51">
        <v>0</v>
      </c>
      <c r="BB47" s="51">
        <f t="shared" si="21"/>
        <v>1500</v>
      </c>
      <c r="BC47" s="51">
        <f t="shared" si="22"/>
        <v>0</v>
      </c>
      <c r="BD47" s="51" t="e">
        <f t="shared" si="23"/>
        <v>#DIV/0!</v>
      </c>
      <c r="BE47" s="52">
        <v>0</v>
      </c>
      <c r="BF47" s="52">
        <v>0</v>
      </c>
      <c r="BG47" s="52">
        <v>0</v>
      </c>
      <c r="BH47" s="52">
        <f t="shared" si="24"/>
        <v>0</v>
      </c>
      <c r="BI47" s="52">
        <v>750</v>
      </c>
      <c r="BJ47" s="52">
        <v>0</v>
      </c>
      <c r="BK47" s="52">
        <f t="shared" si="25"/>
        <v>750</v>
      </c>
      <c r="BL47" s="52">
        <f t="shared" si="26"/>
        <v>0</v>
      </c>
      <c r="BM47" s="52" t="e">
        <f t="shared" si="27"/>
        <v>#DIV/0!</v>
      </c>
      <c r="BN47" s="53">
        <v>0</v>
      </c>
      <c r="BO47" s="53">
        <v>0</v>
      </c>
      <c r="BP47" s="53">
        <v>0</v>
      </c>
      <c r="BQ47" s="53">
        <f t="shared" si="28"/>
        <v>0</v>
      </c>
      <c r="BR47" s="53">
        <v>2450</v>
      </c>
      <c r="BS47" s="53">
        <v>0</v>
      </c>
      <c r="BT47" s="53">
        <f t="shared" si="29"/>
        <v>2450</v>
      </c>
      <c r="BU47" s="53">
        <f t="shared" si="30"/>
        <v>0</v>
      </c>
      <c r="BV47" s="53" t="e">
        <f t="shared" si="31"/>
        <v>#DIV/0!</v>
      </c>
      <c r="BW47" s="54">
        <v>0</v>
      </c>
      <c r="BX47" s="54">
        <v>0</v>
      </c>
      <c r="BY47" s="54">
        <v>0</v>
      </c>
      <c r="BZ47" s="54">
        <f t="shared" si="32"/>
        <v>0</v>
      </c>
      <c r="CA47" s="54">
        <v>750</v>
      </c>
      <c r="CB47" s="54">
        <v>0</v>
      </c>
      <c r="CC47" s="54">
        <f t="shared" si="33"/>
        <v>750</v>
      </c>
      <c r="CD47" s="54">
        <f t="shared" si="34"/>
        <v>0</v>
      </c>
      <c r="CE47" s="54" t="e">
        <f t="shared" si="35"/>
        <v>#DIV/0!</v>
      </c>
      <c r="CF47" s="55">
        <v>0</v>
      </c>
      <c r="CG47" s="55">
        <v>0</v>
      </c>
      <c r="CH47" s="55">
        <v>0</v>
      </c>
      <c r="CI47" s="55">
        <f t="shared" si="36"/>
        <v>0</v>
      </c>
      <c r="CJ47" s="55">
        <v>730</v>
      </c>
      <c r="CK47" s="55">
        <v>0</v>
      </c>
      <c r="CL47" s="55">
        <f t="shared" si="37"/>
        <v>730</v>
      </c>
      <c r="CM47" s="55">
        <f t="shared" si="38"/>
        <v>0</v>
      </c>
      <c r="CN47" s="55" t="e">
        <f t="shared" si="39"/>
        <v>#DIV/0!</v>
      </c>
      <c r="CO47" s="56">
        <v>0</v>
      </c>
      <c r="CP47" s="56">
        <v>0</v>
      </c>
      <c r="CQ47" s="56">
        <v>0</v>
      </c>
      <c r="CR47" s="56">
        <f t="shared" si="40"/>
        <v>0</v>
      </c>
      <c r="CS47" s="56">
        <v>730</v>
      </c>
      <c r="CT47" s="56">
        <v>0</v>
      </c>
      <c r="CU47" s="56">
        <f t="shared" si="41"/>
        <v>730</v>
      </c>
      <c r="CV47" s="56">
        <f t="shared" si="42"/>
        <v>0</v>
      </c>
      <c r="CW47" s="56" t="e">
        <f t="shared" si="43"/>
        <v>#DIV/0!</v>
      </c>
      <c r="CX47" s="57">
        <v>0</v>
      </c>
      <c r="CY47" s="57">
        <v>0</v>
      </c>
      <c r="CZ47" s="57">
        <v>0</v>
      </c>
      <c r="DA47" s="57">
        <f t="shared" si="44"/>
        <v>0</v>
      </c>
      <c r="DB47" s="57">
        <v>600</v>
      </c>
      <c r="DC47" s="57">
        <v>0</v>
      </c>
      <c r="DD47" s="57">
        <f t="shared" si="45"/>
        <v>600</v>
      </c>
      <c r="DE47" s="57">
        <f t="shared" si="46"/>
        <v>0</v>
      </c>
      <c r="DF47" s="57" t="e">
        <f t="shared" si="47"/>
        <v>#DIV/0!</v>
      </c>
    </row>
    <row r="48" spans="1:110" ht="14.25" customHeight="1">
      <c r="A48" s="59"/>
      <c r="B48" s="29"/>
      <c r="C48" s="45">
        <v>0</v>
      </c>
      <c r="D48" s="45">
        <v>0</v>
      </c>
      <c r="E48" s="45">
        <v>0</v>
      </c>
      <c r="F48" s="45">
        <f t="shared" si="0"/>
        <v>0</v>
      </c>
      <c r="G48" s="45">
        <v>900</v>
      </c>
      <c r="H48" s="45">
        <v>0</v>
      </c>
      <c r="I48" s="45">
        <f t="shared" si="1"/>
        <v>900</v>
      </c>
      <c r="J48" s="45">
        <f t="shared" si="2"/>
        <v>0</v>
      </c>
      <c r="K48" s="45" t="e">
        <f t="shared" si="3"/>
        <v>#DIV/0!</v>
      </c>
      <c r="L48" s="47">
        <v>0</v>
      </c>
      <c r="M48" s="47">
        <v>0</v>
      </c>
      <c r="N48" s="47">
        <v>0</v>
      </c>
      <c r="O48" s="47">
        <f t="shared" si="4"/>
        <v>0</v>
      </c>
      <c r="P48" s="47">
        <v>1800</v>
      </c>
      <c r="Q48" s="47">
        <v>0</v>
      </c>
      <c r="R48" s="47">
        <f t="shared" si="5"/>
        <v>1800</v>
      </c>
      <c r="S48" s="47">
        <f t="shared" si="6"/>
        <v>0</v>
      </c>
      <c r="T48" s="47" t="e">
        <f t="shared" si="7"/>
        <v>#DIV/0!</v>
      </c>
      <c r="U48" s="48">
        <v>0</v>
      </c>
      <c r="V48" s="48">
        <v>0</v>
      </c>
      <c r="W48" s="48">
        <v>0</v>
      </c>
      <c r="X48" s="48">
        <f t="shared" si="8"/>
        <v>0</v>
      </c>
      <c r="Y48" s="48">
        <v>910</v>
      </c>
      <c r="Z48" s="48">
        <v>0</v>
      </c>
      <c r="AA48" s="48">
        <f t="shared" si="9"/>
        <v>910</v>
      </c>
      <c r="AB48" s="48">
        <f t="shared" si="10"/>
        <v>0</v>
      </c>
      <c r="AC48" s="48" t="e">
        <f t="shared" si="11"/>
        <v>#DIV/0!</v>
      </c>
      <c r="AD48" s="49">
        <v>0</v>
      </c>
      <c r="AE48" s="49">
        <v>0</v>
      </c>
      <c r="AF48" s="49">
        <v>0</v>
      </c>
      <c r="AG48" s="49">
        <f t="shared" si="12"/>
        <v>0</v>
      </c>
      <c r="AH48" s="49">
        <v>1200</v>
      </c>
      <c r="AI48" s="49">
        <v>0</v>
      </c>
      <c r="AJ48" s="49">
        <f t="shared" si="13"/>
        <v>1200</v>
      </c>
      <c r="AK48" s="49">
        <f t="shared" si="14"/>
        <v>0</v>
      </c>
      <c r="AL48" s="49" t="e">
        <f t="shared" si="15"/>
        <v>#DIV/0!</v>
      </c>
      <c r="AM48" s="50">
        <v>0</v>
      </c>
      <c r="AN48" s="50">
        <v>0</v>
      </c>
      <c r="AO48" s="50">
        <v>0</v>
      </c>
      <c r="AP48" s="50">
        <f t="shared" si="16"/>
        <v>0</v>
      </c>
      <c r="AQ48" s="50">
        <v>600</v>
      </c>
      <c r="AR48" s="50">
        <v>0</v>
      </c>
      <c r="AS48" s="50">
        <f t="shared" si="17"/>
        <v>600</v>
      </c>
      <c r="AT48" s="50">
        <f t="shared" si="18"/>
        <v>0</v>
      </c>
      <c r="AU48" s="50" t="e">
        <f t="shared" si="19"/>
        <v>#DIV/0!</v>
      </c>
      <c r="AV48" s="51">
        <v>0</v>
      </c>
      <c r="AW48" s="51">
        <v>0</v>
      </c>
      <c r="AX48" s="51">
        <v>0</v>
      </c>
      <c r="AY48" s="51">
        <f t="shared" si="20"/>
        <v>0</v>
      </c>
      <c r="AZ48" s="51">
        <v>1500</v>
      </c>
      <c r="BA48" s="51">
        <v>0</v>
      </c>
      <c r="BB48" s="51">
        <f t="shared" si="21"/>
        <v>1500</v>
      </c>
      <c r="BC48" s="51">
        <f t="shared" si="22"/>
        <v>0</v>
      </c>
      <c r="BD48" s="51" t="e">
        <f t="shared" si="23"/>
        <v>#DIV/0!</v>
      </c>
      <c r="BE48" s="52">
        <v>0</v>
      </c>
      <c r="BF48" s="52">
        <v>0</v>
      </c>
      <c r="BG48" s="52">
        <v>0</v>
      </c>
      <c r="BH48" s="52">
        <f t="shared" si="24"/>
        <v>0</v>
      </c>
      <c r="BI48" s="52">
        <v>750</v>
      </c>
      <c r="BJ48" s="52">
        <v>0</v>
      </c>
      <c r="BK48" s="52">
        <f t="shared" si="25"/>
        <v>750</v>
      </c>
      <c r="BL48" s="52">
        <f t="shared" si="26"/>
        <v>0</v>
      </c>
      <c r="BM48" s="52" t="e">
        <f t="shared" si="27"/>
        <v>#DIV/0!</v>
      </c>
      <c r="BN48" s="53">
        <v>0</v>
      </c>
      <c r="BO48" s="53">
        <v>0</v>
      </c>
      <c r="BP48" s="53">
        <v>0</v>
      </c>
      <c r="BQ48" s="53">
        <f t="shared" si="28"/>
        <v>0</v>
      </c>
      <c r="BR48" s="53">
        <v>2450</v>
      </c>
      <c r="BS48" s="53">
        <v>0</v>
      </c>
      <c r="BT48" s="53">
        <f t="shared" si="29"/>
        <v>2450</v>
      </c>
      <c r="BU48" s="53">
        <f t="shared" si="30"/>
        <v>0</v>
      </c>
      <c r="BV48" s="53" t="e">
        <f t="shared" si="31"/>
        <v>#DIV/0!</v>
      </c>
      <c r="BW48" s="54">
        <v>0</v>
      </c>
      <c r="BX48" s="54">
        <v>0</v>
      </c>
      <c r="BY48" s="54">
        <v>0</v>
      </c>
      <c r="BZ48" s="54">
        <f t="shared" si="32"/>
        <v>0</v>
      </c>
      <c r="CA48" s="54">
        <v>750</v>
      </c>
      <c r="CB48" s="54">
        <v>0</v>
      </c>
      <c r="CC48" s="54">
        <f t="shared" si="33"/>
        <v>750</v>
      </c>
      <c r="CD48" s="54">
        <f t="shared" si="34"/>
        <v>0</v>
      </c>
      <c r="CE48" s="54" t="e">
        <f t="shared" si="35"/>
        <v>#DIV/0!</v>
      </c>
      <c r="CF48" s="55">
        <v>0</v>
      </c>
      <c r="CG48" s="55">
        <v>0</v>
      </c>
      <c r="CH48" s="55">
        <v>0</v>
      </c>
      <c r="CI48" s="55">
        <f t="shared" si="36"/>
        <v>0</v>
      </c>
      <c r="CJ48" s="55">
        <v>730</v>
      </c>
      <c r="CK48" s="55">
        <v>0</v>
      </c>
      <c r="CL48" s="55">
        <f t="shared" si="37"/>
        <v>730</v>
      </c>
      <c r="CM48" s="55">
        <f t="shared" si="38"/>
        <v>0</v>
      </c>
      <c r="CN48" s="55" t="e">
        <f t="shared" si="39"/>
        <v>#DIV/0!</v>
      </c>
      <c r="CO48" s="56">
        <v>0</v>
      </c>
      <c r="CP48" s="56">
        <v>0</v>
      </c>
      <c r="CQ48" s="56">
        <v>0</v>
      </c>
      <c r="CR48" s="56">
        <f t="shared" si="40"/>
        <v>0</v>
      </c>
      <c r="CS48" s="56">
        <v>730</v>
      </c>
      <c r="CT48" s="56">
        <v>0</v>
      </c>
      <c r="CU48" s="56">
        <f t="shared" si="41"/>
        <v>730</v>
      </c>
      <c r="CV48" s="56">
        <f t="shared" si="42"/>
        <v>0</v>
      </c>
      <c r="CW48" s="56" t="e">
        <f t="shared" si="43"/>
        <v>#DIV/0!</v>
      </c>
      <c r="CX48" s="57">
        <v>0</v>
      </c>
      <c r="CY48" s="57">
        <v>0</v>
      </c>
      <c r="CZ48" s="57">
        <v>0</v>
      </c>
      <c r="DA48" s="57">
        <f t="shared" si="44"/>
        <v>0</v>
      </c>
      <c r="DB48" s="57">
        <v>600</v>
      </c>
      <c r="DC48" s="57">
        <v>0</v>
      </c>
      <c r="DD48" s="57">
        <f t="shared" si="45"/>
        <v>600</v>
      </c>
      <c r="DE48" s="57">
        <f t="shared" si="46"/>
        <v>0</v>
      </c>
      <c r="DF48" s="57" t="e">
        <f t="shared" si="47"/>
        <v>#DIV/0!</v>
      </c>
    </row>
    <row r="49" spans="1:110" ht="14.25" customHeight="1">
      <c r="A49" s="59"/>
      <c r="B49" s="29"/>
      <c r="C49" s="45">
        <v>0</v>
      </c>
      <c r="D49" s="45">
        <v>0</v>
      </c>
      <c r="E49" s="45">
        <v>0</v>
      </c>
      <c r="F49" s="45">
        <f t="shared" si="0"/>
        <v>0</v>
      </c>
      <c r="G49" s="45">
        <v>900</v>
      </c>
      <c r="H49" s="45">
        <v>0</v>
      </c>
      <c r="I49" s="45">
        <f t="shared" si="1"/>
        <v>900</v>
      </c>
      <c r="J49" s="45">
        <f t="shared" si="2"/>
        <v>0</v>
      </c>
      <c r="K49" s="45" t="e">
        <f t="shared" si="3"/>
        <v>#DIV/0!</v>
      </c>
      <c r="L49" s="47">
        <v>0</v>
      </c>
      <c r="M49" s="47">
        <v>0</v>
      </c>
      <c r="N49" s="47">
        <v>0</v>
      </c>
      <c r="O49" s="47">
        <f t="shared" si="4"/>
        <v>0</v>
      </c>
      <c r="P49" s="47">
        <v>1800</v>
      </c>
      <c r="Q49" s="47">
        <v>0</v>
      </c>
      <c r="R49" s="47">
        <f t="shared" si="5"/>
        <v>1800</v>
      </c>
      <c r="S49" s="47">
        <f t="shared" si="6"/>
        <v>0</v>
      </c>
      <c r="T49" s="47" t="e">
        <f t="shared" si="7"/>
        <v>#DIV/0!</v>
      </c>
      <c r="U49" s="48">
        <v>0</v>
      </c>
      <c r="V49" s="48">
        <v>0</v>
      </c>
      <c r="W49" s="48">
        <v>0</v>
      </c>
      <c r="X49" s="48">
        <f t="shared" si="8"/>
        <v>0</v>
      </c>
      <c r="Y49" s="48">
        <v>910</v>
      </c>
      <c r="Z49" s="48">
        <v>0</v>
      </c>
      <c r="AA49" s="48">
        <f t="shared" si="9"/>
        <v>910</v>
      </c>
      <c r="AB49" s="48">
        <f t="shared" si="10"/>
        <v>0</v>
      </c>
      <c r="AC49" s="48" t="e">
        <f t="shared" si="11"/>
        <v>#DIV/0!</v>
      </c>
      <c r="AD49" s="49">
        <v>0</v>
      </c>
      <c r="AE49" s="49">
        <v>0</v>
      </c>
      <c r="AF49" s="49">
        <v>0</v>
      </c>
      <c r="AG49" s="49">
        <f t="shared" si="12"/>
        <v>0</v>
      </c>
      <c r="AH49" s="49">
        <v>1200</v>
      </c>
      <c r="AI49" s="49">
        <v>0</v>
      </c>
      <c r="AJ49" s="49">
        <f t="shared" si="13"/>
        <v>1200</v>
      </c>
      <c r="AK49" s="49">
        <f t="shared" si="14"/>
        <v>0</v>
      </c>
      <c r="AL49" s="49" t="e">
        <f t="shared" si="15"/>
        <v>#DIV/0!</v>
      </c>
      <c r="AM49" s="50">
        <v>0</v>
      </c>
      <c r="AN49" s="50">
        <v>0</v>
      </c>
      <c r="AO49" s="50">
        <v>0</v>
      </c>
      <c r="AP49" s="50">
        <f t="shared" si="16"/>
        <v>0</v>
      </c>
      <c r="AQ49" s="50">
        <v>600</v>
      </c>
      <c r="AR49" s="50">
        <v>0</v>
      </c>
      <c r="AS49" s="50">
        <f t="shared" si="17"/>
        <v>600</v>
      </c>
      <c r="AT49" s="50">
        <f t="shared" si="18"/>
        <v>0</v>
      </c>
      <c r="AU49" s="50" t="e">
        <f t="shared" si="19"/>
        <v>#DIV/0!</v>
      </c>
      <c r="AV49" s="51">
        <v>0</v>
      </c>
      <c r="AW49" s="51">
        <v>0</v>
      </c>
      <c r="AX49" s="51">
        <v>0</v>
      </c>
      <c r="AY49" s="51">
        <f t="shared" si="20"/>
        <v>0</v>
      </c>
      <c r="AZ49" s="51">
        <v>1500</v>
      </c>
      <c r="BA49" s="51">
        <v>0</v>
      </c>
      <c r="BB49" s="51">
        <f t="shared" si="21"/>
        <v>1500</v>
      </c>
      <c r="BC49" s="51">
        <f t="shared" si="22"/>
        <v>0</v>
      </c>
      <c r="BD49" s="51" t="e">
        <f t="shared" si="23"/>
        <v>#DIV/0!</v>
      </c>
      <c r="BE49" s="52">
        <v>0</v>
      </c>
      <c r="BF49" s="52">
        <v>0</v>
      </c>
      <c r="BG49" s="52">
        <v>0</v>
      </c>
      <c r="BH49" s="52">
        <f t="shared" si="24"/>
        <v>0</v>
      </c>
      <c r="BI49" s="52">
        <v>750</v>
      </c>
      <c r="BJ49" s="52">
        <v>0</v>
      </c>
      <c r="BK49" s="52">
        <f t="shared" si="25"/>
        <v>750</v>
      </c>
      <c r="BL49" s="52">
        <f t="shared" si="26"/>
        <v>0</v>
      </c>
      <c r="BM49" s="52" t="e">
        <f t="shared" si="27"/>
        <v>#DIV/0!</v>
      </c>
      <c r="BN49" s="53">
        <v>0</v>
      </c>
      <c r="BO49" s="53">
        <v>0</v>
      </c>
      <c r="BP49" s="53">
        <v>0</v>
      </c>
      <c r="BQ49" s="53">
        <f t="shared" si="28"/>
        <v>0</v>
      </c>
      <c r="BR49" s="53">
        <v>2450</v>
      </c>
      <c r="BS49" s="53">
        <v>0</v>
      </c>
      <c r="BT49" s="53">
        <f t="shared" si="29"/>
        <v>2450</v>
      </c>
      <c r="BU49" s="53">
        <f t="shared" si="30"/>
        <v>0</v>
      </c>
      <c r="BV49" s="53" t="e">
        <f t="shared" si="31"/>
        <v>#DIV/0!</v>
      </c>
      <c r="BW49" s="54">
        <v>0</v>
      </c>
      <c r="BX49" s="54">
        <v>0</v>
      </c>
      <c r="BY49" s="54">
        <v>0</v>
      </c>
      <c r="BZ49" s="54">
        <f t="shared" si="32"/>
        <v>0</v>
      </c>
      <c r="CA49" s="54">
        <v>750</v>
      </c>
      <c r="CB49" s="54">
        <v>0</v>
      </c>
      <c r="CC49" s="54">
        <f t="shared" si="33"/>
        <v>750</v>
      </c>
      <c r="CD49" s="54">
        <f t="shared" si="34"/>
        <v>0</v>
      </c>
      <c r="CE49" s="54" t="e">
        <f t="shared" si="35"/>
        <v>#DIV/0!</v>
      </c>
      <c r="CF49" s="55">
        <v>0</v>
      </c>
      <c r="CG49" s="55">
        <v>0</v>
      </c>
      <c r="CH49" s="55">
        <v>0</v>
      </c>
      <c r="CI49" s="55">
        <f t="shared" si="36"/>
        <v>0</v>
      </c>
      <c r="CJ49" s="55">
        <v>730</v>
      </c>
      <c r="CK49" s="55">
        <v>0</v>
      </c>
      <c r="CL49" s="55">
        <f t="shared" si="37"/>
        <v>730</v>
      </c>
      <c r="CM49" s="55">
        <f t="shared" si="38"/>
        <v>0</v>
      </c>
      <c r="CN49" s="55" t="e">
        <f t="shared" si="39"/>
        <v>#DIV/0!</v>
      </c>
      <c r="CO49" s="56">
        <v>0</v>
      </c>
      <c r="CP49" s="56">
        <v>0</v>
      </c>
      <c r="CQ49" s="56">
        <v>0</v>
      </c>
      <c r="CR49" s="56">
        <f t="shared" si="40"/>
        <v>0</v>
      </c>
      <c r="CS49" s="56">
        <v>730</v>
      </c>
      <c r="CT49" s="56">
        <v>0</v>
      </c>
      <c r="CU49" s="56">
        <f t="shared" si="41"/>
        <v>730</v>
      </c>
      <c r="CV49" s="56">
        <f t="shared" si="42"/>
        <v>0</v>
      </c>
      <c r="CW49" s="56" t="e">
        <f t="shared" si="43"/>
        <v>#DIV/0!</v>
      </c>
      <c r="CX49" s="57">
        <v>0</v>
      </c>
      <c r="CY49" s="57">
        <v>0</v>
      </c>
      <c r="CZ49" s="57">
        <v>0</v>
      </c>
      <c r="DA49" s="57">
        <f t="shared" si="44"/>
        <v>0</v>
      </c>
      <c r="DB49" s="57">
        <v>600</v>
      </c>
      <c r="DC49" s="57">
        <v>0</v>
      </c>
      <c r="DD49" s="57">
        <f t="shared" si="45"/>
        <v>600</v>
      </c>
      <c r="DE49" s="57">
        <f t="shared" si="46"/>
        <v>0</v>
      </c>
      <c r="DF49" s="57" t="e">
        <f t="shared" si="47"/>
        <v>#DIV/0!</v>
      </c>
    </row>
    <row r="50" spans="1:110" ht="14.25" customHeight="1">
      <c r="A50" s="59"/>
      <c r="B50" s="29"/>
      <c r="C50" s="45">
        <v>0</v>
      </c>
      <c r="D50" s="45">
        <v>0</v>
      </c>
      <c r="E50" s="45">
        <v>0</v>
      </c>
      <c r="F50" s="45">
        <f t="shared" si="0"/>
        <v>0</v>
      </c>
      <c r="G50" s="45">
        <v>900</v>
      </c>
      <c r="H50" s="45">
        <v>0</v>
      </c>
      <c r="I50" s="45">
        <f t="shared" si="1"/>
        <v>900</v>
      </c>
      <c r="J50" s="45">
        <f t="shared" si="2"/>
        <v>0</v>
      </c>
      <c r="K50" s="45" t="e">
        <f t="shared" si="3"/>
        <v>#DIV/0!</v>
      </c>
      <c r="L50" s="47">
        <v>0</v>
      </c>
      <c r="M50" s="47">
        <v>0</v>
      </c>
      <c r="N50" s="47">
        <v>0</v>
      </c>
      <c r="O50" s="47">
        <f t="shared" si="4"/>
        <v>0</v>
      </c>
      <c r="P50" s="47">
        <v>1800</v>
      </c>
      <c r="Q50" s="47">
        <v>0</v>
      </c>
      <c r="R50" s="47">
        <f t="shared" si="5"/>
        <v>1800</v>
      </c>
      <c r="S50" s="47">
        <f t="shared" si="6"/>
        <v>0</v>
      </c>
      <c r="T50" s="47" t="e">
        <f t="shared" si="7"/>
        <v>#DIV/0!</v>
      </c>
      <c r="U50" s="48">
        <v>0</v>
      </c>
      <c r="V50" s="48">
        <v>0</v>
      </c>
      <c r="W50" s="48">
        <v>0</v>
      </c>
      <c r="X50" s="48">
        <f t="shared" si="8"/>
        <v>0</v>
      </c>
      <c r="Y50" s="48">
        <v>910</v>
      </c>
      <c r="Z50" s="48">
        <v>0</v>
      </c>
      <c r="AA50" s="48">
        <f t="shared" si="9"/>
        <v>910</v>
      </c>
      <c r="AB50" s="48">
        <f t="shared" si="10"/>
        <v>0</v>
      </c>
      <c r="AC50" s="48" t="e">
        <f t="shared" si="11"/>
        <v>#DIV/0!</v>
      </c>
      <c r="AD50" s="49">
        <v>0</v>
      </c>
      <c r="AE50" s="49">
        <v>0</v>
      </c>
      <c r="AF50" s="49">
        <v>0</v>
      </c>
      <c r="AG50" s="49">
        <f t="shared" si="12"/>
        <v>0</v>
      </c>
      <c r="AH50" s="49">
        <v>1200</v>
      </c>
      <c r="AI50" s="49">
        <v>0</v>
      </c>
      <c r="AJ50" s="49">
        <f t="shared" si="13"/>
        <v>1200</v>
      </c>
      <c r="AK50" s="49">
        <f t="shared" si="14"/>
        <v>0</v>
      </c>
      <c r="AL50" s="49" t="e">
        <f t="shared" si="15"/>
        <v>#DIV/0!</v>
      </c>
      <c r="AM50" s="50">
        <v>0</v>
      </c>
      <c r="AN50" s="50">
        <v>0</v>
      </c>
      <c r="AO50" s="50">
        <v>0</v>
      </c>
      <c r="AP50" s="50">
        <f t="shared" si="16"/>
        <v>0</v>
      </c>
      <c r="AQ50" s="50">
        <v>600</v>
      </c>
      <c r="AR50" s="50">
        <v>0</v>
      </c>
      <c r="AS50" s="50">
        <f t="shared" si="17"/>
        <v>600</v>
      </c>
      <c r="AT50" s="50">
        <f t="shared" si="18"/>
        <v>0</v>
      </c>
      <c r="AU50" s="50" t="e">
        <f t="shared" si="19"/>
        <v>#DIV/0!</v>
      </c>
      <c r="AV50" s="51">
        <v>0</v>
      </c>
      <c r="AW50" s="51">
        <v>0</v>
      </c>
      <c r="AX50" s="51">
        <v>0</v>
      </c>
      <c r="AY50" s="51">
        <f t="shared" si="20"/>
        <v>0</v>
      </c>
      <c r="AZ50" s="51">
        <v>1500</v>
      </c>
      <c r="BA50" s="51">
        <v>0</v>
      </c>
      <c r="BB50" s="51">
        <f t="shared" si="21"/>
        <v>1500</v>
      </c>
      <c r="BC50" s="51">
        <f t="shared" si="22"/>
        <v>0</v>
      </c>
      <c r="BD50" s="51" t="e">
        <f t="shared" si="23"/>
        <v>#DIV/0!</v>
      </c>
      <c r="BE50" s="52">
        <v>0</v>
      </c>
      <c r="BF50" s="52">
        <v>0</v>
      </c>
      <c r="BG50" s="52">
        <v>0</v>
      </c>
      <c r="BH50" s="52">
        <f t="shared" si="24"/>
        <v>0</v>
      </c>
      <c r="BI50" s="52">
        <v>750</v>
      </c>
      <c r="BJ50" s="52">
        <v>0</v>
      </c>
      <c r="BK50" s="52">
        <f t="shared" si="25"/>
        <v>750</v>
      </c>
      <c r="BL50" s="52">
        <f t="shared" si="26"/>
        <v>0</v>
      </c>
      <c r="BM50" s="52" t="e">
        <f t="shared" si="27"/>
        <v>#DIV/0!</v>
      </c>
      <c r="BN50" s="53">
        <v>0</v>
      </c>
      <c r="BO50" s="53">
        <v>0</v>
      </c>
      <c r="BP50" s="53">
        <v>0</v>
      </c>
      <c r="BQ50" s="53">
        <f t="shared" si="28"/>
        <v>0</v>
      </c>
      <c r="BR50" s="53">
        <v>2450</v>
      </c>
      <c r="BS50" s="53">
        <v>0</v>
      </c>
      <c r="BT50" s="53">
        <f t="shared" si="29"/>
        <v>2450</v>
      </c>
      <c r="BU50" s="53">
        <f t="shared" si="30"/>
        <v>0</v>
      </c>
      <c r="BV50" s="53" t="e">
        <f t="shared" si="31"/>
        <v>#DIV/0!</v>
      </c>
      <c r="BW50" s="54">
        <v>0</v>
      </c>
      <c r="BX50" s="54">
        <v>0</v>
      </c>
      <c r="BY50" s="54">
        <v>0</v>
      </c>
      <c r="BZ50" s="54">
        <f t="shared" si="32"/>
        <v>0</v>
      </c>
      <c r="CA50" s="54">
        <v>750</v>
      </c>
      <c r="CB50" s="54">
        <v>0</v>
      </c>
      <c r="CC50" s="54">
        <f t="shared" si="33"/>
        <v>750</v>
      </c>
      <c r="CD50" s="54">
        <f t="shared" si="34"/>
        <v>0</v>
      </c>
      <c r="CE50" s="54" t="e">
        <f t="shared" si="35"/>
        <v>#DIV/0!</v>
      </c>
      <c r="CF50" s="55">
        <v>0</v>
      </c>
      <c r="CG50" s="55">
        <v>0</v>
      </c>
      <c r="CH50" s="55">
        <v>0</v>
      </c>
      <c r="CI50" s="55">
        <f t="shared" si="36"/>
        <v>0</v>
      </c>
      <c r="CJ50" s="55">
        <v>730</v>
      </c>
      <c r="CK50" s="55">
        <v>0</v>
      </c>
      <c r="CL50" s="55">
        <f t="shared" si="37"/>
        <v>730</v>
      </c>
      <c r="CM50" s="55">
        <f t="shared" si="38"/>
        <v>0</v>
      </c>
      <c r="CN50" s="55" t="e">
        <f t="shared" si="39"/>
        <v>#DIV/0!</v>
      </c>
      <c r="CO50" s="56">
        <v>0</v>
      </c>
      <c r="CP50" s="56">
        <v>0</v>
      </c>
      <c r="CQ50" s="56">
        <v>0</v>
      </c>
      <c r="CR50" s="56">
        <f t="shared" si="40"/>
        <v>0</v>
      </c>
      <c r="CS50" s="56">
        <v>730</v>
      </c>
      <c r="CT50" s="56">
        <v>0</v>
      </c>
      <c r="CU50" s="56">
        <f t="shared" si="41"/>
        <v>730</v>
      </c>
      <c r="CV50" s="56">
        <f t="shared" si="42"/>
        <v>0</v>
      </c>
      <c r="CW50" s="56" t="e">
        <f t="shared" si="43"/>
        <v>#DIV/0!</v>
      </c>
      <c r="CX50" s="57">
        <v>0</v>
      </c>
      <c r="CY50" s="57">
        <v>0</v>
      </c>
      <c r="CZ50" s="57">
        <v>0</v>
      </c>
      <c r="DA50" s="57">
        <f t="shared" si="44"/>
        <v>0</v>
      </c>
      <c r="DB50" s="57">
        <v>600</v>
      </c>
      <c r="DC50" s="57">
        <v>0</v>
      </c>
      <c r="DD50" s="57">
        <f t="shared" si="45"/>
        <v>600</v>
      </c>
      <c r="DE50" s="57">
        <f t="shared" si="46"/>
        <v>0</v>
      </c>
      <c r="DF50" s="57" t="e">
        <f t="shared" si="47"/>
        <v>#DIV/0!</v>
      </c>
    </row>
    <row r="51" spans="1:110" ht="14.25" customHeight="1">
      <c r="A51" s="59"/>
      <c r="B51" s="29"/>
      <c r="C51" s="45">
        <v>0</v>
      </c>
      <c r="D51" s="45">
        <v>0</v>
      </c>
      <c r="E51" s="45">
        <v>0</v>
      </c>
      <c r="F51" s="45">
        <f t="shared" si="0"/>
        <v>0</v>
      </c>
      <c r="G51" s="45">
        <v>900</v>
      </c>
      <c r="H51" s="45">
        <v>0</v>
      </c>
      <c r="I51" s="45">
        <f t="shared" si="1"/>
        <v>900</v>
      </c>
      <c r="J51" s="45">
        <f t="shared" si="2"/>
        <v>0</v>
      </c>
      <c r="K51" s="45" t="e">
        <f t="shared" si="3"/>
        <v>#DIV/0!</v>
      </c>
      <c r="L51" s="47">
        <v>0</v>
      </c>
      <c r="M51" s="47">
        <v>0</v>
      </c>
      <c r="N51" s="47">
        <v>0</v>
      </c>
      <c r="O51" s="47">
        <f t="shared" si="4"/>
        <v>0</v>
      </c>
      <c r="P51" s="47">
        <v>1800</v>
      </c>
      <c r="Q51" s="47">
        <v>0</v>
      </c>
      <c r="R51" s="47">
        <f t="shared" si="5"/>
        <v>1800</v>
      </c>
      <c r="S51" s="47">
        <f t="shared" si="6"/>
        <v>0</v>
      </c>
      <c r="T51" s="47" t="e">
        <f t="shared" si="7"/>
        <v>#DIV/0!</v>
      </c>
      <c r="U51" s="48">
        <v>0</v>
      </c>
      <c r="V51" s="48">
        <v>0</v>
      </c>
      <c r="W51" s="48">
        <v>0</v>
      </c>
      <c r="X51" s="48">
        <f t="shared" si="8"/>
        <v>0</v>
      </c>
      <c r="Y51" s="48">
        <v>910</v>
      </c>
      <c r="Z51" s="48">
        <v>0</v>
      </c>
      <c r="AA51" s="48">
        <f t="shared" si="9"/>
        <v>910</v>
      </c>
      <c r="AB51" s="48">
        <f t="shared" si="10"/>
        <v>0</v>
      </c>
      <c r="AC51" s="48" t="e">
        <f t="shared" si="11"/>
        <v>#DIV/0!</v>
      </c>
      <c r="AD51" s="49">
        <v>0</v>
      </c>
      <c r="AE51" s="49">
        <v>0</v>
      </c>
      <c r="AF51" s="49">
        <v>0</v>
      </c>
      <c r="AG51" s="49">
        <f t="shared" si="12"/>
        <v>0</v>
      </c>
      <c r="AH51" s="49">
        <v>1200</v>
      </c>
      <c r="AI51" s="49">
        <v>0</v>
      </c>
      <c r="AJ51" s="49">
        <f t="shared" si="13"/>
        <v>1200</v>
      </c>
      <c r="AK51" s="49">
        <f t="shared" si="14"/>
        <v>0</v>
      </c>
      <c r="AL51" s="49" t="e">
        <f t="shared" si="15"/>
        <v>#DIV/0!</v>
      </c>
      <c r="AM51" s="50">
        <v>0</v>
      </c>
      <c r="AN51" s="50">
        <v>0</v>
      </c>
      <c r="AO51" s="50">
        <v>0</v>
      </c>
      <c r="AP51" s="50">
        <f t="shared" si="16"/>
        <v>0</v>
      </c>
      <c r="AQ51" s="50">
        <v>600</v>
      </c>
      <c r="AR51" s="50">
        <v>0</v>
      </c>
      <c r="AS51" s="50">
        <f t="shared" si="17"/>
        <v>600</v>
      </c>
      <c r="AT51" s="50">
        <f t="shared" si="18"/>
        <v>0</v>
      </c>
      <c r="AU51" s="50" t="e">
        <f t="shared" si="19"/>
        <v>#DIV/0!</v>
      </c>
      <c r="AV51" s="51">
        <v>0</v>
      </c>
      <c r="AW51" s="51">
        <v>0</v>
      </c>
      <c r="AX51" s="51">
        <v>0</v>
      </c>
      <c r="AY51" s="51">
        <f t="shared" si="20"/>
        <v>0</v>
      </c>
      <c r="AZ51" s="51">
        <v>1500</v>
      </c>
      <c r="BA51" s="51">
        <v>0</v>
      </c>
      <c r="BB51" s="51">
        <f t="shared" si="21"/>
        <v>1500</v>
      </c>
      <c r="BC51" s="51">
        <f t="shared" si="22"/>
        <v>0</v>
      </c>
      <c r="BD51" s="51" t="e">
        <f t="shared" si="23"/>
        <v>#DIV/0!</v>
      </c>
      <c r="BE51" s="52">
        <v>0</v>
      </c>
      <c r="BF51" s="52">
        <v>0</v>
      </c>
      <c r="BG51" s="52">
        <v>0</v>
      </c>
      <c r="BH51" s="52">
        <f t="shared" si="24"/>
        <v>0</v>
      </c>
      <c r="BI51" s="52">
        <v>750</v>
      </c>
      <c r="BJ51" s="52">
        <v>0</v>
      </c>
      <c r="BK51" s="52">
        <f t="shared" si="25"/>
        <v>750</v>
      </c>
      <c r="BL51" s="52">
        <f t="shared" si="26"/>
        <v>0</v>
      </c>
      <c r="BM51" s="52" t="e">
        <f t="shared" si="27"/>
        <v>#DIV/0!</v>
      </c>
      <c r="BN51" s="53">
        <v>0</v>
      </c>
      <c r="BO51" s="53">
        <v>0</v>
      </c>
      <c r="BP51" s="53">
        <v>0</v>
      </c>
      <c r="BQ51" s="53">
        <f t="shared" si="28"/>
        <v>0</v>
      </c>
      <c r="BR51" s="53">
        <v>2450</v>
      </c>
      <c r="BS51" s="53">
        <v>0</v>
      </c>
      <c r="BT51" s="53">
        <f t="shared" si="29"/>
        <v>2450</v>
      </c>
      <c r="BU51" s="53">
        <f t="shared" si="30"/>
        <v>0</v>
      </c>
      <c r="BV51" s="53" t="e">
        <f t="shared" si="31"/>
        <v>#DIV/0!</v>
      </c>
      <c r="BW51" s="54">
        <v>0</v>
      </c>
      <c r="BX51" s="54">
        <v>0</v>
      </c>
      <c r="BY51" s="54">
        <v>0</v>
      </c>
      <c r="BZ51" s="54">
        <f t="shared" si="32"/>
        <v>0</v>
      </c>
      <c r="CA51" s="54">
        <v>750</v>
      </c>
      <c r="CB51" s="54">
        <v>0</v>
      </c>
      <c r="CC51" s="54">
        <f t="shared" si="33"/>
        <v>750</v>
      </c>
      <c r="CD51" s="54">
        <f t="shared" si="34"/>
        <v>0</v>
      </c>
      <c r="CE51" s="54" t="e">
        <f t="shared" si="35"/>
        <v>#DIV/0!</v>
      </c>
      <c r="CF51" s="55">
        <v>0</v>
      </c>
      <c r="CG51" s="55">
        <v>0</v>
      </c>
      <c r="CH51" s="55">
        <v>0</v>
      </c>
      <c r="CI51" s="55">
        <f t="shared" si="36"/>
        <v>0</v>
      </c>
      <c r="CJ51" s="55">
        <v>730</v>
      </c>
      <c r="CK51" s="55">
        <v>0</v>
      </c>
      <c r="CL51" s="55">
        <f t="shared" si="37"/>
        <v>730</v>
      </c>
      <c r="CM51" s="55">
        <f t="shared" si="38"/>
        <v>0</v>
      </c>
      <c r="CN51" s="55" t="e">
        <f t="shared" si="39"/>
        <v>#DIV/0!</v>
      </c>
      <c r="CO51" s="56">
        <v>0</v>
      </c>
      <c r="CP51" s="56">
        <v>0</v>
      </c>
      <c r="CQ51" s="56">
        <v>0</v>
      </c>
      <c r="CR51" s="56">
        <f t="shared" si="40"/>
        <v>0</v>
      </c>
      <c r="CS51" s="56">
        <v>730</v>
      </c>
      <c r="CT51" s="56">
        <v>0</v>
      </c>
      <c r="CU51" s="56">
        <f t="shared" si="41"/>
        <v>730</v>
      </c>
      <c r="CV51" s="56">
        <f t="shared" si="42"/>
        <v>0</v>
      </c>
      <c r="CW51" s="56" t="e">
        <f t="shared" si="43"/>
        <v>#DIV/0!</v>
      </c>
      <c r="CX51" s="57">
        <v>0</v>
      </c>
      <c r="CY51" s="57">
        <v>0</v>
      </c>
      <c r="CZ51" s="57">
        <v>0</v>
      </c>
      <c r="DA51" s="57">
        <f t="shared" si="44"/>
        <v>0</v>
      </c>
      <c r="DB51" s="57">
        <v>600</v>
      </c>
      <c r="DC51" s="57">
        <v>0</v>
      </c>
      <c r="DD51" s="57">
        <f t="shared" si="45"/>
        <v>600</v>
      </c>
      <c r="DE51" s="57">
        <f t="shared" si="46"/>
        <v>0</v>
      </c>
      <c r="DF51" s="57" t="e">
        <f t="shared" si="47"/>
        <v>#DIV/0!</v>
      </c>
    </row>
    <row r="52" spans="1:110" ht="14.25" customHeight="1">
      <c r="A52" s="59"/>
      <c r="B52" s="29"/>
      <c r="C52" s="45">
        <v>0</v>
      </c>
      <c r="D52" s="45">
        <v>0</v>
      </c>
      <c r="E52" s="45">
        <v>0</v>
      </c>
      <c r="F52" s="45">
        <f t="shared" si="0"/>
        <v>0</v>
      </c>
      <c r="G52" s="45">
        <v>900</v>
      </c>
      <c r="H52" s="45">
        <v>0</v>
      </c>
      <c r="I52" s="45">
        <f t="shared" si="1"/>
        <v>900</v>
      </c>
      <c r="J52" s="45">
        <f t="shared" si="2"/>
        <v>0</v>
      </c>
      <c r="K52" s="45" t="e">
        <f t="shared" si="3"/>
        <v>#DIV/0!</v>
      </c>
      <c r="L52" s="47">
        <v>0</v>
      </c>
      <c r="M52" s="47">
        <v>0</v>
      </c>
      <c r="N52" s="47">
        <v>0</v>
      </c>
      <c r="O52" s="47">
        <f t="shared" si="4"/>
        <v>0</v>
      </c>
      <c r="P52" s="47">
        <v>1800</v>
      </c>
      <c r="Q52" s="47">
        <v>0</v>
      </c>
      <c r="R52" s="47">
        <f t="shared" si="5"/>
        <v>1800</v>
      </c>
      <c r="S52" s="47">
        <f t="shared" si="6"/>
        <v>0</v>
      </c>
      <c r="T52" s="47" t="e">
        <f t="shared" si="7"/>
        <v>#DIV/0!</v>
      </c>
      <c r="U52" s="48">
        <v>0</v>
      </c>
      <c r="V52" s="48">
        <v>0</v>
      </c>
      <c r="W52" s="48">
        <v>0</v>
      </c>
      <c r="X52" s="48">
        <f t="shared" si="8"/>
        <v>0</v>
      </c>
      <c r="Y52" s="48">
        <v>910</v>
      </c>
      <c r="Z52" s="48">
        <v>0</v>
      </c>
      <c r="AA52" s="48">
        <f t="shared" si="9"/>
        <v>910</v>
      </c>
      <c r="AB52" s="48">
        <f t="shared" si="10"/>
        <v>0</v>
      </c>
      <c r="AC52" s="48" t="e">
        <f t="shared" si="11"/>
        <v>#DIV/0!</v>
      </c>
      <c r="AD52" s="49">
        <v>0</v>
      </c>
      <c r="AE52" s="49">
        <v>0</v>
      </c>
      <c r="AF52" s="49">
        <v>0</v>
      </c>
      <c r="AG52" s="49">
        <f t="shared" si="12"/>
        <v>0</v>
      </c>
      <c r="AH52" s="49">
        <v>1200</v>
      </c>
      <c r="AI52" s="49">
        <v>0</v>
      </c>
      <c r="AJ52" s="49">
        <f t="shared" si="13"/>
        <v>1200</v>
      </c>
      <c r="AK52" s="49">
        <f t="shared" si="14"/>
        <v>0</v>
      </c>
      <c r="AL52" s="49" t="e">
        <f t="shared" si="15"/>
        <v>#DIV/0!</v>
      </c>
      <c r="AM52" s="50">
        <v>0</v>
      </c>
      <c r="AN52" s="50">
        <v>0</v>
      </c>
      <c r="AO52" s="50">
        <v>0</v>
      </c>
      <c r="AP52" s="50">
        <f t="shared" si="16"/>
        <v>0</v>
      </c>
      <c r="AQ52" s="50">
        <v>600</v>
      </c>
      <c r="AR52" s="50">
        <v>0</v>
      </c>
      <c r="AS52" s="50">
        <f t="shared" si="17"/>
        <v>600</v>
      </c>
      <c r="AT52" s="50">
        <f t="shared" si="18"/>
        <v>0</v>
      </c>
      <c r="AU52" s="50" t="e">
        <f t="shared" si="19"/>
        <v>#DIV/0!</v>
      </c>
      <c r="AV52" s="51">
        <v>0</v>
      </c>
      <c r="AW52" s="51">
        <v>0</v>
      </c>
      <c r="AX52" s="51">
        <v>0</v>
      </c>
      <c r="AY52" s="51">
        <f t="shared" si="20"/>
        <v>0</v>
      </c>
      <c r="AZ52" s="51">
        <v>1500</v>
      </c>
      <c r="BA52" s="51">
        <v>0</v>
      </c>
      <c r="BB52" s="51">
        <f t="shared" si="21"/>
        <v>1500</v>
      </c>
      <c r="BC52" s="51">
        <f t="shared" si="22"/>
        <v>0</v>
      </c>
      <c r="BD52" s="51" t="e">
        <f t="shared" si="23"/>
        <v>#DIV/0!</v>
      </c>
      <c r="BE52" s="52">
        <v>0</v>
      </c>
      <c r="BF52" s="52">
        <v>0</v>
      </c>
      <c r="BG52" s="52">
        <v>0</v>
      </c>
      <c r="BH52" s="52">
        <f t="shared" si="24"/>
        <v>0</v>
      </c>
      <c r="BI52" s="52">
        <v>750</v>
      </c>
      <c r="BJ52" s="52">
        <v>0</v>
      </c>
      <c r="BK52" s="52">
        <f t="shared" si="25"/>
        <v>750</v>
      </c>
      <c r="BL52" s="52">
        <f t="shared" si="26"/>
        <v>0</v>
      </c>
      <c r="BM52" s="52" t="e">
        <f t="shared" si="27"/>
        <v>#DIV/0!</v>
      </c>
      <c r="BN52" s="53">
        <v>0</v>
      </c>
      <c r="BO52" s="53">
        <v>0</v>
      </c>
      <c r="BP52" s="53">
        <v>0</v>
      </c>
      <c r="BQ52" s="53">
        <f t="shared" si="28"/>
        <v>0</v>
      </c>
      <c r="BR52" s="53">
        <v>2450</v>
      </c>
      <c r="BS52" s="53">
        <v>0</v>
      </c>
      <c r="BT52" s="53">
        <f t="shared" si="29"/>
        <v>2450</v>
      </c>
      <c r="BU52" s="53">
        <f t="shared" si="30"/>
        <v>0</v>
      </c>
      <c r="BV52" s="53" t="e">
        <f t="shared" si="31"/>
        <v>#DIV/0!</v>
      </c>
      <c r="BW52" s="54">
        <v>0</v>
      </c>
      <c r="BX52" s="54">
        <v>0</v>
      </c>
      <c r="BY52" s="54">
        <v>0</v>
      </c>
      <c r="BZ52" s="54">
        <f t="shared" si="32"/>
        <v>0</v>
      </c>
      <c r="CA52" s="54">
        <v>750</v>
      </c>
      <c r="CB52" s="54">
        <v>0</v>
      </c>
      <c r="CC52" s="54">
        <f t="shared" si="33"/>
        <v>750</v>
      </c>
      <c r="CD52" s="54">
        <f t="shared" si="34"/>
        <v>0</v>
      </c>
      <c r="CE52" s="54" t="e">
        <f t="shared" si="35"/>
        <v>#DIV/0!</v>
      </c>
      <c r="CF52" s="55">
        <v>0</v>
      </c>
      <c r="CG52" s="55">
        <v>0</v>
      </c>
      <c r="CH52" s="55">
        <v>0</v>
      </c>
      <c r="CI52" s="55">
        <f t="shared" si="36"/>
        <v>0</v>
      </c>
      <c r="CJ52" s="55">
        <v>730</v>
      </c>
      <c r="CK52" s="55">
        <v>0</v>
      </c>
      <c r="CL52" s="55">
        <f t="shared" si="37"/>
        <v>730</v>
      </c>
      <c r="CM52" s="55">
        <f t="shared" si="38"/>
        <v>0</v>
      </c>
      <c r="CN52" s="55" t="e">
        <f t="shared" si="39"/>
        <v>#DIV/0!</v>
      </c>
      <c r="CO52" s="56">
        <v>0</v>
      </c>
      <c r="CP52" s="56">
        <v>0</v>
      </c>
      <c r="CQ52" s="56">
        <v>0</v>
      </c>
      <c r="CR52" s="56">
        <f t="shared" si="40"/>
        <v>0</v>
      </c>
      <c r="CS52" s="56">
        <v>730</v>
      </c>
      <c r="CT52" s="56">
        <v>0</v>
      </c>
      <c r="CU52" s="56">
        <f t="shared" si="41"/>
        <v>730</v>
      </c>
      <c r="CV52" s="56">
        <f t="shared" si="42"/>
        <v>0</v>
      </c>
      <c r="CW52" s="56" t="e">
        <f t="shared" si="43"/>
        <v>#DIV/0!</v>
      </c>
      <c r="CX52" s="57">
        <v>0</v>
      </c>
      <c r="CY52" s="57">
        <v>0</v>
      </c>
      <c r="CZ52" s="57">
        <v>0</v>
      </c>
      <c r="DA52" s="57">
        <f t="shared" si="44"/>
        <v>0</v>
      </c>
      <c r="DB52" s="57">
        <v>600</v>
      </c>
      <c r="DC52" s="57">
        <v>0</v>
      </c>
      <c r="DD52" s="57">
        <f t="shared" si="45"/>
        <v>600</v>
      </c>
      <c r="DE52" s="57">
        <f t="shared" si="46"/>
        <v>0</v>
      </c>
      <c r="DF52" s="57" t="e">
        <f t="shared" si="47"/>
        <v>#DIV/0!</v>
      </c>
    </row>
    <row r="53" spans="1:110" ht="14.25" customHeight="1">
      <c r="A53" s="59"/>
      <c r="B53" s="29"/>
      <c r="C53" s="45">
        <v>0</v>
      </c>
      <c r="D53" s="45">
        <v>0</v>
      </c>
      <c r="E53" s="45">
        <v>0</v>
      </c>
      <c r="F53" s="45">
        <f t="shared" si="0"/>
        <v>0</v>
      </c>
      <c r="G53" s="45">
        <v>900</v>
      </c>
      <c r="H53" s="45">
        <v>0</v>
      </c>
      <c r="I53" s="45">
        <f t="shared" si="1"/>
        <v>900</v>
      </c>
      <c r="J53" s="45">
        <f t="shared" si="2"/>
        <v>0</v>
      </c>
      <c r="K53" s="45" t="e">
        <f t="shared" si="3"/>
        <v>#DIV/0!</v>
      </c>
      <c r="L53" s="47">
        <v>0</v>
      </c>
      <c r="M53" s="47">
        <v>0</v>
      </c>
      <c r="N53" s="47">
        <v>0</v>
      </c>
      <c r="O53" s="47">
        <f t="shared" si="4"/>
        <v>0</v>
      </c>
      <c r="P53" s="47">
        <v>1800</v>
      </c>
      <c r="Q53" s="47">
        <v>0</v>
      </c>
      <c r="R53" s="47">
        <f t="shared" si="5"/>
        <v>1800</v>
      </c>
      <c r="S53" s="47">
        <f t="shared" si="6"/>
        <v>0</v>
      </c>
      <c r="T53" s="47" t="e">
        <f t="shared" si="7"/>
        <v>#DIV/0!</v>
      </c>
      <c r="U53" s="48">
        <v>0</v>
      </c>
      <c r="V53" s="48">
        <v>0</v>
      </c>
      <c r="W53" s="48">
        <v>0</v>
      </c>
      <c r="X53" s="48">
        <f t="shared" si="8"/>
        <v>0</v>
      </c>
      <c r="Y53" s="48">
        <v>910</v>
      </c>
      <c r="Z53" s="48">
        <v>0</v>
      </c>
      <c r="AA53" s="48">
        <f t="shared" si="9"/>
        <v>910</v>
      </c>
      <c r="AB53" s="48">
        <f t="shared" si="10"/>
        <v>0</v>
      </c>
      <c r="AC53" s="48" t="e">
        <f t="shared" si="11"/>
        <v>#DIV/0!</v>
      </c>
      <c r="AD53" s="49">
        <v>0</v>
      </c>
      <c r="AE53" s="49">
        <v>0</v>
      </c>
      <c r="AF53" s="49">
        <v>0</v>
      </c>
      <c r="AG53" s="49">
        <f t="shared" si="12"/>
        <v>0</v>
      </c>
      <c r="AH53" s="49">
        <v>1200</v>
      </c>
      <c r="AI53" s="49">
        <v>0</v>
      </c>
      <c r="AJ53" s="49">
        <f t="shared" si="13"/>
        <v>1200</v>
      </c>
      <c r="AK53" s="49">
        <f t="shared" si="14"/>
        <v>0</v>
      </c>
      <c r="AL53" s="49" t="e">
        <f t="shared" si="15"/>
        <v>#DIV/0!</v>
      </c>
      <c r="AM53" s="50">
        <v>0</v>
      </c>
      <c r="AN53" s="50">
        <v>0</v>
      </c>
      <c r="AO53" s="50">
        <v>0</v>
      </c>
      <c r="AP53" s="50">
        <f t="shared" si="16"/>
        <v>0</v>
      </c>
      <c r="AQ53" s="50">
        <v>600</v>
      </c>
      <c r="AR53" s="50">
        <v>0</v>
      </c>
      <c r="AS53" s="50">
        <f t="shared" si="17"/>
        <v>600</v>
      </c>
      <c r="AT53" s="50">
        <f t="shared" si="18"/>
        <v>0</v>
      </c>
      <c r="AU53" s="50" t="e">
        <f t="shared" si="19"/>
        <v>#DIV/0!</v>
      </c>
      <c r="AV53" s="51">
        <v>0</v>
      </c>
      <c r="AW53" s="51">
        <v>0</v>
      </c>
      <c r="AX53" s="51">
        <v>0</v>
      </c>
      <c r="AY53" s="51">
        <f t="shared" si="20"/>
        <v>0</v>
      </c>
      <c r="AZ53" s="51">
        <v>1500</v>
      </c>
      <c r="BA53" s="51">
        <v>0</v>
      </c>
      <c r="BB53" s="51">
        <f t="shared" si="21"/>
        <v>1500</v>
      </c>
      <c r="BC53" s="51">
        <f t="shared" si="22"/>
        <v>0</v>
      </c>
      <c r="BD53" s="51" t="e">
        <f t="shared" si="23"/>
        <v>#DIV/0!</v>
      </c>
      <c r="BE53" s="52">
        <v>0</v>
      </c>
      <c r="BF53" s="52">
        <v>0</v>
      </c>
      <c r="BG53" s="52">
        <v>0</v>
      </c>
      <c r="BH53" s="52">
        <f t="shared" si="24"/>
        <v>0</v>
      </c>
      <c r="BI53" s="52">
        <v>750</v>
      </c>
      <c r="BJ53" s="52">
        <v>0</v>
      </c>
      <c r="BK53" s="52">
        <f t="shared" si="25"/>
        <v>750</v>
      </c>
      <c r="BL53" s="52">
        <f t="shared" si="26"/>
        <v>0</v>
      </c>
      <c r="BM53" s="52" t="e">
        <f t="shared" si="27"/>
        <v>#DIV/0!</v>
      </c>
      <c r="BN53" s="53">
        <v>0</v>
      </c>
      <c r="BO53" s="53">
        <v>0</v>
      </c>
      <c r="BP53" s="53">
        <v>0</v>
      </c>
      <c r="BQ53" s="53">
        <f t="shared" si="28"/>
        <v>0</v>
      </c>
      <c r="BR53" s="53">
        <v>2450</v>
      </c>
      <c r="BS53" s="53">
        <v>0</v>
      </c>
      <c r="BT53" s="53">
        <f t="shared" si="29"/>
        <v>2450</v>
      </c>
      <c r="BU53" s="53">
        <f t="shared" si="30"/>
        <v>0</v>
      </c>
      <c r="BV53" s="53" t="e">
        <f t="shared" si="31"/>
        <v>#DIV/0!</v>
      </c>
      <c r="BW53" s="54">
        <v>0</v>
      </c>
      <c r="BX53" s="54">
        <v>0</v>
      </c>
      <c r="BY53" s="54">
        <v>0</v>
      </c>
      <c r="BZ53" s="54">
        <f t="shared" si="32"/>
        <v>0</v>
      </c>
      <c r="CA53" s="54">
        <v>750</v>
      </c>
      <c r="CB53" s="54">
        <v>0</v>
      </c>
      <c r="CC53" s="54">
        <f t="shared" si="33"/>
        <v>750</v>
      </c>
      <c r="CD53" s="54">
        <f t="shared" si="34"/>
        <v>0</v>
      </c>
      <c r="CE53" s="54" t="e">
        <f t="shared" si="35"/>
        <v>#DIV/0!</v>
      </c>
      <c r="CF53" s="55">
        <v>0</v>
      </c>
      <c r="CG53" s="55">
        <v>0</v>
      </c>
      <c r="CH53" s="55">
        <v>0</v>
      </c>
      <c r="CI53" s="55">
        <f t="shared" si="36"/>
        <v>0</v>
      </c>
      <c r="CJ53" s="55">
        <v>730</v>
      </c>
      <c r="CK53" s="55">
        <v>0</v>
      </c>
      <c r="CL53" s="55">
        <f t="shared" si="37"/>
        <v>730</v>
      </c>
      <c r="CM53" s="55">
        <f t="shared" si="38"/>
        <v>0</v>
      </c>
      <c r="CN53" s="55" t="e">
        <f t="shared" si="39"/>
        <v>#DIV/0!</v>
      </c>
      <c r="CO53" s="56">
        <v>0</v>
      </c>
      <c r="CP53" s="56">
        <v>0</v>
      </c>
      <c r="CQ53" s="56">
        <v>0</v>
      </c>
      <c r="CR53" s="56">
        <f t="shared" si="40"/>
        <v>0</v>
      </c>
      <c r="CS53" s="56">
        <v>730</v>
      </c>
      <c r="CT53" s="56">
        <v>0</v>
      </c>
      <c r="CU53" s="56">
        <f t="shared" si="41"/>
        <v>730</v>
      </c>
      <c r="CV53" s="56">
        <f t="shared" si="42"/>
        <v>0</v>
      </c>
      <c r="CW53" s="56" t="e">
        <f t="shared" si="43"/>
        <v>#DIV/0!</v>
      </c>
      <c r="CX53" s="57">
        <v>0</v>
      </c>
      <c r="CY53" s="57">
        <v>0</v>
      </c>
      <c r="CZ53" s="57">
        <v>0</v>
      </c>
      <c r="DA53" s="57">
        <f t="shared" si="44"/>
        <v>0</v>
      </c>
      <c r="DB53" s="57">
        <v>600</v>
      </c>
      <c r="DC53" s="57">
        <v>0</v>
      </c>
      <c r="DD53" s="57">
        <f t="shared" si="45"/>
        <v>600</v>
      </c>
      <c r="DE53" s="57">
        <f t="shared" si="46"/>
        <v>0</v>
      </c>
      <c r="DF53" s="57" t="e">
        <f t="shared" si="47"/>
        <v>#DIV/0!</v>
      </c>
    </row>
    <row r="54" spans="1:110" ht="14.25" customHeight="1">
      <c r="A54" s="59"/>
      <c r="B54" s="29"/>
      <c r="C54" s="45">
        <v>0</v>
      </c>
      <c r="D54" s="45">
        <v>0</v>
      </c>
      <c r="E54" s="45">
        <v>0</v>
      </c>
      <c r="F54" s="45">
        <f t="shared" si="0"/>
        <v>0</v>
      </c>
      <c r="G54" s="45">
        <v>900</v>
      </c>
      <c r="H54" s="45">
        <v>0</v>
      </c>
      <c r="I54" s="45">
        <f t="shared" si="1"/>
        <v>900</v>
      </c>
      <c r="J54" s="45">
        <f t="shared" si="2"/>
        <v>0</v>
      </c>
      <c r="K54" s="45" t="e">
        <f t="shared" si="3"/>
        <v>#DIV/0!</v>
      </c>
      <c r="L54" s="47">
        <v>0</v>
      </c>
      <c r="M54" s="47">
        <v>0</v>
      </c>
      <c r="N54" s="47">
        <v>0</v>
      </c>
      <c r="O54" s="47">
        <f t="shared" si="4"/>
        <v>0</v>
      </c>
      <c r="P54" s="47">
        <v>1800</v>
      </c>
      <c r="Q54" s="47">
        <v>0</v>
      </c>
      <c r="R54" s="47">
        <f t="shared" si="5"/>
        <v>1800</v>
      </c>
      <c r="S54" s="47">
        <f t="shared" si="6"/>
        <v>0</v>
      </c>
      <c r="T54" s="47" t="e">
        <f t="shared" si="7"/>
        <v>#DIV/0!</v>
      </c>
      <c r="U54" s="48">
        <v>0</v>
      </c>
      <c r="V54" s="48">
        <v>0</v>
      </c>
      <c r="W54" s="48">
        <v>0</v>
      </c>
      <c r="X54" s="48">
        <f t="shared" si="8"/>
        <v>0</v>
      </c>
      <c r="Y54" s="48">
        <v>910</v>
      </c>
      <c r="Z54" s="48">
        <v>0</v>
      </c>
      <c r="AA54" s="48">
        <f t="shared" si="9"/>
        <v>910</v>
      </c>
      <c r="AB54" s="48">
        <f t="shared" si="10"/>
        <v>0</v>
      </c>
      <c r="AC54" s="48" t="e">
        <f t="shared" si="11"/>
        <v>#DIV/0!</v>
      </c>
      <c r="AD54" s="49">
        <v>0</v>
      </c>
      <c r="AE54" s="49">
        <v>0</v>
      </c>
      <c r="AF54" s="49">
        <v>0</v>
      </c>
      <c r="AG54" s="49">
        <f t="shared" si="12"/>
        <v>0</v>
      </c>
      <c r="AH54" s="49">
        <v>1200</v>
      </c>
      <c r="AI54" s="49">
        <v>0</v>
      </c>
      <c r="AJ54" s="49">
        <f t="shared" si="13"/>
        <v>1200</v>
      </c>
      <c r="AK54" s="49">
        <f t="shared" si="14"/>
        <v>0</v>
      </c>
      <c r="AL54" s="49" t="e">
        <f t="shared" si="15"/>
        <v>#DIV/0!</v>
      </c>
      <c r="AM54" s="50">
        <v>0</v>
      </c>
      <c r="AN54" s="50">
        <v>0</v>
      </c>
      <c r="AO54" s="50">
        <v>0</v>
      </c>
      <c r="AP54" s="50">
        <f t="shared" si="16"/>
        <v>0</v>
      </c>
      <c r="AQ54" s="50">
        <v>600</v>
      </c>
      <c r="AR54" s="50">
        <v>0</v>
      </c>
      <c r="AS54" s="50">
        <f t="shared" si="17"/>
        <v>600</v>
      </c>
      <c r="AT54" s="50">
        <f t="shared" si="18"/>
        <v>0</v>
      </c>
      <c r="AU54" s="50" t="e">
        <f t="shared" si="19"/>
        <v>#DIV/0!</v>
      </c>
      <c r="AV54" s="51">
        <v>0</v>
      </c>
      <c r="AW54" s="51">
        <v>0</v>
      </c>
      <c r="AX54" s="51">
        <v>0</v>
      </c>
      <c r="AY54" s="51">
        <f t="shared" si="20"/>
        <v>0</v>
      </c>
      <c r="AZ54" s="51">
        <v>1500</v>
      </c>
      <c r="BA54" s="51">
        <v>0</v>
      </c>
      <c r="BB54" s="51">
        <f t="shared" si="21"/>
        <v>1500</v>
      </c>
      <c r="BC54" s="51">
        <f t="shared" si="22"/>
        <v>0</v>
      </c>
      <c r="BD54" s="51" t="e">
        <f t="shared" si="23"/>
        <v>#DIV/0!</v>
      </c>
      <c r="BE54" s="52">
        <v>0</v>
      </c>
      <c r="BF54" s="52">
        <v>0</v>
      </c>
      <c r="BG54" s="52">
        <v>0</v>
      </c>
      <c r="BH54" s="52">
        <f t="shared" si="24"/>
        <v>0</v>
      </c>
      <c r="BI54" s="52">
        <v>750</v>
      </c>
      <c r="BJ54" s="52">
        <v>0</v>
      </c>
      <c r="BK54" s="52">
        <f t="shared" si="25"/>
        <v>750</v>
      </c>
      <c r="BL54" s="52">
        <f t="shared" si="26"/>
        <v>0</v>
      </c>
      <c r="BM54" s="52" t="e">
        <f t="shared" si="27"/>
        <v>#DIV/0!</v>
      </c>
      <c r="BN54" s="53">
        <v>0</v>
      </c>
      <c r="BO54" s="53">
        <v>0</v>
      </c>
      <c r="BP54" s="53">
        <v>0</v>
      </c>
      <c r="BQ54" s="53">
        <f t="shared" si="28"/>
        <v>0</v>
      </c>
      <c r="BR54" s="53">
        <v>2450</v>
      </c>
      <c r="BS54" s="53">
        <v>0</v>
      </c>
      <c r="BT54" s="53">
        <f t="shared" si="29"/>
        <v>2450</v>
      </c>
      <c r="BU54" s="53">
        <f t="shared" si="30"/>
        <v>0</v>
      </c>
      <c r="BV54" s="53" t="e">
        <f t="shared" si="31"/>
        <v>#DIV/0!</v>
      </c>
      <c r="BW54" s="54">
        <v>0</v>
      </c>
      <c r="BX54" s="54">
        <v>0</v>
      </c>
      <c r="BY54" s="54">
        <v>0</v>
      </c>
      <c r="BZ54" s="54">
        <f t="shared" si="32"/>
        <v>0</v>
      </c>
      <c r="CA54" s="54">
        <v>750</v>
      </c>
      <c r="CB54" s="54">
        <v>0</v>
      </c>
      <c r="CC54" s="54">
        <f t="shared" si="33"/>
        <v>750</v>
      </c>
      <c r="CD54" s="54">
        <f t="shared" si="34"/>
        <v>0</v>
      </c>
      <c r="CE54" s="54" t="e">
        <f t="shared" si="35"/>
        <v>#DIV/0!</v>
      </c>
      <c r="CF54" s="55">
        <v>0</v>
      </c>
      <c r="CG54" s="55">
        <v>0</v>
      </c>
      <c r="CH54" s="55">
        <v>0</v>
      </c>
      <c r="CI54" s="55">
        <f t="shared" si="36"/>
        <v>0</v>
      </c>
      <c r="CJ54" s="55">
        <v>730</v>
      </c>
      <c r="CK54" s="55">
        <v>0</v>
      </c>
      <c r="CL54" s="55">
        <f t="shared" si="37"/>
        <v>730</v>
      </c>
      <c r="CM54" s="55">
        <f t="shared" si="38"/>
        <v>0</v>
      </c>
      <c r="CN54" s="55" t="e">
        <f t="shared" si="39"/>
        <v>#DIV/0!</v>
      </c>
      <c r="CO54" s="56">
        <v>0</v>
      </c>
      <c r="CP54" s="56">
        <v>0</v>
      </c>
      <c r="CQ54" s="56">
        <v>0</v>
      </c>
      <c r="CR54" s="56">
        <f t="shared" si="40"/>
        <v>0</v>
      </c>
      <c r="CS54" s="56">
        <v>730</v>
      </c>
      <c r="CT54" s="56">
        <v>0</v>
      </c>
      <c r="CU54" s="56">
        <f t="shared" si="41"/>
        <v>730</v>
      </c>
      <c r="CV54" s="56">
        <f t="shared" si="42"/>
        <v>0</v>
      </c>
      <c r="CW54" s="56" t="e">
        <f t="shared" si="43"/>
        <v>#DIV/0!</v>
      </c>
      <c r="CX54" s="57">
        <v>0</v>
      </c>
      <c r="CY54" s="57">
        <v>0</v>
      </c>
      <c r="CZ54" s="57">
        <v>0</v>
      </c>
      <c r="DA54" s="57">
        <f t="shared" si="44"/>
        <v>0</v>
      </c>
      <c r="DB54" s="57">
        <v>600</v>
      </c>
      <c r="DC54" s="57">
        <v>0</v>
      </c>
      <c r="DD54" s="57">
        <f t="shared" si="45"/>
        <v>600</v>
      </c>
      <c r="DE54" s="57">
        <f t="shared" si="46"/>
        <v>0</v>
      </c>
      <c r="DF54" s="57" t="e">
        <f t="shared" si="47"/>
        <v>#DIV/0!</v>
      </c>
    </row>
    <row r="55" spans="1:110" ht="14.25" customHeight="1">
      <c r="A55" s="59"/>
      <c r="B55" s="29"/>
      <c r="C55" s="45">
        <v>0</v>
      </c>
      <c r="D55" s="45">
        <v>0</v>
      </c>
      <c r="E55" s="45">
        <v>0</v>
      </c>
      <c r="F55" s="45">
        <f t="shared" si="0"/>
        <v>0</v>
      </c>
      <c r="G55" s="45">
        <v>900</v>
      </c>
      <c r="H55" s="45">
        <v>0</v>
      </c>
      <c r="I55" s="45">
        <f t="shared" si="1"/>
        <v>900</v>
      </c>
      <c r="J55" s="45">
        <f t="shared" si="2"/>
        <v>0</v>
      </c>
      <c r="K55" s="45" t="e">
        <f t="shared" si="3"/>
        <v>#DIV/0!</v>
      </c>
      <c r="L55" s="47">
        <v>0</v>
      </c>
      <c r="M55" s="47">
        <v>0</v>
      </c>
      <c r="N55" s="47">
        <v>0</v>
      </c>
      <c r="O55" s="47">
        <f t="shared" si="4"/>
        <v>0</v>
      </c>
      <c r="P55" s="47">
        <v>1800</v>
      </c>
      <c r="Q55" s="47">
        <v>0</v>
      </c>
      <c r="R55" s="47">
        <f t="shared" si="5"/>
        <v>1800</v>
      </c>
      <c r="S55" s="47">
        <f t="shared" si="6"/>
        <v>0</v>
      </c>
      <c r="T55" s="47" t="e">
        <f t="shared" si="7"/>
        <v>#DIV/0!</v>
      </c>
      <c r="U55" s="48">
        <v>0</v>
      </c>
      <c r="V55" s="48">
        <v>0</v>
      </c>
      <c r="W55" s="48">
        <v>0</v>
      </c>
      <c r="X55" s="48">
        <f t="shared" si="8"/>
        <v>0</v>
      </c>
      <c r="Y55" s="48">
        <v>910</v>
      </c>
      <c r="Z55" s="48">
        <v>0</v>
      </c>
      <c r="AA55" s="48">
        <f t="shared" si="9"/>
        <v>910</v>
      </c>
      <c r="AB55" s="48">
        <f t="shared" si="10"/>
        <v>0</v>
      </c>
      <c r="AC55" s="48" t="e">
        <f t="shared" si="11"/>
        <v>#DIV/0!</v>
      </c>
      <c r="AD55" s="49">
        <v>0</v>
      </c>
      <c r="AE55" s="49">
        <v>0</v>
      </c>
      <c r="AF55" s="49">
        <v>0</v>
      </c>
      <c r="AG55" s="49">
        <f t="shared" si="12"/>
        <v>0</v>
      </c>
      <c r="AH55" s="49">
        <v>1200</v>
      </c>
      <c r="AI55" s="49">
        <v>0</v>
      </c>
      <c r="AJ55" s="49">
        <f t="shared" si="13"/>
        <v>1200</v>
      </c>
      <c r="AK55" s="49">
        <f t="shared" si="14"/>
        <v>0</v>
      </c>
      <c r="AL55" s="49" t="e">
        <f t="shared" si="15"/>
        <v>#DIV/0!</v>
      </c>
      <c r="AM55" s="50">
        <v>0</v>
      </c>
      <c r="AN55" s="50">
        <v>0</v>
      </c>
      <c r="AO55" s="50">
        <v>0</v>
      </c>
      <c r="AP55" s="50">
        <f t="shared" si="16"/>
        <v>0</v>
      </c>
      <c r="AQ55" s="50">
        <v>600</v>
      </c>
      <c r="AR55" s="50">
        <v>0</v>
      </c>
      <c r="AS55" s="50">
        <f t="shared" si="17"/>
        <v>600</v>
      </c>
      <c r="AT55" s="50">
        <f t="shared" si="18"/>
        <v>0</v>
      </c>
      <c r="AU55" s="50" t="e">
        <f t="shared" si="19"/>
        <v>#DIV/0!</v>
      </c>
      <c r="AV55" s="51">
        <v>0</v>
      </c>
      <c r="AW55" s="51">
        <v>0</v>
      </c>
      <c r="AX55" s="51">
        <v>0</v>
      </c>
      <c r="AY55" s="51">
        <f t="shared" si="20"/>
        <v>0</v>
      </c>
      <c r="AZ55" s="51">
        <v>1500</v>
      </c>
      <c r="BA55" s="51">
        <v>0</v>
      </c>
      <c r="BB55" s="51">
        <f t="shared" si="21"/>
        <v>1500</v>
      </c>
      <c r="BC55" s="51">
        <f t="shared" si="22"/>
        <v>0</v>
      </c>
      <c r="BD55" s="51" t="e">
        <f t="shared" si="23"/>
        <v>#DIV/0!</v>
      </c>
      <c r="BE55" s="52">
        <v>0</v>
      </c>
      <c r="BF55" s="52">
        <v>0</v>
      </c>
      <c r="BG55" s="52">
        <v>0</v>
      </c>
      <c r="BH55" s="52">
        <f t="shared" si="24"/>
        <v>0</v>
      </c>
      <c r="BI55" s="52">
        <v>750</v>
      </c>
      <c r="BJ55" s="52">
        <v>0</v>
      </c>
      <c r="BK55" s="52">
        <f t="shared" si="25"/>
        <v>750</v>
      </c>
      <c r="BL55" s="52">
        <f t="shared" si="26"/>
        <v>0</v>
      </c>
      <c r="BM55" s="52" t="e">
        <f t="shared" si="27"/>
        <v>#DIV/0!</v>
      </c>
      <c r="BN55" s="53">
        <v>0</v>
      </c>
      <c r="BO55" s="53">
        <v>0</v>
      </c>
      <c r="BP55" s="53">
        <v>0</v>
      </c>
      <c r="BQ55" s="53">
        <f t="shared" si="28"/>
        <v>0</v>
      </c>
      <c r="BR55" s="53">
        <v>2450</v>
      </c>
      <c r="BS55" s="53">
        <v>0</v>
      </c>
      <c r="BT55" s="53">
        <f t="shared" si="29"/>
        <v>2450</v>
      </c>
      <c r="BU55" s="53">
        <f t="shared" si="30"/>
        <v>0</v>
      </c>
      <c r="BV55" s="53" t="e">
        <f t="shared" si="31"/>
        <v>#DIV/0!</v>
      </c>
      <c r="BW55" s="54">
        <v>0</v>
      </c>
      <c r="BX55" s="54">
        <v>0</v>
      </c>
      <c r="BY55" s="54">
        <v>0</v>
      </c>
      <c r="BZ55" s="54">
        <f t="shared" si="32"/>
        <v>0</v>
      </c>
      <c r="CA55" s="54">
        <v>750</v>
      </c>
      <c r="CB55" s="54">
        <v>0</v>
      </c>
      <c r="CC55" s="54">
        <f t="shared" si="33"/>
        <v>750</v>
      </c>
      <c r="CD55" s="54">
        <f t="shared" si="34"/>
        <v>0</v>
      </c>
      <c r="CE55" s="54" t="e">
        <f t="shared" si="35"/>
        <v>#DIV/0!</v>
      </c>
      <c r="CF55" s="55">
        <v>0</v>
      </c>
      <c r="CG55" s="55">
        <v>0</v>
      </c>
      <c r="CH55" s="55">
        <v>0</v>
      </c>
      <c r="CI55" s="55">
        <f t="shared" si="36"/>
        <v>0</v>
      </c>
      <c r="CJ55" s="55">
        <v>730</v>
      </c>
      <c r="CK55" s="55">
        <v>0</v>
      </c>
      <c r="CL55" s="55">
        <f t="shared" si="37"/>
        <v>730</v>
      </c>
      <c r="CM55" s="55">
        <f t="shared" si="38"/>
        <v>0</v>
      </c>
      <c r="CN55" s="55" t="e">
        <f t="shared" si="39"/>
        <v>#DIV/0!</v>
      </c>
      <c r="CO55" s="56">
        <v>0</v>
      </c>
      <c r="CP55" s="56">
        <v>0</v>
      </c>
      <c r="CQ55" s="56">
        <v>0</v>
      </c>
      <c r="CR55" s="56">
        <f t="shared" si="40"/>
        <v>0</v>
      </c>
      <c r="CS55" s="56">
        <v>730</v>
      </c>
      <c r="CT55" s="56">
        <v>0</v>
      </c>
      <c r="CU55" s="56">
        <f t="shared" si="41"/>
        <v>730</v>
      </c>
      <c r="CV55" s="56">
        <f t="shared" si="42"/>
        <v>0</v>
      </c>
      <c r="CW55" s="56" t="e">
        <f t="shared" si="43"/>
        <v>#DIV/0!</v>
      </c>
      <c r="CX55" s="57">
        <v>0</v>
      </c>
      <c r="CY55" s="57">
        <v>0</v>
      </c>
      <c r="CZ55" s="57">
        <v>0</v>
      </c>
      <c r="DA55" s="57">
        <f t="shared" si="44"/>
        <v>0</v>
      </c>
      <c r="DB55" s="57">
        <v>600</v>
      </c>
      <c r="DC55" s="57">
        <v>0</v>
      </c>
      <c r="DD55" s="57">
        <f t="shared" si="45"/>
        <v>600</v>
      </c>
      <c r="DE55" s="57">
        <f t="shared" si="46"/>
        <v>0</v>
      </c>
      <c r="DF55" s="57" t="e">
        <f t="shared" si="47"/>
        <v>#DIV/0!</v>
      </c>
    </row>
    <row r="56" spans="1:110" ht="14.25" customHeight="1">
      <c r="A56" s="59"/>
      <c r="B56" s="29"/>
      <c r="C56" s="45">
        <v>0</v>
      </c>
      <c r="D56" s="45">
        <v>0</v>
      </c>
      <c r="E56" s="45">
        <v>0</v>
      </c>
      <c r="F56" s="45">
        <f t="shared" si="0"/>
        <v>0</v>
      </c>
      <c r="G56" s="45">
        <v>900</v>
      </c>
      <c r="H56" s="45">
        <v>0</v>
      </c>
      <c r="I56" s="45">
        <f t="shared" si="1"/>
        <v>900</v>
      </c>
      <c r="J56" s="45">
        <f t="shared" si="2"/>
        <v>0</v>
      </c>
      <c r="K56" s="45" t="e">
        <f t="shared" si="3"/>
        <v>#DIV/0!</v>
      </c>
      <c r="L56" s="47">
        <v>0</v>
      </c>
      <c r="M56" s="47">
        <v>45</v>
      </c>
      <c r="N56" s="47">
        <v>0</v>
      </c>
      <c r="O56" s="47">
        <f t="shared" si="4"/>
        <v>45</v>
      </c>
      <c r="P56" s="47">
        <v>1800</v>
      </c>
      <c r="Q56" s="47">
        <v>200</v>
      </c>
      <c r="R56" s="47">
        <f t="shared" si="5"/>
        <v>1600</v>
      </c>
      <c r="S56" s="47">
        <f t="shared" si="6"/>
        <v>72000</v>
      </c>
      <c r="T56" s="47">
        <f t="shared" si="7"/>
        <v>0</v>
      </c>
      <c r="U56" s="48">
        <v>0</v>
      </c>
      <c r="V56" s="48">
        <v>0</v>
      </c>
      <c r="W56" s="48">
        <v>0</v>
      </c>
      <c r="X56" s="48">
        <f t="shared" si="8"/>
        <v>0</v>
      </c>
      <c r="Y56" s="48">
        <v>910</v>
      </c>
      <c r="Z56" s="48">
        <v>0</v>
      </c>
      <c r="AA56" s="48">
        <f t="shared" si="9"/>
        <v>910</v>
      </c>
      <c r="AB56" s="48">
        <f t="shared" si="10"/>
        <v>0</v>
      </c>
      <c r="AC56" s="48" t="e">
        <f t="shared" si="11"/>
        <v>#DIV/0!</v>
      </c>
      <c r="AD56" s="49">
        <v>0</v>
      </c>
      <c r="AE56" s="49">
        <v>0</v>
      </c>
      <c r="AF56" s="49">
        <v>0</v>
      </c>
      <c r="AG56" s="49">
        <f t="shared" si="12"/>
        <v>0</v>
      </c>
      <c r="AH56" s="49">
        <v>1200</v>
      </c>
      <c r="AI56" s="49">
        <v>0</v>
      </c>
      <c r="AJ56" s="49">
        <f t="shared" si="13"/>
        <v>1200</v>
      </c>
      <c r="AK56" s="49">
        <f t="shared" si="14"/>
        <v>0</v>
      </c>
      <c r="AL56" s="49" t="e">
        <f t="shared" si="15"/>
        <v>#DIV/0!</v>
      </c>
      <c r="AM56" s="50">
        <v>0</v>
      </c>
      <c r="AN56" s="50">
        <v>0</v>
      </c>
      <c r="AO56" s="50">
        <v>0</v>
      </c>
      <c r="AP56" s="50">
        <f t="shared" si="16"/>
        <v>0</v>
      </c>
      <c r="AQ56" s="50">
        <v>600</v>
      </c>
      <c r="AR56" s="50">
        <v>0</v>
      </c>
      <c r="AS56" s="50">
        <f t="shared" si="17"/>
        <v>600</v>
      </c>
      <c r="AT56" s="50">
        <f t="shared" si="18"/>
        <v>0</v>
      </c>
      <c r="AU56" s="50" t="e">
        <f t="shared" si="19"/>
        <v>#DIV/0!</v>
      </c>
      <c r="AV56" s="51">
        <v>0</v>
      </c>
      <c r="AW56" s="51">
        <v>0</v>
      </c>
      <c r="AX56" s="51">
        <v>0</v>
      </c>
      <c r="AY56" s="51">
        <f t="shared" si="20"/>
        <v>0</v>
      </c>
      <c r="AZ56" s="51">
        <v>1500</v>
      </c>
      <c r="BA56" s="51">
        <v>0</v>
      </c>
      <c r="BB56" s="51">
        <f t="shared" si="21"/>
        <v>1500</v>
      </c>
      <c r="BC56" s="51">
        <f t="shared" si="22"/>
        <v>0</v>
      </c>
      <c r="BD56" s="51" t="e">
        <f t="shared" si="23"/>
        <v>#DIV/0!</v>
      </c>
      <c r="BE56" s="52">
        <v>0</v>
      </c>
      <c r="BF56" s="52">
        <v>0</v>
      </c>
      <c r="BG56" s="52">
        <v>0</v>
      </c>
      <c r="BH56" s="52">
        <f t="shared" si="24"/>
        <v>0</v>
      </c>
      <c r="BI56" s="52">
        <v>750</v>
      </c>
      <c r="BJ56" s="52">
        <v>0</v>
      </c>
      <c r="BK56" s="52">
        <f t="shared" si="25"/>
        <v>750</v>
      </c>
      <c r="BL56" s="52">
        <f t="shared" si="26"/>
        <v>0</v>
      </c>
      <c r="BM56" s="52" t="e">
        <f t="shared" si="27"/>
        <v>#DIV/0!</v>
      </c>
      <c r="BN56" s="53">
        <v>0</v>
      </c>
      <c r="BO56" s="53">
        <v>264</v>
      </c>
      <c r="BP56" s="53">
        <f>264-222</f>
        <v>42</v>
      </c>
      <c r="BQ56" s="53">
        <f t="shared" si="28"/>
        <v>222</v>
      </c>
      <c r="BR56" s="53">
        <v>2450</v>
      </c>
      <c r="BS56" s="53">
        <v>450</v>
      </c>
      <c r="BT56" s="53">
        <f t="shared" si="29"/>
        <v>2000</v>
      </c>
      <c r="BU56" s="53">
        <f t="shared" si="30"/>
        <v>444000</v>
      </c>
      <c r="BV56" s="53">
        <f t="shared" si="31"/>
        <v>15.909090909090908</v>
      </c>
      <c r="BW56" s="54">
        <v>0</v>
      </c>
      <c r="BX56" s="54">
        <v>40</v>
      </c>
      <c r="BY56" s="54">
        <v>0</v>
      </c>
      <c r="BZ56" s="54">
        <f t="shared" si="32"/>
        <v>40</v>
      </c>
      <c r="CA56" s="54">
        <v>750</v>
      </c>
      <c r="CB56" s="54">
        <v>100</v>
      </c>
      <c r="CC56" s="54">
        <f t="shared" si="33"/>
        <v>650</v>
      </c>
      <c r="CD56" s="54">
        <f t="shared" si="34"/>
        <v>26000</v>
      </c>
      <c r="CE56" s="54">
        <f t="shared" si="35"/>
        <v>0</v>
      </c>
      <c r="CF56" s="55">
        <v>0</v>
      </c>
      <c r="CG56" s="55">
        <v>0</v>
      </c>
      <c r="CH56" s="55">
        <v>0</v>
      </c>
      <c r="CI56" s="55">
        <f t="shared" si="36"/>
        <v>0</v>
      </c>
      <c r="CJ56" s="55">
        <v>730</v>
      </c>
      <c r="CK56" s="55">
        <v>0</v>
      </c>
      <c r="CL56" s="55">
        <f t="shared" si="37"/>
        <v>730</v>
      </c>
      <c r="CM56" s="55">
        <f t="shared" si="38"/>
        <v>0</v>
      </c>
      <c r="CN56" s="55" t="e">
        <f t="shared" si="39"/>
        <v>#DIV/0!</v>
      </c>
      <c r="CO56" s="56">
        <v>0</v>
      </c>
      <c r="CP56" s="56">
        <v>0</v>
      </c>
      <c r="CQ56" s="56">
        <v>0</v>
      </c>
      <c r="CR56" s="56">
        <f t="shared" si="40"/>
        <v>0</v>
      </c>
      <c r="CS56" s="56">
        <v>730</v>
      </c>
      <c r="CT56" s="56">
        <v>0</v>
      </c>
      <c r="CU56" s="56">
        <f t="shared" si="41"/>
        <v>730</v>
      </c>
      <c r="CV56" s="56">
        <f t="shared" si="42"/>
        <v>0</v>
      </c>
      <c r="CW56" s="56" t="e">
        <f t="shared" si="43"/>
        <v>#DIV/0!</v>
      </c>
      <c r="CX56" s="57">
        <v>0</v>
      </c>
      <c r="CY56" s="57">
        <v>0</v>
      </c>
      <c r="CZ56" s="57">
        <v>0</v>
      </c>
      <c r="DA56" s="57">
        <f t="shared" si="44"/>
        <v>0</v>
      </c>
      <c r="DB56" s="57">
        <v>600</v>
      </c>
      <c r="DC56" s="57">
        <v>0</v>
      </c>
      <c r="DD56" s="57">
        <f t="shared" si="45"/>
        <v>600</v>
      </c>
      <c r="DE56" s="57">
        <f t="shared" si="46"/>
        <v>0</v>
      </c>
      <c r="DF56" s="57" t="e">
        <f t="shared" si="47"/>
        <v>#DIV/0!</v>
      </c>
    </row>
    <row r="57" spans="1:110" ht="14.25" customHeight="1">
      <c r="A57" s="59"/>
      <c r="B57" s="29"/>
      <c r="C57" s="45">
        <v>0</v>
      </c>
      <c r="D57" s="45">
        <v>0</v>
      </c>
      <c r="E57" s="45">
        <v>0</v>
      </c>
      <c r="F57" s="45">
        <f t="shared" si="0"/>
        <v>0</v>
      </c>
      <c r="G57" s="45">
        <v>900</v>
      </c>
      <c r="H57" s="45">
        <v>0</v>
      </c>
      <c r="I57" s="45">
        <f t="shared" si="1"/>
        <v>900</v>
      </c>
      <c r="J57" s="45">
        <f t="shared" si="2"/>
        <v>0</v>
      </c>
      <c r="K57" s="45" t="e">
        <f t="shared" si="3"/>
        <v>#DIV/0!</v>
      </c>
      <c r="L57" s="47">
        <v>0</v>
      </c>
      <c r="M57" s="47">
        <v>0</v>
      </c>
      <c r="N57" s="47">
        <v>0</v>
      </c>
      <c r="O57" s="47">
        <f t="shared" si="4"/>
        <v>0</v>
      </c>
      <c r="P57" s="47">
        <v>1800</v>
      </c>
      <c r="Q57" s="47">
        <v>0</v>
      </c>
      <c r="R57" s="47">
        <f t="shared" si="5"/>
        <v>1800</v>
      </c>
      <c r="S57" s="47">
        <f t="shared" si="6"/>
        <v>0</v>
      </c>
      <c r="T57" s="47" t="e">
        <f t="shared" si="7"/>
        <v>#DIV/0!</v>
      </c>
      <c r="U57" s="48">
        <v>0</v>
      </c>
      <c r="V57" s="48">
        <v>0</v>
      </c>
      <c r="W57" s="48">
        <v>0</v>
      </c>
      <c r="X57" s="48">
        <f t="shared" si="8"/>
        <v>0</v>
      </c>
      <c r="Y57" s="48">
        <v>910</v>
      </c>
      <c r="Z57" s="48">
        <v>0</v>
      </c>
      <c r="AA57" s="48">
        <f t="shared" si="9"/>
        <v>910</v>
      </c>
      <c r="AB57" s="48">
        <f t="shared" si="10"/>
        <v>0</v>
      </c>
      <c r="AC57" s="48" t="e">
        <f t="shared" si="11"/>
        <v>#DIV/0!</v>
      </c>
      <c r="AD57" s="49">
        <v>0</v>
      </c>
      <c r="AE57" s="49">
        <v>0</v>
      </c>
      <c r="AF57" s="49">
        <v>0</v>
      </c>
      <c r="AG57" s="49">
        <f t="shared" si="12"/>
        <v>0</v>
      </c>
      <c r="AH57" s="49">
        <v>1200</v>
      </c>
      <c r="AI57" s="49">
        <v>0</v>
      </c>
      <c r="AJ57" s="49">
        <f t="shared" si="13"/>
        <v>1200</v>
      </c>
      <c r="AK57" s="49">
        <f t="shared" si="14"/>
        <v>0</v>
      </c>
      <c r="AL57" s="49" t="e">
        <f t="shared" si="15"/>
        <v>#DIV/0!</v>
      </c>
      <c r="AM57" s="50">
        <v>0</v>
      </c>
      <c r="AN57" s="50">
        <v>0</v>
      </c>
      <c r="AO57" s="50">
        <v>0</v>
      </c>
      <c r="AP57" s="50">
        <f t="shared" si="16"/>
        <v>0</v>
      </c>
      <c r="AQ57" s="50">
        <v>600</v>
      </c>
      <c r="AR57" s="50">
        <v>0</v>
      </c>
      <c r="AS57" s="50">
        <f t="shared" si="17"/>
        <v>600</v>
      </c>
      <c r="AT57" s="50">
        <f t="shared" si="18"/>
        <v>0</v>
      </c>
      <c r="AU57" s="50" t="e">
        <f t="shared" si="19"/>
        <v>#DIV/0!</v>
      </c>
      <c r="AV57" s="51">
        <v>0</v>
      </c>
      <c r="AW57" s="51">
        <v>0</v>
      </c>
      <c r="AX57" s="51">
        <v>0</v>
      </c>
      <c r="AY57" s="51">
        <f t="shared" si="20"/>
        <v>0</v>
      </c>
      <c r="AZ57" s="51">
        <v>1500</v>
      </c>
      <c r="BA57" s="51">
        <v>0</v>
      </c>
      <c r="BB57" s="51">
        <f t="shared" si="21"/>
        <v>1500</v>
      </c>
      <c r="BC57" s="51">
        <f t="shared" si="22"/>
        <v>0</v>
      </c>
      <c r="BD57" s="51" t="e">
        <f t="shared" si="23"/>
        <v>#DIV/0!</v>
      </c>
      <c r="BE57" s="52">
        <v>0</v>
      </c>
      <c r="BF57" s="52">
        <v>0</v>
      </c>
      <c r="BG57" s="52">
        <v>0</v>
      </c>
      <c r="BH57" s="52">
        <f t="shared" si="24"/>
        <v>0</v>
      </c>
      <c r="BI57" s="52">
        <v>750</v>
      </c>
      <c r="BJ57" s="52">
        <v>0</v>
      </c>
      <c r="BK57" s="52">
        <f t="shared" si="25"/>
        <v>750</v>
      </c>
      <c r="BL57" s="52">
        <f t="shared" si="26"/>
        <v>0</v>
      </c>
      <c r="BM57" s="52" t="e">
        <f t="shared" si="27"/>
        <v>#DIV/0!</v>
      </c>
      <c r="BN57" s="53">
        <v>0</v>
      </c>
      <c r="BO57" s="53">
        <v>0</v>
      </c>
      <c r="BP57" s="53">
        <v>0</v>
      </c>
      <c r="BQ57" s="53">
        <f t="shared" si="28"/>
        <v>0</v>
      </c>
      <c r="BR57" s="53">
        <v>2450</v>
      </c>
      <c r="BS57" s="53">
        <v>0</v>
      </c>
      <c r="BT57" s="53">
        <f t="shared" si="29"/>
        <v>2450</v>
      </c>
      <c r="BU57" s="53">
        <f t="shared" si="30"/>
        <v>0</v>
      </c>
      <c r="BV57" s="53" t="e">
        <f t="shared" si="31"/>
        <v>#DIV/0!</v>
      </c>
      <c r="BW57" s="54">
        <v>0</v>
      </c>
      <c r="BX57" s="54">
        <v>0</v>
      </c>
      <c r="BY57" s="54">
        <v>0</v>
      </c>
      <c r="BZ57" s="54">
        <f t="shared" si="32"/>
        <v>0</v>
      </c>
      <c r="CA57" s="54">
        <v>750</v>
      </c>
      <c r="CB57" s="54">
        <v>0</v>
      </c>
      <c r="CC57" s="54">
        <f t="shared" si="33"/>
        <v>750</v>
      </c>
      <c r="CD57" s="54">
        <f t="shared" si="34"/>
        <v>0</v>
      </c>
      <c r="CE57" s="54" t="e">
        <f t="shared" si="35"/>
        <v>#DIV/0!</v>
      </c>
      <c r="CF57" s="55">
        <v>0</v>
      </c>
      <c r="CG57" s="55">
        <v>0</v>
      </c>
      <c r="CH57" s="55">
        <v>0</v>
      </c>
      <c r="CI57" s="55">
        <f t="shared" si="36"/>
        <v>0</v>
      </c>
      <c r="CJ57" s="55">
        <v>730</v>
      </c>
      <c r="CK57" s="55">
        <v>0</v>
      </c>
      <c r="CL57" s="55">
        <f t="shared" si="37"/>
        <v>730</v>
      </c>
      <c r="CM57" s="55">
        <f t="shared" si="38"/>
        <v>0</v>
      </c>
      <c r="CN57" s="55" t="e">
        <f t="shared" si="39"/>
        <v>#DIV/0!</v>
      </c>
      <c r="CO57" s="56">
        <v>0</v>
      </c>
      <c r="CP57" s="56">
        <v>0</v>
      </c>
      <c r="CQ57" s="56">
        <v>0</v>
      </c>
      <c r="CR57" s="56">
        <f t="shared" si="40"/>
        <v>0</v>
      </c>
      <c r="CS57" s="56">
        <v>730</v>
      </c>
      <c r="CT57" s="56">
        <v>0</v>
      </c>
      <c r="CU57" s="56">
        <f t="shared" si="41"/>
        <v>730</v>
      </c>
      <c r="CV57" s="56">
        <f t="shared" si="42"/>
        <v>0</v>
      </c>
      <c r="CW57" s="56" t="e">
        <f t="shared" si="43"/>
        <v>#DIV/0!</v>
      </c>
      <c r="CX57" s="57">
        <v>0</v>
      </c>
      <c r="CY57" s="57">
        <v>0</v>
      </c>
      <c r="CZ57" s="57">
        <v>0</v>
      </c>
      <c r="DA57" s="57">
        <f t="shared" si="44"/>
        <v>0</v>
      </c>
      <c r="DB57" s="57">
        <v>600</v>
      </c>
      <c r="DC57" s="57">
        <v>0</v>
      </c>
      <c r="DD57" s="57">
        <f t="shared" si="45"/>
        <v>600</v>
      </c>
      <c r="DE57" s="57">
        <f t="shared" si="46"/>
        <v>0</v>
      </c>
      <c r="DF57" s="57" t="e">
        <f t="shared" si="47"/>
        <v>#DIV/0!</v>
      </c>
    </row>
    <row r="58" spans="1:110" ht="14.25" customHeight="1">
      <c r="A58" s="59"/>
      <c r="B58" s="29"/>
      <c r="C58" s="45">
        <v>0</v>
      </c>
      <c r="D58" s="45">
        <v>0</v>
      </c>
      <c r="E58" s="45">
        <v>0</v>
      </c>
      <c r="F58" s="45">
        <f t="shared" si="0"/>
        <v>0</v>
      </c>
      <c r="G58" s="45">
        <v>900</v>
      </c>
      <c r="H58" s="45">
        <v>0</v>
      </c>
      <c r="I58" s="45">
        <f t="shared" si="1"/>
        <v>900</v>
      </c>
      <c r="J58" s="45">
        <f t="shared" si="2"/>
        <v>0</v>
      </c>
      <c r="K58" s="45" t="e">
        <f t="shared" si="3"/>
        <v>#DIV/0!</v>
      </c>
      <c r="L58" s="47">
        <v>0</v>
      </c>
      <c r="M58" s="47">
        <v>174</v>
      </c>
      <c r="N58" s="47">
        <v>61</v>
      </c>
      <c r="O58" s="47">
        <f t="shared" si="4"/>
        <v>113</v>
      </c>
      <c r="P58" s="47">
        <v>1800</v>
      </c>
      <c r="Q58" s="47">
        <v>200</v>
      </c>
      <c r="R58" s="47">
        <f t="shared" si="5"/>
        <v>1600</v>
      </c>
      <c r="S58" s="47">
        <f t="shared" si="6"/>
        <v>180800</v>
      </c>
      <c r="T58" s="47">
        <f t="shared" si="7"/>
        <v>35.05747126436782</v>
      </c>
      <c r="U58" s="48">
        <v>0</v>
      </c>
      <c r="V58" s="48">
        <v>0</v>
      </c>
      <c r="W58" s="48">
        <v>0</v>
      </c>
      <c r="X58" s="48">
        <f t="shared" si="8"/>
        <v>0</v>
      </c>
      <c r="Y58" s="48">
        <v>910</v>
      </c>
      <c r="Z58" s="48">
        <v>0</v>
      </c>
      <c r="AA58" s="48">
        <f t="shared" si="9"/>
        <v>910</v>
      </c>
      <c r="AB58" s="48">
        <f t="shared" si="10"/>
        <v>0</v>
      </c>
      <c r="AC58" s="48" t="e">
        <f t="shared" si="11"/>
        <v>#DIV/0!</v>
      </c>
      <c r="AD58" s="49">
        <v>0</v>
      </c>
      <c r="AE58" s="49">
        <v>0</v>
      </c>
      <c r="AF58" s="49">
        <v>0</v>
      </c>
      <c r="AG58" s="49">
        <f t="shared" si="12"/>
        <v>0</v>
      </c>
      <c r="AH58" s="49">
        <v>1200</v>
      </c>
      <c r="AI58" s="49">
        <v>0</v>
      </c>
      <c r="AJ58" s="49">
        <f t="shared" si="13"/>
        <v>1200</v>
      </c>
      <c r="AK58" s="49">
        <f t="shared" si="14"/>
        <v>0</v>
      </c>
      <c r="AL58" s="49" t="e">
        <f t="shared" si="15"/>
        <v>#DIV/0!</v>
      </c>
      <c r="AM58" s="50">
        <v>0</v>
      </c>
      <c r="AN58" s="50">
        <v>60</v>
      </c>
      <c r="AO58" s="50">
        <v>36</v>
      </c>
      <c r="AP58" s="50">
        <f t="shared" si="16"/>
        <v>24</v>
      </c>
      <c r="AQ58" s="50">
        <v>600</v>
      </c>
      <c r="AR58" s="50">
        <v>60</v>
      </c>
      <c r="AS58" s="50">
        <f t="shared" si="17"/>
        <v>540</v>
      </c>
      <c r="AT58" s="50">
        <f t="shared" si="18"/>
        <v>12960</v>
      </c>
      <c r="AU58" s="50">
        <f t="shared" si="19"/>
        <v>60</v>
      </c>
      <c r="AV58" s="51">
        <v>0</v>
      </c>
      <c r="AW58" s="51">
        <v>0</v>
      </c>
      <c r="AX58" s="51">
        <v>0</v>
      </c>
      <c r="AY58" s="51">
        <f t="shared" si="20"/>
        <v>0</v>
      </c>
      <c r="AZ58" s="51">
        <v>1500</v>
      </c>
      <c r="BA58" s="51">
        <v>0</v>
      </c>
      <c r="BB58" s="51">
        <f t="shared" si="21"/>
        <v>1500</v>
      </c>
      <c r="BC58" s="51">
        <f t="shared" si="22"/>
        <v>0</v>
      </c>
      <c r="BD58" s="51" t="e">
        <f t="shared" si="23"/>
        <v>#DIV/0!</v>
      </c>
      <c r="BE58" s="52">
        <v>0</v>
      </c>
      <c r="BF58" s="52">
        <v>90</v>
      </c>
      <c r="BG58" s="52">
        <f>90-69</f>
        <v>21</v>
      </c>
      <c r="BH58" s="52">
        <f t="shared" si="24"/>
        <v>69</v>
      </c>
      <c r="BI58" s="52">
        <v>750</v>
      </c>
      <c r="BJ58" s="52">
        <v>100</v>
      </c>
      <c r="BK58" s="52">
        <f t="shared" si="25"/>
        <v>650</v>
      </c>
      <c r="BL58" s="52">
        <f t="shared" si="26"/>
        <v>44850</v>
      </c>
      <c r="BM58" s="52">
        <f t="shared" si="27"/>
        <v>23.333333333333332</v>
      </c>
      <c r="BN58" s="53">
        <v>0</v>
      </c>
      <c r="BO58" s="53">
        <v>344</v>
      </c>
      <c r="BP58" s="53">
        <f>344-227</f>
        <v>117</v>
      </c>
      <c r="BQ58" s="53">
        <f t="shared" si="28"/>
        <v>227</v>
      </c>
      <c r="BR58" s="53">
        <v>2450</v>
      </c>
      <c r="BS58" s="53">
        <v>450</v>
      </c>
      <c r="BT58" s="53">
        <f t="shared" si="29"/>
        <v>2000</v>
      </c>
      <c r="BU58" s="53">
        <f t="shared" si="30"/>
        <v>454000</v>
      </c>
      <c r="BV58" s="53">
        <f t="shared" si="31"/>
        <v>34.011627906976742</v>
      </c>
      <c r="BW58" s="54">
        <v>0</v>
      </c>
      <c r="BX58" s="54">
        <v>0</v>
      </c>
      <c r="BY58" s="54">
        <v>0</v>
      </c>
      <c r="BZ58" s="54">
        <f t="shared" si="32"/>
        <v>0</v>
      </c>
      <c r="CA58" s="54">
        <v>750</v>
      </c>
      <c r="CB58" s="54">
        <v>0</v>
      </c>
      <c r="CC58" s="54">
        <f t="shared" si="33"/>
        <v>750</v>
      </c>
      <c r="CD58" s="54">
        <f t="shared" si="34"/>
        <v>0</v>
      </c>
      <c r="CE58" s="54" t="e">
        <f t="shared" si="35"/>
        <v>#DIV/0!</v>
      </c>
      <c r="CF58" s="55">
        <v>0</v>
      </c>
      <c r="CG58" s="55">
        <v>0</v>
      </c>
      <c r="CH58" s="55">
        <v>0</v>
      </c>
      <c r="CI58" s="55">
        <f t="shared" si="36"/>
        <v>0</v>
      </c>
      <c r="CJ58" s="55">
        <v>730</v>
      </c>
      <c r="CK58" s="55">
        <v>0</v>
      </c>
      <c r="CL58" s="55">
        <f t="shared" si="37"/>
        <v>730</v>
      </c>
      <c r="CM58" s="55">
        <f t="shared" si="38"/>
        <v>0</v>
      </c>
      <c r="CN58" s="55" t="e">
        <f t="shared" si="39"/>
        <v>#DIV/0!</v>
      </c>
      <c r="CO58" s="56">
        <v>0</v>
      </c>
      <c r="CP58" s="56">
        <v>0</v>
      </c>
      <c r="CQ58" s="56">
        <v>0</v>
      </c>
      <c r="CR58" s="56">
        <f t="shared" si="40"/>
        <v>0</v>
      </c>
      <c r="CS58" s="56">
        <v>730</v>
      </c>
      <c r="CT58" s="56">
        <v>0</v>
      </c>
      <c r="CU58" s="56">
        <f t="shared" si="41"/>
        <v>730</v>
      </c>
      <c r="CV58" s="56">
        <f t="shared" si="42"/>
        <v>0</v>
      </c>
      <c r="CW58" s="56" t="e">
        <f t="shared" si="43"/>
        <v>#DIV/0!</v>
      </c>
      <c r="CX58" s="57">
        <v>0</v>
      </c>
      <c r="CY58" s="57">
        <v>0</v>
      </c>
      <c r="CZ58" s="57">
        <v>0</v>
      </c>
      <c r="DA58" s="57">
        <f t="shared" si="44"/>
        <v>0</v>
      </c>
      <c r="DB58" s="57">
        <v>600</v>
      </c>
      <c r="DC58" s="57">
        <v>0</v>
      </c>
      <c r="DD58" s="57">
        <f t="shared" si="45"/>
        <v>600</v>
      </c>
      <c r="DE58" s="57">
        <f t="shared" si="46"/>
        <v>0</v>
      </c>
      <c r="DF58" s="57" t="e">
        <f t="shared" si="47"/>
        <v>#DIV/0!</v>
      </c>
    </row>
    <row r="59" spans="1:110" ht="14.25" customHeight="1">
      <c r="A59" s="59"/>
      <c r="B59" s="29"/>
      <c r="C59" s="45">
        <v>0</v>
      </c>
      <c r="D59" s="45">
        <v>0</v>
      </c>
      <c r="E59" s="45">
        <v>0</v>
      </c>
      <c r="F59" s="45">
        <f t="shared" si="0"/>
        <v>0</v>
      </c>
      <c r="G59" s="45">
        <v>900</v>
      </c>
      <c r="H59" s="45">
        <v>0</v>
      </c>
      <c r="I59" s="45">
        <f t="shared" si="1"/>
        <v>900</v>
      </c>
      <c r="J59" s="45">
        <f t="shared" si="2"/>
        <v>0</v>
      </c>
      <c r="K59" s="45" t="e">
        <f t="shared" si="3"/>
        <v>#DIV/0!</v>
      </c>
      <c r="L59" s="47">
        <v>0</v>
      </c>
      <c r="M59" s="47">
        <v>0</v>
      </c>
      <c r="N59" s="47">
        <v>0</v>
      </c>
      <c r="O59" s="47">
        <f t="shared" si="4"/>
        <v>0</v>
      </c>
      <c r="P59" s="47">
        <v>1800</v>
      </c>
      <c r="Q59" s="47">
        <v>0</v>
      </c>
      <c r="R59" s="47">
        <f t="shared" si="5"/>
        <v>1800</v>
      </c>
      <c r="S59" s="47">
        <f t="shared" si="6"/>
        <v>0</v>
      </c>
      <c r="T59" s="47" t="e">
        <f t="shared" si="7"/>
        <v>#DIV/0!</v>
      </c>
      <c r="U59" s="48">
        <v>0</v>
      </c>
      <c r="V59" s="48">
        <v>0</v>
      </c>
      <c r="W59" s="48">
        <v>0</v>
      </c>
      <c r="X59" s="48">
        <f t="shared" si="8"/>
        <v>0</v>
      </c>
      <c r="Y59" s="48">
        <v>910</v>
      </c>
      <c r="Z59" s="48">
        <v>0</v>
      </c>
      <c r="AA59" s="48">
        <f t="shared" si="9"/>
        <v>910</v>
      </c>
      <c r="AB59" s="48">
        <f t="shared" si="10"/>
        <v>0</v>
      </c>
      <c r="AC59" s="48" t="e">
        <f t="shared" si="11"/>
        <v>#DIV/0!</v>
      </c>
      <c r="AD59" s="49">
        <v>0</v>
      </c>
      <c r="AE59" s="49">
        <v>0</v>
      </c>
      <c r="AF59" s="49">
        <v>0</v>
      </c>
      <c r="AG59" s="49">
        <f t="shared" si="12"/>
        <v>0</v>
      </c>
      <c r="AH59" s="49">
        <v>1200</v>
      </c>
      <c r="AI59" s="49">
        <v>0</v>
      </c>
      <c r="AJ59" s="49">
        <f t="shared" si="13"/>
        <v>1200</v>
      </c>
      <c r="AK59" s="49">
        <f t="shared" si="14"/>
        <v>0</v>
      </c>
      <c r="AL59" s="49" t="e">
        <f t="shared" si="15"/>
        <v>#DIV/0!</v>
      </c>
      <c r="AM59" s="50">
        <v>0</v>
      </c>
      <c r="AN59" s="50">
        <v>0</v>
      </c>
      <c r="AO59" s="50">
        <v>0</v>
      </c>
      <c r="AP59" s="50">
        <f t="shared" si="16"/>
        <v>0</v>
      </c>
      <c r="AQ59" s="50">
        <v>600</v>
      </c>
      <c r="AR59" s="50">
        <v>0</v>
      </c>
      <c r="AS59" s="50">
        <f t="shared" si="17"/>
        <v>600</v>
      </c>
      <c r="AT59" s="50">
        <f t="shared" si="18"/>
        <v>0</v>
      </c>
      <c r="AU59" s="50" t="e">
        <f t="shared" si="19"/>
        <v>#DIV/0!</v>
      </c>
      <c r="AV59" s="51">
        <v>0</v>
      </c>
      <c r="AW59" s="51">
        <v>0</v>
      </c>
      <c r="AX59" s="51">
        <v>0</v>
      </c>
      <c r="AY59" s="51">
        <f t="shared" si="20"/>
        <v>0</v>
      </c>
      <c r="AZ59" s="51">
        <v>1500</v>
      </c>
      <c r="BA59" s="51">
        <v>0</v>
      </c>
      <c r="BB59" s="51">
        <f t="shared" si="21"/>
        <v>1500</v>
      </c>
      <c r="BC59" s="51">
        <f t="shared" si="22"/>
        <v>0</v>
      </c>
      <c r="BD59" s="51" t="e">
        <f t="shared" si="23"/>
        <v>#DIV/0!</v>
      </c>
      <c r="BE59" s="52">
        <v>0</v>
      </c>
      <c r="BF59" s="52">
        <v>0</v>
      </c>
      <c r="BG59" s="52">
        <v>0</v>
      </c>
      <c r="BH59" s="52">
        <f t="shared" si="24"/>
        <v>0</v>
      </c>
      <c r="BI59" s="52">
        <v>750</v>
      </c>
      <c r="BJ59" s="52">
        <v>0</v>
      </c>
      <c r="BK59" s="52">
        <f t="shared" si="25"/>
        <v>750</v>
      </c>
      <c r="BL59" s="52">
        <f t="shared" si="26"/>
        <v>0</v>
      </c>
      <c r="BM59" s="52" t="e">
        <f t="shared" si="27"/>
        <v>#DIV/0!</v>
      </c>
      <c r="BN59" s="53">
        <v>0</v>
      </c>
      <c r="BO59" s="53">
        <v>0</v>
      </c>
      <c r="BP59" s="53">
        <v>0</v>
      </c>
      <c r="BQ59" s="53">
        <f t="shared" si="28"/>
        <v>0</v>
      </c>
      <c r="BR59" s="53">
        <v>2450</v>
      </c>
      <c r="BS59" s="53">
        <v>0</v>
      </c>
      <c r="BT59" s="53">
        <f t="shared" si="29"/>
        <v>2450</v>
      </c>
      <c r="BU59" s="53">
        <f t="shared" si="30"/>
        <v>0</v>
      </c>
      <c r="BV59" s="53" t="e">
        <f t="shared" si="31"/>
        <v>#DIV/0!</v>
      </c>
      <c r="BW59" s="54">
        <v>0</v>
      </c>
      <c r="BX59" s="54">
        <v>0</v>
      </c>
      <c r="BY59" s="54">
        <v>0</v>
      </c>
      <c r="BZ59" s="54">
        <f t="shared" si="32"/>
        <v>0</v>
      </c>
      <c r="CA59" s="54">
        <v>750</v>
      </c>
      <c r="CB59" s="54">
        <v>0</v>
      </c>
      <c r="CC59" s="54">
        <f t="shared" si="33"/>
        <v>750</v>
      </c>
      <c r="CD59" s="54">
        <f t="shared" si="34"/>
        <v>0</v>
      </c>
      <c r="CE59" s="54" t="e">
        <f t="shared" si="35"/>
        <v>#DIV/0!</v>
      </c>
      <c r="CF59" s="55">
        <v>0</v>
      </c>
      <c r="CG59" s="55">
        <v>0</v>
      </c>
      <c r="CH59" s="55">
        <v>0</v>
      </c>
      <c r="CI59" s="55">
        <f t="shared" si="36"/>
        <v>0</v>
      </c>
      <c r="CJ59" s="55">
        <v>730</v>
      </c>
      <c r="CK59" s="55">
        <v>0</v>
      </c>
      <c r="CL59" s="55">
        <f t="shared" si="37"/>
        <v>730</v>
      </c>
      <c r="CM59" s="55">
        <f t="shared" si="38"/>
        <v>0</v>
      </c>
      <c r="CN59" s="55" t="e">
        <f t="shared" si="39"/>
        <v>#DIV/0!</v>
      </c>
      <c r="CO59" s="56">
        <v>0</v>
      </c>
      <c r="CP59" s="56">
        <v>0</v>
      </c>
      <c r="CQ59" s="56">
        <v>0</v>
      </c>
      <c r="CR59" s="56">
        <f t="shared" si="40"/>
        <v>0</v>
      </c>
      <c r="CS59" s="56">
        <v>730</v>
      </c>
      <c r="CT59" s="56">
        <v>0</v>
      </c>
      <c r="CU59" s="56">
        <f t="shared" si="41"/>
        <v>730</v>
      </c>
      <c r="CV59" s="56">
        <f t="shared" si="42"/>
        <v>0</v>
      </c>
      <c r="CW59" s="56" t="e">
        <f t="shared" si="43"/>
        <v>#DIV/0!</v>
      </c>
      <c r="CX59" s="57">
        <v>0</v>
      </c>
      <c r="CY59" s="57">
        <v>0</v>
      </c>
      <c r="CZ59" s="57">
        <v>0</v>
      </c>
      <c r="DA59" s="57">
        <f t="shared" si="44"/>
        <v>0</v>
      </c>
      <c r="DB59" s="57">
        <v>600</v>
      </c>
      <c r="DC59" s="57">
        <v>0</v>
      </c>
      <c r="DD59" s="57">
        <f t="shared" si="45"/>
        <v>600</v>
      </c>
      <c r="DE59" s="57">
        <f t="shared" si="46"/>
        <v>0</v>
      </c>
      <c r="DF59" s="57" t="e">
        <f t="shared" si="47"/>
        <v>#DIV/0!</v>
      </c>
    </row>
    <row r="60" spans="1:110" ht="14.25" customHeight="1">
      <c r="A60" s="59"/>
      <c r="B60" s="29"/>
      <c r="C60" s="45">
        <v>0</v>
      </c>
      <c r="D60" s="45">
        <v>0</v>
      </c>
      <c r="E60" s="45">
        <v>0</v>
      </c>
      <c r="F60" s="45">
        <f t="shared" si="0"/>
        <v>0</v>
      </c>
      <c r="G60" s="45">
        <v>900</v>
      </c>
      <c r="H60" s="45">
        <v>0</v>
      </c>
      <c r="I60" s="45">
        <f t="shared" si="1"/>
        <v>900</v>
      </c>
      <c r="J60" s="45">
        <f t="shared" si="2"/>
        <v>0</v>
      </c>
      <c r="K60" s="45" t="e">
        <f t="shared" si="3"/>
        <v>#DIV/0!</v>
      </c>
      <c r="L60" s="47">
        <v>0</v>
      </c>
      <c r="M60" s="47">
        <v>0</v>
      </c>
      <c r="N60" s="47">
        <v>0</v>
      </c>
      <c r="O60" s="47">
        <f t="shared" si="4"/>
        <v>0</v>
      </c>
      <c r="P60" s="47">
        <v>1800</v>
      </c>
      <c r="Q60" s="47">
        <v>0</v>
      </c>
      <c r="R60" s="47">
        <f t="shared" si="5"/>
        <v>1800</v>
      </c>
      <c r="S60" s="47">
        <f t="shared" si="6"/>
        <v>0</v>
      </c>
      <c r="T60" s="47" t="e">
        <f t="shared" si="7"/>
        <v>#DIV/0!</v>
      </c>
      <c r="U60" s="48">
        <v>0</v>
      </c>
      <c r="V60" s="48">
        <v>0</v>
      </c>
      <c r="W60" s="48">
        <v>0</v>
      </c>
      <c r="X60" s="48">
        <f t="shared" si="8"/>
        <v>0</v>
      </c>
      <c r="Y60" s="48">
        <v>910</v>
      </c>
      <c r="Z60" s="48">
        <v>0</v>
      </c>
      <c r="AA60" s="48">
        <f t="shared" si="9"/>
        <v>910</v>
      </c>
      <c r="AB60" s="48">
        <f t="shared" si="10"/>
        <v>0</v>
      </c>
      <c r="AC60" s="48" t="e">
        <f t="shared" si="11"/>
        <v>#DIV/0!</v>
      </c>
      <c r="AD60" s="49">
        <v>0</v>
      </c>
      <c r="AE60" s="49">
        <v>0</v>
      </c>
      <c r="AF60" s="49">
        <v>0</v>
      </c>
      <c r="AG60" s="49">
        <f t="shared" si="12"/>
        <v>0</v>
      </c>
      <c r="AH60" s="49">
        <v>1200</v>
      </c>
      <c r="AI60" s="49">
        <v>0</v>
      </c>
      <c r="AJ60" s="49">
        <f t="shared" si="13"/>
        <v>1200</v>
      </c>
      <c r="AK60" s="49">
        <f t="shared" si="14"/>
        <v>0</v>
      </c>
      <c r="AL60" s="49" t="e">
        <f t="shared" si="15"/>
        <v>#DIV/0!</v>
      </c>
      <c r="AM60" s="50">
        <v>0</v>
      </c>
      <c r="AN60" s="50">
        <v>0</v>
      </c>
      <c r="AO60" s="50">
        <v>0</v>
      </c>
      <c r="AP60" s="50">
        <f t="shared" si="16"/>
        <v>0</v>
      </c>
      <c r="AQ60" s="50">
        <v>600</v>
      </c>
      <c r="AR60" s="50">
        <v>0</v>
      </c>
      <c r="AS60" s="50">
        <f t="shared" si="17"/>
        <v>600</v>
      </c>
      <c r="AT60" s="50">
        <f t="shared" si="18"/>
        <v>0</v>
      </c>
      <c r="AU60" s="50" t="e">
        <f t="shared" si="19"/>
        <v>#DIV/0!</v>
      </c>
      <c r="AV60" s="51">
        <v>0</v>
      </c>
      <c r="AW60" s="51">
        <v>0</v>
      </c>
      <c r="AX60" s="51">
        <v>0</v>
      </c>
      <c r="AY60" s="51">
        <f t="shared" si="20"/>
        <v>0</v>
      </c>
      <c r="AZ60" s="51">
        <v>1500</v>
      </c>
      <c r="BA60" s="51">
        <v>0</v>
      </c>
      <c r="BB60" s="51">
        <f t="shared" si="21"/>
        <v>1500</v>
      </c>
      <c r="BC60" s="51">
        <f t="shared" si="22"/>
        <v>0</v>
      </c>
      <c r="BD60" s="51" t="e">
        <f t="shared" si="23"/>
        <v>#DIV/0!</v>
      </c>
      <c r="BE60" s="52">
        <v>0</v>
      </c>
      <c r="BF60" s="52">
        <v>0</v>
      </c>
      <c r="BG60" s="52">
        <v>0</v>
      </c>
      <c r="BH60" s="52">
        <f t="shared" si="24"/>
        <v>0</v>
      </c>
      <c r="BI60" s="52">
        <v>750</v>
      </c>
      <c r="BJ60" s="52">
        <v>0</v>
      </c>
      <c r="BK60" s="52">
        <f t="shared" si="25"/>
        <v>750</v>
      </c>
      <c r="BL60" s="52">
        <f t="shared" si="26"/>
        <v>0</v>
      </c>
      <c r="BM60" s="52" t="e">
        <f t="shared" si="27"/>
        <v>#DIV/0!</v>
      </c>
      <c r="BN60" s="53">
        <v>0</v>
      </c>
      <c r="BO60" s="53">
        <v>0</v>
      </c>
      <c r="BP60" s="53">
        <v>0</v>
      </c>
      <c r="BQ60" s="53">
        <f t="shared" si="28"/>
        <v>0</v>
      </c>
      <c r="BR60" s="53">
        <v>2450</v>
      </c>
      <c r="BS60" s="53">
        <v>0</v>
      </c>
      <c r="BT60" s="53">
        <f t="shared" si="29"/>
        <v>2450</v>
      </c>
      <c r="BU60" s="53">
        <f t="shared" si="30"/>
        <v>0</v>
      </c>
      <c r="BV60" s="53" t="e">
        <f t="shared" si="31"/>
        <v>#DIV/0!</v>
      </c>
      <c r="BW60" s="54">
        <v>0</v>
      </c>
      <c r="BX60" s="54">
        <v>0</v>
      </c>
      <c r="BY60" s="54">
        <v>0</v>
      </c>
      <c r="BZ60" s="54">
        <f t="shared" si="32"/>
        <v>0</v>
      </c>
      <c r="CA60" s="54">
        <v>750</v>
      </c>
      <c r="CB60" s="54">
        <v>0</v>
      </c>
      <c r="CC60" s="54">
        <f t="shared" si="33"/>
        <v>750</v>
      </c>
      <c r="CD60" s="54">
        <f t="shared" si="34"/>
        <v>0</v>
      </c>
      <c r="CE60" s="54" t="e">
        <f t="shared" si="35"/>
        <v>#DIV/0!</v>
      </c>
      <c r="CF60" s="55">
        <v>0</v>
      </c>
      <c r="CG60" s="55">
        <v>0</v>
      </c>
      <c r="CH60" s="55">
        <v>0</v>
      </c>
      <c r="CI60" s="55">
        <f t="shared" si="36"/>
        <v>0</v>
      </c>
      <c r="CJ60" s="55">
        <v>730</v>
      </c>
      <c r="CK60" s="55">
        <v>0</v>
      </c>
      <c r="CL60" s="55">
        <f t="shared" si="37"/>
        <v>730</v>
      </c>
      <c r="CM60" s="55">
        <f t="shared" si="38"/>
        <v>0</v>
      </c>
      <c r="CN60" s="55" t="e">
        <f t="shared" si="39"/>
        <v>#DIV/0!</v>
      </c>
      <c r="CO60" s="56">
        <v>0</v>
      </c>
      <c r="CP60" s="56">
        <v>0</v>
      </c>
      <c r="CQ60" s="56">
        <v>0</v>
      </c>
      <c r="CR60" s="56">
        <f t="shared" si="40"/>
        <v>0</v>
      </c>
      <c r="CS60" s="56">
        <v>730</v>
      </c>
      <c r="CT60" s="56">
        <v>0</v>
      </c>
      <c r="CU60" s="56">
        <f t="shared" si="41"/>
        <v>730</v>
      </c>
      <c r="CV60" s="56">
        <f t="shared" si="42"/>
        <v>0</v>
      </c>
      <c r="CW60" s="56" t="e">
        <f t="shared" si="43"/>
        <v>#DIV/0!</v>
      </c>
      <c r="CX60" s="57">
        <v>0</v>
      </c>
      <c r="CY60" s="57">
        <v>0</v>
      </c>
      <c r="CZ60" s="57">
        <v>0</v>
      </c>
      <c r="DA60" s="57">
        <f t="shared" si="44"/>
        <v>0</v>
      </c>
      <c r="DB60" s="57">
        <v>600</v>
      </c>
      <c r="DC60" s="57">
        <v>0</v>
      </c>
      <c r="DD60" s="57">
        <f t="shared" si="45"/>
        <v>600</v>
      </c>
      <c r="DE60" s="57">
        <f t="shared" si="46"/>
        <v>0</v>
      </c>
      <c r="DF60" s="57" t="e">
        <f t="shared" si="47"/>
        <v>#DIV/0!</v>
      </c>
    </row>
    <row r="61" spans="1:110" ht="14.25" customHeight="1">
      <c r="A61" s="59"/>
      <c r="B61" s="29"/>
      <c r="C61" s="45">
        <v>0</v>
      </c>
      <c r="D61" s="45">
        <v>0</v>
      </c>
      <c r="E61" s="45">
        <v>0</v>
      </c>
      <c r="F61" s="45">
        <f t="shared" si="0"/>
        <v>0</v>
      </c>
      <c r="G61" s="45">
        <v>900</v>
      </c>
      <c r="H61" s="45">
        <v>0</v>
      </c>
      <c r="I61" s="45">
        <f t="shared" si="1"/>
        <v>900</v>
      </c>
      <c r="J61" s="45">
        <f t="shared" si="2"/>
        <v>0</v>
      </c>
      <c r="K61" s="45" t="e">
        <f t="shared" si="3"/>
        <v>#DIV/0!</v>
      </c>
      <c r="L61" s="47">
        <v>0</v>
      </c>
      <c r="M61" s="47">
        <v>0</v>
      </c>
      <c r="N61" s="47">
        <v>0</v>
      </c>
      <c r="O61" s="47">
        <f t="shared" si="4"/>
        <v>0</v>
      </c>
      <c r="P61" s="47">
        <v>1800</v>
      </c>
      <c r="Q61" s="47">
        <v>0</v>
      </c>
      <c r="R61" s="47">
        <f t="shared" si="5"/>
        <v>1800</v>
      </c>
      <c r="S61" s="47">
        <f t="shared" si="6"/>
        <v>0</v>
      </c>
      <c r="T61" s="47" t="e">
        <f t="shared" si="7"/>
        <v>#DIV/0!</v>
      </c>
      <c r="U61" s="48">
        <v>0</v>
      </c>
      <c r="V61" s="48">
        <v>0</v>
      </c>
      <c r="W61" s="48">
        <v>0</v>
      </c>
      <c r="X61" s="48">
        <f t="shared" si="8"/>
        <v>0</v>
      </c>
      <c r="Y61" s="48">
        <v>910</v>
      </c>
      <c r="Z61" s="48">
        <v>0</v>
      </c>
      <c r="AA61" s="48">
        <f t="shared" si="9"/>
        <v>910</v>
      </c>
      <c r="AB61" s="48">
        <f t="shared" si="10"/>
        <v>0</v>
      </c>
      <c r="AC61" s="48" t="e">
        <f t="shared" si="11"/>
        <v>#DIV/0!</v>
      </c>
      <c r="AD61" s="49">
        <v>0</v>
      </c>
      <c r="AE61" s="49">
        <v>0</v>
      </c>
      <c r="AF61" s="49">
        <v>0</v>
      </c>
      <c r="AG61" s="49">
        <f t="shared" si="12"/>
        <v>0</v>
      </c>
      <c r="AH61" s="49">
        <v>1200</v>
      </c>
      <c r="AI61" s="49">
        <v>0</v>
      </c>
      <c r="AJ61" s="49">
        <f t="shared" si="13"/>
        <v>1200</v>
      </c>
      <c r="AK61" s="49">
        <f t="shared" si="14"/>
        <v>0</v>
      </c>
      <c r="AL61" s="49" t="e">
        <f t="shared" si="15"/>
        <v>#DIV/0!</v>
      </c>
      <c r="AM61" s="50">
        <v>0</v>
      </c>
      <c r="AN61" s="50">
        <v>0</v>
      </c>
      <c r="AO61" s="50">
        <v>0</v>
      </c>
      <c r="AP61" s="50">
        <f t="shared" si="16"/>
        <v>0</v>
      </c>
      <c r="AQ61" s="50">
        <v>600</v>
      </c>
      <c r="AR61" s="50">
        <v>0</v>
      </c>
      <c r="AS61" s="50">
        <f t="shared" si="17"/>
        <v>600</v>
      </c>
      <c r="AT61" s="50">
        <f t="shared" si="18"/>
        <v>0</v>
      </c>
      <c r="AU61" s="50" t="e">
        <f t="shared" si="19"/>
        <v>#DIV/0!</v>
      </c>
      <c r="AV61" s="51">
        <v>0</v>
      </c>
      <c r="AW61" s="51">
        <v>0</v>
      </c>
      <c r="AX61" s="51">
        <v>0</v>
      </c>
      <c r="AY61" s="51">
        <f t="shared" si="20"/>
        <v>0</v>
      </c>
      <c r="AZ61" s="51">
        <v>1500</v>
      </c>
      <c r="BA61" s="51">
        <v>0</v>
      </c>
      <c r="BB61" s="51">
        <f t="shared" si="21"/>
        <v>1500</v>
      </c>
      <c r="BC61" s="51">
        <f t="shared" si="22"/>
        <v>0</v>
      </c>
      <c r="BD61" s="51" t="e">
        <f t="shared" si="23"/>
        <v>#DIV/0!</v>
      </c>
      <c r="BE61" s="52">
        <v>0</v>
      </c>
      <c r="BF61" s="52">
        <v>0</v>
      </c>
      <c r="BG61" s="52">
        <v>0</v>
      </c>
      <c r="BH61" s="52">
        <f t="shared" si="24"/>
        <v>0</v>
      </c>
      <c r="BI61" s="52">
        <v>750</v>
      </c>
      <c r="BJ61" s="52">
        <v>0</v>
      </c>
      <c r="BK61" s="52">
        <f t="shared" si="25"/>
        <v>750</v>
      </c>
      <c r="BL61" s="52">
        <f t="shared" si="26"/>
        <v>0</v>
      </c>
      <c r="BM61" s="52" t="e">
        <f t="shared" si="27"/>
        <v>#DIV/0!</v>
      </c>
      <c r="BN61" s="53">
        <v>0</v>
      </c>
      <c r="BO61" s="53">
        <v>0</v>
      </c>
      <c r="BP61" s="53">
        <v>0</v>
      </c>
      <c r="BQ61" s="53">
        <f t="shared" si="28"/>
        <v>0</v>
      </c>
      <c r="BR61" s="53">
        <v>2450</v>
      </c>
      <c r="BS61" s="53">
        <v>0</v>
      </c>
      <c r="BT61" s="53">
        <f t="shared" si="29"/>
        <v>2450</v>
      </c>
      <c r="BU61" s="53">
        <f t="shared" si="30"/>
        <v>0</v>
      </c>
      <c r="BV61" s="53" t="e">
        <f t="shared" si="31"/>
        <v>#DIV/0!</v>
      </c>
      <c r="BW61" s="54">
        <v>0</v>
      </c>
      <c r="BX61" s="54">
        <v>0</v>
      </c>
      <c r="BY61" s="54">
        <v>0</v>
      </c>
      <c r="BZ61" s="54">
        <f t="shared" si="32"/>
        <v>0</v>
      </c>
      <c r="CA61" s="54">
        <v>750</v>
      </c>
      <c r="CB61" s="54">
        <v>0</v>
      </c>
      <c r="CC61" s="54">
        <f t="shared" si="33"/>
        <v>750</v>
      </c>
      <c r="CD61" s="54">
        <f t="shared" si="34"/>
        <v>0</v>
      </c>
      <c r="CE61" s="54" t="e">
        <f t="shared" si="35"/>
        <v>#DIV/0!</v>
      </c>
      <c r="CF61" s="55">
        <v>0</v>
      </c>
      <c r="CG61" s="55">
        <v>0</v>
      </c>
      <c r="CH61" s="55">
        <v>0</v>
      </c>
      <c r="CI61" s="55">
        <f t="shared" si="36"/>
        <v>0</v>
      </c>
      <c r="CJ61" s="55">
        <v>730</v>
      </c>
      <c r="CK61" s="55">
        <v>0</v>
      </c>
      <c r="CL61" s="55">
        <f t="shared" si="37"/>
        <v>730</v>
      </c>
      <c r="CM61" s="55">
        <f t="shared" si="38"/>
        <v>0</v>
      </c>
      <c r="CN61" s="55" t="e">
        <f t="shared" si="39"/>
        <v>#DIV/0!</v>
      </c>
      <c r="CO61" s="56">
        <v>0</v>
      </c>
      <c r="CP61" s="56">
        <v>0</v>
      </c>
      <c r="CQ61" s="56">
        <v>0</v>
      </c>
      <c r="CR61" s="56">
        <f t="shared" si="40"/>
        <v>0</v>
      </c>
      <c r="CS61" s="56">
        <v>730</v>
      </c>
      <c r="CT61" s="56">
        <v>0</v>
      </c>
      <c r="CU61" s="56">
        <f t="shared" si="41"/>
        <v>730</v>
      </c>
      <c r="CV61" s="56">
        <f t="shared" si="42"/>
        <v>0</v>
      </c>
      <c r="CW61" s="56" t="e">
        <f t="shared" si="43"/>
        <v>#DIV/0!</v>
      </c>
      <c r="CX61" s="57">
        <v>0</v>
      </c>
      <c r="CY61" s="57">
        <v>0</v>
      </c>
      <c r="CZ61" s="57">
        <v>0</v>
      </c>
      <c r="DA61" s="57">
        <f t="shared" si="44"/>
        <v>0</v>
      </c>
      <c r="DB61" s="57">
        <v>600</v>
      </c>
      <c r="DC61" s="57">
        <v>0</v>
      </c>
      <c r="DD61" s="57">
        <f t="shared" si="45"/>
        <v>600</v>
      </c>
      <c r="DE61" s="57">
        <f t="shared" si="46"/>
        <v>0</v>
      </c>
      <c r="DF61" s="57" t="e">
        <f t="shared" si="47"/>
        <v>#DIV/0!</v>
      </c>
    </row>
    <row r="62" spans="1:110" ht="14.25" customHeight="1">
      <c r="A62" s="59"/>
      <c r="B62" s="29"/>
      <c r="C62" s="45">
        <v>0</v>
      </c>
      <c r="D62" s="45">
        <v>0</v>
      </c>
      <c r="E62" s="45">
        <v>0</v>
      </c>
      <c r="F62" s="45">
        <f t="shared" si="0"/>
        <v>0</v>
      </c>
      <c r="G62" s="45">
        <v>900</v>
      </c>
      <c r="H62" s="45">
        <v>0</v>
      </c>
      <c r="I62" s="45">
        <f t="shared" si="1"/>
        <v>900</v>
      </c>
      <c r="J62" s="45">
        <f t="shared" si="2"/>
        <v>0</v>
      </c>
      <c r="K62" s="45" t="e">
        <f t="shared" si="3"/>
        <v>#DIV/0!</v>
      </c>
      <c r="L62" s="47">
        <v>0</v>
      </c>
      <c r="M62" s="47">
        <v>0</v>
      </c>
      <c r="N62" s="47">
        <v>0</v>
      </c>
      <c r="O62" s="47">
        <f t="shared" si="4"/>
        <v>0</v>
      </c>
      <c r="P62" s="47">
        <v>1800</v>
      </c>
      <c r="Q62" s="47">
        <v>0</v>
      </c>
      <c r="R62" s="47">
        <f t="shared" si="5"/>
        <v>1800</v>
      </c>
      <c r="S62" s="47">
        <f t="shared" si="6"/>
        <v>0</v>
      </c>
      <c r="T62" s="47" t="e">
        <f t="shared" si="7"/>
        <v>#DIV/0!</v>
      </c>
      <c r="U62" s="48">
        <v>0</v>
      </c>
      <c r="V62" s="48">
        <v>0</v>
      </c>
      <c r="W62" s="48">
        <v>0</v>
      </c>
      <c r="X62" s="48">
        <f t="shared" si="8"/>
        <v>0</v>
      </c>
      <c r="Y62" s="48">
        <v>910</v>
      </c>
      <c r="Z62" s="48">
        <v>0</v>
      </c>
      <c r="AA62" s="48">
        <f t="shared" si="9"/>
        <v>910</v>
      </c>
      <c r="AB62" s="48">
        <f t="shared" si="10"/>
        <v>0</v>
      </c>
      <c r="AC62" s="48" t="e">
        <f t="shared" si="11"/>
        <v>#DIV/0!</v>
      </c>
      <c r="AD62" s="49">
        <v>0</v>
      </c>
      <c r="AE62" s="49">
        <v>0</v>
      </c>
      <c r="AF62" s="49">
        <v>0</v>
      </c>
      <c r="AG62" s="49">
        <f t="shared" si="12"/>
        <v>0</v>
      </c>
      <c r="AH62" s="49">
        <v>1200</v>
      </c>
      <c r="AI62" s="49">
        <v>0</v>
      </c>
      <c r="AJ62" s="49">
        <f t="shared" si="13"/>
        <v>1200</v>
      </c>
      <c r="AK62" s="49">
        <f t="shared" si="14"/>
        <v>0</v>
      </c>
      <c r="AL62" s="49" t="e">
        <f t="shared" si="15"/>
        <v>#DIV/0!</v>
      </c>
      <c r="AM62" s="50">
        <v>0</v>
      </c>
      <c r="AN62" s="50">
        <v>0</v>
      </c>
      <c r="AO62" s="50">
        <v>0</v>
      </c>
      <c r="AP62" s="50">
        <f t="shared" si="16"/>
        <v>0</v>
      </c>
      <c r="AQ62" s="50">
        <v>600</v>
      </c>
      <c r="AR62" s="50">
        <v>0</v>
      </c>
      <c r="AS62" s="50">
        <f t="shared" si="17"/>
        <v>600</v>
      </c>
      <c r="AT62" s="50">
        <f t="shared" si="18"/>
        <v>0</v>
      </c>
      <c r="AU62" s="50" t="e">
        <f t="shared" si="19"/>
        <v>#DIV/0!</v>
      </c>
      <c r="AV62" s="51">
        <v>0</v>
      </c>
      <c r="AW62" s="51">
        <v>0</v>
      </c>
      <c r="AX62" s="51">
        <v>0</v>
      </c>
      <c r="AY62" s="51">
        <f t="shared" si="20"/>
        <v>0</v>
      </c>
      <c r="AZ62" s="51">
        <v>1500</v>
      </c>
      <c r="BA62" s="51">
        <v>0</v>
      </c>
      <c r="BB62" s="51">
        <f t="shared" si="21"/>
        <v>1500</v>
      </c>
      <c r="BC62" s="51">
        <f t="shared" si="22"/>
        <v>0</v>
      </c>
      <c r="BD62" s="51" t="e">
        <f t="shared" si="23"/>
        <v>#DIV/0!</v>
      </c>
      <c r="BE62" s="52">
        <v>0</v>
      </c>
      <c r="BF62" s="52">
        <v>0</v>
      </c>
      <c r="BG62" s="52">
        <v>0</v>
      </c>
      <c r="BH62" s="52">
        <f t="shared" si="24"/>
        <v>0</v>
      </c>
      <c r="BI62" s="52">
        <v>750</v>
      </c>
      <c r="BJ62" s="52">
        <v>0</v>
      </c>
      <c r="BK62" s="52">
        <f t="shared" si="25"/>
        <v>750</v>
      </c>
      <c r="BL62" s="52">
        <f t="shared" si="26"/>
        <v>0</v>
      </c>
      <c r="BM62" s="52" t="e">
        <f t="shared" si="27"/>
        <v>#DIV/0!</v>
      </c>
      <c r="BN62" s="53">
        <v>0</v>
      </c>
      <c r="BO62" s="53">
        <v>0</v>
      </c>
      <c r="BP62" s="53">
        <v>0</v>
      </c>
      <c r="BQ62" s="53">
        <f t="shared" si="28"/>
        <v>0</v>
      </c>
      <c r="BR62" s="53">
        <v>2450</v>
      </c>
      <c r="BS62" s="53">
        <v>0</v>
      </c>
      <c r="BT62" s="53">
        <f t="shared" si="29"/>
        <v>2450</v>
      </c>
      <c r="BU62" s="53">
        <f t="shared" si="30"/>
        <v>0</v>
      </c>
      <c r="BV62" s="53" t="e">
        <f t="shared" si="31"/>
        <v>#DIV/0!</v>
      </c>
      <c r="BW62" s="54">
        <v>0</v>
      </c>
      <c r="BX62" s="54">
        <v>0</v>
      </c>
      <c r="BY62" s="54">
        <v>0</v>
      </c>
      <c r="BZ62" s="54">
        <f t="shared" si="32"/>
        <v>0</v>
      </c>
      <c r="CA62" s="54">
        <v>750</v>
      </c>
      <c r="CB62" s="54">
        <v>0</v>
      </c>
      <c r="CC62" s="54">
        <f t="shared" si="33"/>
        <v>750</v>
      </c>
      <c r="CD62" s="54">
        <f t="shared" si="34"/>
        <v>0</v>
      </c>
      <c r="CE62" s="54" t="e">
        <f t="shared" si="35"/>
        <v>#DIV/0!</v>
      </c>
      <c r="CF62" s="55">
        <v>0</v>
      </c>
      <c r="CG62" s="55">
        <v>0</v>
      </c>
      <c r="CH62" s="55">
        <v>0</v>
      </c>
      <c r="CI62" s="55">
        <f t="shared" si="36"/>
        <v>0</v>
      </c>
      <c r="CJ62" s="55">
        <v>730</v>
      </c>
      <c r="CK62" s="55">
        <v>0</v>
      </c>
      <c r="CL62" s="55">
        <f t="shared" si="37"/>
        <v>730</v>
      </c>
      <c r="CM62" s="55">
        <f t="shared" si="38"/>
        <v>0</v>
      </c>
      <c r="CN62" s="55" t="e">
        <f t="shared" si="39"/>
        <v>#DIV/0!</v>
      </c>
      <c r="CO62" s="56">
        <v>0</v>
      </c>
      <c r="CP62" s="56">
        <v>0</v>
      </c>
      <c r="CQ62" s="56">
        <v>0</v>
      </c>
      <c r="CR62" s="56">
        <f t="shared" si="40"/>
        <v>0</v>
      </c>
      <c r="CS62" s="56">
        <v>730</v>
      </c>
      <c r="CT62" s="56">
        <v>0</v>
      </c>
      <c r="CU62" s="56">
        <f t="shared" si="41"/>
        <v>730</v>
      </c>
      <c r="CV62" s="56">
        <f t="shared" si="42"/>
        <v>0</v>
      </c>
      <c r="CW62" s="56" t="e">
        <f t="shared" si="43"/>
        <v>#DIV/0!</v>
      </c>
      <c r="CX62" s="57">
        <v>0</v>
      </c>
      <c r="CY62" s="57">
        <v>0</v>
      </c>
      <c r="CZ62" s="57">
        <v>0</v>
      </c>
      <c r="DA62" s="57">
        <f t="shared" si="44"/>
        <v>0</v>
      </c>
      <c r="DB62" s="57">
        <v>600</v>
      </c>
      <c r="DC62" s="57">
        <v>0</v>
      </c>
      <c r="DD62" s="57">
        <f t="shared" si="45"/>
        <v>600</v>
      </c>
      <c r="DE62" s="57">
        <f t="shared" si="46"/>
        <v>0</v>
      </c>
      <c r="DF62" s="57" t="e">
        <f t="shared" si="47"/>
        <v>#DIV/0!</v>
      </c>
    </row>
    <row r="63" spans="1:110" ht="14.25" customHeight="1">
      <c r="A63" s="59"/>
      <c r="B63" s="29"/>
      <c r="C63" s="45">
        <v>0</v>
      </c>
      <c r="D63" s="45">
        <v>0</v>
      </c>
      <c r="E63" s="45">
        <v>0</v>
      </c>
      <c r="F63" s="45">
        <f t="shared" si="0"/>
        <v>0</v>
      </c>
      <c r="G63" s="45">
        <v>900</v>
      </c>
      <c r="H63" s="45">
        <v>0</v>
      </c>
      <c r="I63" s="45">
        <f t="shared" si="1"/>
        <v>900</v>
      </c>
      <c r="J63" s="45">
        <f t="shared" si="2"/>
        <v>0</v>
      </c>
      <c r="K63" s="45" t="e">
        <f t="shared" si="3"/>
        <v>#DIV/0!</v>
      </c>
      <c r="L63" s="47">
        <v>0</v>
      </c>
      <c r="M63" s="47">
        <v>0</v>
      </c>
      <c r="N63" s="47">
        <v>0</v>
      </c>
      <c r="O63" s="47">
        <f t="shared" si="4"/>
        <v>0</v>
      </c>
      <c r="P63" s="47">
        <v>1800</v>
      </c>
      <c r="Q63" s="47">
        <v>0</v>
      </c>
      <c r="R63" s="47">
        <f t="shared" si="5"/>
        <v>1800</v>
      </c>
      <c r="S63" s="47">
        <f t="shared" si="6"/>
        <v>0</v>
      </c>
      <c r="T63" s="47" t="e">
        <f t="shared" si="7"/>
        <v>#DIV/0!</v>
      </c>
      <c r="U63" s="48">
        <v>0</v>
      </c>
      <c r="V63" s="48">
        <v>0</v>
      </c>
      <c r="W63" s="48">
        <v>0</v>
      </c>
      <c r="X63" s="48">
        <f t="shared" si="8"/>
        <v>0</v>
      </c>
      <c r="Y63" s="48">
        <v>910</v>
      </c>
      <c r="Z63" s="48">
        <v>0</v>
      </c>
      <c r="AA63" s="48">
        <f t="shared" si="9"/>
        <v>910</v>
      </c>
      <c r="AB63" s="48">
        <f t="shared" si="10"/>
        <v>0</v>
      </c>
      <c r="AC63" s="48" t="e">
        <f t="shared" si="11"/>
        <v>#DIV/0!</v>
      </c>
      <c r="AD63" s="49">
        <v>0</v>
      </c>
      <c r="AE63" s="49">
        <v>0</v>
      </c>
      <c r="AF63" s="49">
        <v>0</v>
      </c>
      <c r="AG63" s="49">
        <f t="shared" si="12"/>
        <v>0</v>
      </c>
      <c r="AH63" s="49">
        <v>1200</v>
      </c>
      <c r="AI63" s="49">
        <v>0</v>
      </c>
      <c r="AJ63" s="49">
        <f t="shared" si="13"/>
        <v>1200</v>
      </c>
      <c r="AK63" s="49">
        <f t="shared" si="14"/>
        <v>0</v>
      </c>
      <c r="AL63" s="49" t="e">
        <f t="shared" si="15"/>
        <v>#DIV/0!</v>
      </c>
      <c r="AM63" s="50">
        <v>0</v>
      </c>
      <c r="AN63" s="50">
        <v>0</v>
      </c>
      <c r="AO63" s="50">
        <v>0</v>
      </c>
      <c r="AP63" s="50">
        <f t="shared" si="16"/>
        <v>0</v>
      </c>
      <c r="AQ63" s="50">
        <v>600</v>
      </c>
      <c r="AR63" s="50">
        <v>0</v>
      </c>
      <c r="AS63" s="50">
        <f t="shared" si="17"/>
        <v>600</v>
      </c>
      <c r="AT63" s="50">
        <f t="shared" si="18"/>
        <v>0</v>
      </c>
      <c r="AU63" s="50" t="e">
        <f t="shared" si="19"/>
        <v>#DIV/0!</v>
      </c>
      <c r="AV63" s="51">
        <v>0</v>
      </c>
      <c r="AW63" s="51">
        <v>0</v>
      </c>
      <c r="AX63" s="51">
        <v>0</v>
      </c>
      <c r="AY63" s="51">
        <f t="shared" si="20"/>
        <v>0</v>
      </c>
      <c r="AZ63" s="51">
        <v>1500</v>
      </c>
      <c r="BA63" s="51">
        <v>0</v>
      </c>
      <c r="BB63" s="51">
        <f t="shared" si="21"/>
        <v>1500</v>
      </c>
      <c r="BC63" s="51">
        <f t="shared" si="22"/>
        <v>0</v>
      </c>
      <c r="BD63" s="51" t="e">
        <f t="shared" si="23"/>
        <v>#DIV/0!</v>
      </c>
      <c r="BE63" s="52">
        <v>0</v>
      </c>
      <c r="BF63" s="52">
        <v>0</v>
      </c>
      <c r="BG63" s="52">
        <v>0</v>
      </c>
      <c r="BH63" s="52">
        <f t="shared" si="24"/>
        <v>0</v>
      </c>
      <c r="BI63" s="52">
        <v>750</v>
      </c>
      <c r="BJ63" s="52">
        <v>0</v>
      </c>
      <c r="BK63" s="52">
        <f t="shared" si="25"/>
        <v>750</v>
      </c>
      <c r="BL63" s="52">
        <f t="shared" si="26"/>
        <v>0</v>
      </c>
      <c r="BM63" s="52" t="e">
        <f t="shared" si="27"/>
        <v>#DIV/0!</v>
      </c>
      <c r="BN63" s="53">
        <v>0</v>
      </c>
      <c r="BO63" s="53">
        <v>0</v>
      </c>
      <c r="BP63" s="53">
        <v>0</v>
      </c>
      <c r="BQ63" s="53">
        <f t="shared" si="28"/>
        <v>0</v>
      </c>
      <c r="BR63" s="53">
        <v>2450</v>
      </c>
      <c r="BS63" s="53">
        <v>0</v>
      </c>
      <c r="BT63" s="53">
        <f t="shared" si="29"/>
        <v>2450</v>
      </c>
      <c r="BU63" s="53">
        <f t="shared" si="30"/>
        <v>0</v>
      </c>
      <c r="BV63" s="53" t="e">
        <f t="shared" si="31"/>
        <v>#DIV/0!</v>
      </c>
      <c r="BW63" s="54">
        <v>0</v>
      </c>
      <c r="BX63" s="54">
        <v>0</v>
      </c>
      <c r="BY63" s="54">
        <v>0</v>
      </c>
      <c r="BZ63" s="54">
        <f t="shared" si="32"/>
        <v>0</v>
      </c>
      <c r="CA63" s="54">
        <v>750</v>
      </c>
      <c r="CB63" s="54">
        <v>0</v>
      </c>
      <c r="CC63" s="54">
        <f t="shared" si="33"/>
        <v>750</v>
      </c>
      <c r="CD63" s="54">
        <f t="shared" si="34"/>
        <v>0</v>
      </c>
      <c r="CE63" s="54" t="e">
        <f t="shared" si="35"/>
        <v>#DIV/0!</v>
      </c>
      <c r="CF63" s="55">
        <v>0</v>
      </c>
      <c r="CG63" s="55">
        <v>0</v>
      </c>
      <c r="CH63" s="55">
        <v>0</v>
      </c>
      <c r="CI63" s="55">
        <f t="shared" si="36"/>
        <v>0</v>
      </c>
      <c r="CJ63" s="55">
        <v>730</v>
      </c>
      <c r="CK63" s="55">
        <v>0</v>
      </c>
      <c r="CL63" s="55">
        <f t="shared" si="37"/>
        <v>730</v>
      </c>
      <c r="CM63" s="55">
        <f t="shared" si="38"/>
        <v>0</v>
      </c>
      <c r="CN63" s="55" t="e">
        <f t="shared" si="39"/>
        <v>#DIV/0!</v>
      </c>
      <c r="CO63" s="56">
        <v>0</v>
      </c>
      <c r="CP63" s="56">
        <v>0</v>
      </c>
      <c r="CQ63" s="56">
        <v>0</v>
      </c>
      <c r="CR63" s="56">
        <f t="shared" si="40"/>
        <v>0</v>
      </c>
      <c r="CS63" s="56">
        <v>730</v>
      </c>
      <c r="CT63" s="56">
        <v>0</v>
      </c>
      <c r="CU63" s="56">
        <f t="shared" si="41"/>
        <v>730</v>
      </c>
      <c r="CV63" s="56">
        <f t="shared" si="42"/>
        <v>0</v>
      </c>
      <c r="CW63" s="56" t="e">
        <f t="shared" si="43"/>
        <v>#DIV/0!</v>
      </c>
      <c r="CX63" s="57">
        <v>0</v>
      </c>
      <c r="CY63" s="57">
        <v>0</v>
      </c>
      <c r="CZ63" s="57">
        <v>0</v>
      </c>
      <c r="DA63" s="57">
        <f t="shared" si="44"/>
        <v>0</v>
      </c>
      <c r="DB63" s="57">
        <v>600</v>
      </c>
      <c r="DC63" s="57">
        <v>0</v>
      </c>
      <c r="DD63" s="57">
        <f t="shared" si="45"/>
        <v>600</v>
      </c>
      <c r="DE63" s="57">
        <f t="shared" si="46"/>
        <v>0</v>
      </c>
      <c r="DF63" s="57" t="e">
        <f t="shared" si="47"/>
        <v>#DIV/0!</v>
      </c>
    </row>
    <row r="64" spans="1:110" ht="14.25" customHeight="1">
      <c r="A64" s="59"/>
      <c r="B64" s="29"/>
      <c r="C64" s="45">
        <v>0</v>
      </c>
      <c r="D64" s="45">
        <v>0</v>
      </c>
      <c r="E64" s="45">
        <v>0</v>
      </c>
      <c r="F64" s="45">
        <f t="shared" si="0"/>
        <v>0</v>
      </c>
      <c r="G64" s="45">
        <v>900</v>
      </c>
      <c r="H64" s="45">
        <v>0</v>
      </c>
      <c r="I64" s="45">
        <f t="shared" si="1"/>
        <v>900</v>
      </c>
      <c r="J64" s="45">
        <f t="shared" si="2"/>
        <v>0</v>
      </c>
      <c r="K64" s="45" t="e">
        <f t="shared" si="3"/>
        <v>#DIV/0!</v>
      </c>
      <c r="L64" s="47">
        <v>0</v>
      </c>
      <c r="M64" s="47">
        <v>0</v>
      </c>
      <c r="N64" s="47">
        <v>0</v>
      </c>
      <c r="O64" s="47">
        <f t="shared" si="4"/>
        <v>0</v>
      </c>
      <c r="P64" s="47">
        <v>1800</v>
      </c>
      <c r="Q64" s="47">
        <v>0</v>
      </c>
      <c r="R64" s="47">
        <f t="shared" si="5"/>
        <v>1800</v>
      </c>
      <c r="S64" s="47">
        <f t="shared" si="6"/>
        <v>0</v>
      </c>
      <c r="T64" s="47" t="e">
        <f t="shared" si="7"/>
        <v>#DIV/0!</v>
      </c>
      <c r="U64" s="48">
        <v>0</v>
      </c>
      <c r="V64" s="48">
        <v>0</v>
      </c>
      <c r="W64" s="48">
        <v>0</v>
      </c>
      <c r="X64" s="48">
        <f t="shared" si="8"/>
        <v>0</v>
      </c>
      <c r="Y64" s="48">
        <v>910</v>
      </c>
      <c r="Z64" s="48">
        <v>0</v>
      </c>
      <c r="AA64" s="48">
        <f t="shared" si="9"/>
        <v>910</v>
      </c>
      <c r="AB64" s="48">
        <f t="shared" si="10"/>
        <v>0</v>
      </c>
      <c r="AC64" s="48" t="e">
        <f t="shared" si="11"/>
        <v>#DIV/0!</v>
      </c>
      <c r="AD64" s="49">
        <v>0</v>
      </c>
      <c r="AE64" s="49">
        <v>0</v>
      </c>
      <c r="AF64" s="49">
        <v>0</v>
      </c>
      <c r="AG64" s="49">
        <f t="shared" si="12"/>
        <v>0</v>
      </c>
      <c r="AH64" s="49">
        <v>1200</v>
      </c>
      <c r="AI64" s="49">
        <v>0</v>
      </c>
      <c r="AJ64" s="49">
        <f t="shared" si="13"/>
        <v>1200</v>
      </c>
      <c r="AK64" s="49">
        <f t="shared" si="14"/>
        <v>0</v>
      </c>
      <c r="AL64" s="49" t="e">
        <f t="shared" si="15"/>
        <v>#DIV/0!</v>
      </c>
      <c r="AM64" s="50">
        <v>0</v>
      </c>
      <c r="AN64" s="50">
        <v>0</v>
      </c>
      <c r="AO64" s="50">
        <v>0</v>
      </c>
      <c r="AP64" s="50">
        <f t="shared" si="16"/>
        <v>0</v>
      </c>
      <c r="AQ64" s="50">
        <v>600</v>
      </c>
      <c r="AR64" s="50">
        <v>0</v>
      </c>
      <c r="AS64" s="50">
        <f t="shared" si="17"/>
        <v>600</v>
      </c>
      <c r="AT64" s="50">
        <f t="shared" si="18"/>
        <v>0</v>
      </c>
      <c r="AU64" s="50" t="e">
        <f t="shared" si="19"/>
        <v>#DIV/0!</v>
      </c>
      <c r="AV64" s="51">
        <v>0</v>
      </c>
      <c r="AW64" s="51">
        <v>0</v>
      </c>
      <c r="AX64" s="51">
        <v>0</v>
      </c>
      <c r="AY64" s="51">
        <f t="shared" si="20"/>
        <v>0</v>
      </c>
      <c r="AZ64" s="51">
        <v>1500</v>
      </c>
      <c r="BA64" s="51">
        <v>0</v>
      </c>
      <c r="BB64" s="51">
        <f t="shared" si="21"/>
        <v>1500</v>
      </c>
      <c r="BC64" s="51">
        <f t="shared" si="22"/>
        <v>0</v>
      </c>
      <c r="BD64" s="51" t="e">
        <f t="shared" si="23"/>
        <v>#DIV/0!</v>
      </c>
      <c r="BE64" s="52">
        <v>0</v>
      </c>
      <c r="BF64" s="52">
        <v>0</v>
      </c>
      <c r="BG64" s="52">
        <v>0</v>
      </c>
      <c r="BH64" s="52">
        <f t="shared" si="24"/>
        <v>0</v>
      </c>
      <c r="BI64" s="52">
        <v>750</v>
      </c>
      <c r="BJ64" s="52">
        <v>0</v>
      </c>
      <c r="BK64" s="52">
        <f t="shared" si="25"/>
        <v>750</v>
      </c>
      <c r="BL64" s="52">
        <f t="shared" si="26"/>
        <v>0</v>
      </c>
      <c r="BM64" s="52" t="e">
        <f t="shared" si="27"/>
        <v>#DIV/0!</v>
      </c>
      <c r="BN64" s="53">
        <v>0</v>
      </c>
      <c r="BO64" s="53">
        <v>0</v>
      </c>
      <c r="BP64" s="53">
        <v>0</v>
      </c>
      <c r="BQ64" s="53">
        <f t="shared" si="28"/>
        <v>0</v>
      </c>
      <c r="BR64" s="53">
        <v>2450</v>
      </c>
      <c r="BS64" s="53">
        <v>0</v>
      </c>
      <c r="BT64" s="53">
        <f t="shared" si="29"/>
        <v>2450</v>
      </c>
      <c r="BU64" s="53">
        <f t="shared" si="30"/>
        <v>0</v>
      </c>
      <c r="BV64" s="53" t="e">
        <f t="shared" si="31"/>
        <v>#DIV/0!</v>
      </c>
      <c r="BW64" s="54">
        <v>0</v>
      </c>
      <c r="BX64" s="54">
        <v>0</v>
      </c>
      <c r="BY64" s="54">
        <v>0</v>
      </c>
      <c r="BZ64" s="54">
        <f t="shared" si="32"/>
        <v>0</v>
      </c>
      <c r="CA64" s="54">
        <v>750</v>
      </c>
      <c r="CB64" s="54">
        <v>0</v>
      </c>
      <c r="CC64" s="54">
        <f t="shared" si="33"/>
        <v>750</v>
      </c>
      <c r="CD64" s="54">
        <f t="shared" si="34"/>
        <v>0</v>
      </c>
      <c r="CE64" s="54" t="e">
        <f t="shared" si="35"/>
        <v>#DIV/0!</v>
      </c>
      <c r="CF64" s="55">
        <v>0</v>
      </c>
      <c r="CG64" s="55">
        <v>0</v>
      </c>
      <c r="CH64" s="55">
        <v>0</v>
      </c>
      <c r="CI64" s="55">
        <f t="shared" si="36"/>
        <v>0</v>
      </c>
      <c r="CJ64" s="55">
        <v>730</v>
      </c>
      <c r="CK64" s="55">
        <v>0</v>
      </c>
      <c r="CL64" s="55">
        <f t="shared" si="37"/>
        <v>730</v>
      </c>
      <c r="CM64" s="55">
        <f t="shared" si="38"/>
        <v>0</v>
      </c>
      <c r="CN64" s="55" t="e">
        <f t="shared" si="39"/>
        <v>#DIV/0!</v>
      </c>
      <c r="CO64" s="56">
        <v>0</v>
      </c>
      <c r="CP64" s="56">
        <v>0</v>
      </c>
      <c r="CQ64" s="56">
        <v>0</v>
      </c>
      <c r="CR64" s="56">
        <f t="shared" si="40"/>
        <v>0</v>
      </c>
      <c r="CS64" s="56">
        <v>730</v>
      </c>
      <c r="CT64" s="56">
        <v>0</v>
      </c>
      <c r="CU64" s="56">
        <f t="shared" si="41"/>
        <v>730</v>
      </c>
      <c r="CV64" s="56">
        <f t="shared" si="42"/>
        <v>0</v>
      </c>
      <c r="CW64" s="56" t="e">
        <f t="shared" si="43"/>
        <v>#DIV/0!</v>
      </c>
      <c r="CX64" s="57">
        <v>0</v>
      </c>
      <c r="CY64" s="57">
        <v>0</v>
      </c>
      <c r="CZ64" s="57">
        <v>0</v>
      </c>
      <c r="DA64" s="57">
        <f t="shared" si="44"/>
        <v>0</v>
      </c>
      <c r="DB64" s="57">
        <v>600</v>
      </c>
      <c r="DC64" s="57">
        <v>0</v>
      </c>
      <c r="DD64" s="57">
        <f t="shared" si="45"/>
        <v>600</v>
      </c>
      <c r="DE64" s="57">
        <f t="shared" si="46"/>
        <v>0</v>
      </c>
      <c r="DF64" s="57" t="e">
        <f t="shared" si="47"/>
        <v>#DIV/0!</v>
      </c>
    </row>
    <row r="65" spans="1:110" ht="14.25" customHeight="1">
      <c r="A65" s="59"/>
      <c r="B65" s="29"/>
      <c r="C65" s="45">
        <v>0</v>
      </c>
      <c r="D65" s="45">
        <v>0</v>
      </c>
      <c r="E65" s="45">
        <v>0</v>
      </c>
      <c r="F65" s="45">
        <f t="shared" si="0"/>
        <v>0</v>
      </c>
      <c r="G65" s="45">
        <v>900</v>
      </c>
      <c r="H65" s="45">
        <v>0</v>
      </c>
      <c r="I65" s="45">
        <f t="shared" si="1"/>
        <v>900</v>
      </c>
      <c r="J65" s="45">
        <f t="shared" si="2"/>
        <v>0</v>
      </c>
      <c r="K65" s="45" t="e">
        <f t="shared" si="3"/>
        <v>#DIV/0!</v>
      </c>
      <c r="L65" s="47">
        <v>0</v>
      </c>
      <c r="M65" s="47">
        <v>0</v>
      </c>
      <c r="N65" s="47">
        <v>0</v>
      </c>
      <c r="O65" s="47">
        <f t="shared" si="4"/>
        <v>0</v>
      </c>
      <c r="P65" s="47">
        <v>1800</v>
      </c>
      <c r="Q65" s="47">
        <v>0</v>
      </c>
      <c r="R65" s="47">
        <f t="shared" si="5"/>
        <v>1800</v>
      </c>
      <c r="S65" s="47">
        <f t="shared" si="6"/>
        <v>0</v>
      </c>
      <c r="T65" s="47" t="e">
        <f t="shared" si="7"/>
        <v>#DIV/0!</v>
      </c>
      <c r="U65" s="48">
        <v>0</v>
      </c>
      <c r="V65" s="48">
        <v>0</v>
      </c>
      <c r="W65" s="48">
        <v>0</v>
      </c>
      <c r="X65" s="48">
        <f t="shared" si="8"/>
        <v>0</v>
      </c>
      <c r="Y65" s="48">
        <v>910</v>
      </c>
      <c r="Z65" s="48">
        <v>0</v>
      </c>
      <c r="AA65" s="48">
        <f t="shared" si="9"/>
        <v>910</v>
      </c>
      <c r="AB65" s="48">
        <f t="shared" si="10"/>
        <v>0</v>
      </c>
      <c r="AC65" s="48" t="e">
        <f t="shared" si="11"/>
        <v>#DIV/0!</v>
      </c>
      <c r="AD65" s="49">
        <v>0</v>
      </c>
      <c r="AE65" s="49">
        <v>0</v>
      </c>
      <c r="AF65" s="49">
        <v>0</v>
      </c>
      <c r="AG65" s="49">
        <f t="shared" si="12"/>
        <v>0</v>
      </c>
      <c r="AH65" s="49">
        <v>1200</v>
      </c>
      <c r="AI65" s="49">
        <v>0</v>
      </c>
      <c r="AJ65" s="49">
        <f t="shared" si="13"/>
        <v>1200</v>
      </c>
      <c r="AK65" s="49">
        <f t="shared" si="14"/>
        <v>0</v>
      </c>
      <c r="AL65" s="49" t="e">
        <f t="shared" si="15"/>
        <v>#DIV/0!</v>
      </c>
      <c r="AM65" s="50">
        <v>0</v>
      </c>
      <c r="AN65" s="50">
        <v>0</v>
      </c>
      <c r="AO65" s="50">
        <v>0</v>
      </c>
      <c r="AP65" s="50">
        <f t="shared" si="16"/>
        <v>0</v>
      </c>
      <c r="AQ65" s="50">
        <v>600</v>
      </c>
      <c r="AR65" s="50">
        <v>0</v>
      </c>
      <c r="AS65" s="50">
        <f t="shared" si="17"/>
        <v>600</v>
      </c>
      <c r="AT65" s="50">
        <f t="shared" si="18"/>
        <v>0</v>
      </c>
      <c r="AU65" s="50" t="e">
        <f t="shared" si="19"/>
        <v>#DIV/0!</v>
      </c>
      <c r="AV65" s="51">
        <v>0</v>
      </c>
      <c r="AW65" s="51">
        <v>0</v>
      </c>
      <c r="AX65" s="51">
        <v>0</v>
      </c>
      <c r="AY65" s="51">
        <f t="shared" si="20"/>
        <v>0</v>
      </c>
      <c r="AZ65" s="51">
        <v>1500</v>
      </c>
      <c r="BA65" s="51">
        <v>0</v>
      </c>
      <c r="BB65" s="51">
        <f t="shared" si="21"/>
        <v>1500</v>
      </c>
      <c r="BC65" s="51">
        <f t="shared" si="22"/>
        <v>0</v>
      </c>
      <c r="BD65" s="51" t="e">
        <f t="shared" si="23"/>
        <v>#DIV/0!</v>
      </c>
      <c r="BE65" s="52">
        <v>0</v>
      </c>
      <c r="BF65" s="52">
        <v>0</v>
      </c>
      <c r="BG65" s="52">
        <v>0</v>
      </c>
      <c r="BH65" s="52">
        <f t="shared" si="24"/>
        <v>0</v>
      </c>
      <c r="BI65" s="52">
        <v>750</v>
      </c>
      <c r="BJ65" s="52">
        <v>0</v>
      </c>
      <c r="BK65" s="52">
        <f t="shared" si="25"/>
        <v>750</v>
      </c>
      <c r="BL65" s="52">
        <f t="shared" si="26"/>
        <v>0</v>
      </c>
      <c r="BM65" s="52" t="e">
        <f t="shared" si="27"/>
        <v>#DIV/0!</v>
      </c>
      <c r="BN65" s="53">
        <v>0</v>
      </c>
      <c r="BO65" s="53">
        <v>0</v>
      </c>
      <c r="BP65" s="53">
        <v>0</v>
      </c>
      <c r="BQ65" s="53">
        <f t="shared" si="28"/>
        <v>0</v>
      </c>
      <c r="BR65" s="53">
        <v>2450</v>
      </c>
      <c r="BS65" s="53">
        <v>0</v>
      </c>
      <c r="BT65" s="53">
        <f t="shared" si="29"/>
        <v>2450</v>
      </c>
      <c r="BU65" s="53">
        <f t="shared" si="30"/>
        <v>0</v>
      </c>
      <c r="BV65" s="53" t="e">
        <f t="shared" si="31"/>
        <v>#DIV/0!</v>
      </c>
      <c r="BW65" s="54">
        <v>0</v>
      </c>
      <c r="BX65" s="54">
        <v>0</v>
      </c>
      <c r="BY65" s="54">
        <v>0</v>
      </c>
      <c r="BZ65" s="54">
        <f t="shared" si="32"/>
        <v>0</v>
      </c>
      <c r="CA65" s="54">
        <v>750</v>
      </c>
      <c r="CB65" s="54">
        <v>0</v>
      </c>
      <c r="CC65" s="54">
        <f t="shared" si="33"/>
        <v>750</v>
      </c>
      <c r="CD65" s="54">
        <f t="shared" si="34"/>
        <v>0</v>
      </c>
      <c r="CE65" s="54" t="e">
        <f t="shared" si="35"/>
        <v>#DIV/0!</v>
      </c>
      <c r="CF65" s="55">
        <v>0</v>
      </c>
      <c r="CG65" s="55">
        <v>0</v>
      </c>
      <c r="CH65" s="55">
        <v>0</v>
      </c>
      <c r="CI65" s="55">
        <f t="shared" si="36"/>
        <v>0</v>
      </c>
      <c r="CJ65" s="55">
        <v>730</v>
      </c>
      <c r="CK65" s="55">
        <v>0</v>
      </c>
      <c r="CL65" s="55">
        <f t="shared" si="37"/>
        <v>730</v>
      </c>
      <c r="CM65" s="55">
        <f t="shared" si="38"/>
        <v>0</v>
      </c>
      <c r="CN65" s="55" t="e">
        <f t="shared" si="39"/>
        <v>#DIV/0!</v>
      </c>
      <c r="CO65" s="56">
        <v>0</v>
      </c>
      <c r="CP65" s="56">
        <v>0</v>
      </c>
      <c r="CQ65" s="56">
        <v>0</v>
      </c>
      <c r="CR65" s="56">
        <f t="shared" si="40"/>
        <v>0</v>
      </c>
      <c r="CS65" s="56">
        <v>730</v>
      </c>
      <c r="CT65" s="56">
        <v>0</v>
      </c>
      <c r="CU65" s="56">
        <f t="shared" si="41"/>
        <v>730</v>
      </c>
      <c r="CV65" s="56">
        <f t="shared" si="42"/>
        <v>0</v>
      </c>
      <c r="CW65" s="56" t="e">
        <f t="shared" si="43"/>
        <v>#DIV/0!</v>
      </c>
      <c r="CX65" s="57">
        <v>0</v>
      </c>
      <c r="CY65" s="57">
        <v>0</v>
      </c>
      <c r="CZ65" s="57">
        <v>0</v>
      </c>
      <c r="DA65" s="57">
        <f t="shared" si="44"/>
        <v>0</v>
      </c>
      <c r="DB65" s="57">
        <v>600</v>
      </c>
      <c r="DC65" s="57">
        <v>0</v>
      </c>
      <c r="DD65" s="57">
        <f t="shared" si="45"/>
        <v>600</v>
      </c>
      <c r="DE65" s="57">
        <f t="shared" si="46"/>
        <v>0</v>
      </c>
      <c r="DF65" s="57" t="e">
        <f t="shared" si="47"/>
        <v>#DIV/0!</v>
      </c>
    </row>
    <row r="66" spans="1:110" ht="14.25" customHeight="1">
      <c r="A66" s="59"/>
      <c r="B66" s="29"/>
      <c r="C66" s="45">
        <v>0</v>
      </c>
      <c r="D66" s="45">
        <v>0</v>
      </c>
      <c r="E66" s="45">
        <v>0</v>
      </c>
      <c r="F66" s="45">
        <f t="shared" si="0"/>
        <v>0</v>
      </c>
      <c r="G66" s="45">
        <v>900</v>
      </c>
      <c r="H66" s="45">
        <v>0</v>
      </c>
      <c r="I66" s="45">
        <f t="shared" si="1"/>
        <v>900</v>
      </c>
      <c r="J66" s="45">
        <f t="shared" si="2"/>
        <v>0</v>
      </c>
      <c r="K66" s="45" t="e">
        <f t="shared" si="3"/>
        <v>#DIV/0!</v>
      </c>
      <c r="L66" s="47">
        <v>0</v>
      </c>
      <c r="M66" s="47">
        <v>0</v>
      </c>
      <c r="N66" s="47">
        <v>0</v>
      </c>
      <c r="O66" s="47">
        <f t="shared" si="4"/>
        <v>0</v>
      </c>
      <c r="P66" s="47">
        <v>1800</v>
      </c>
      <c r="Q66" s="47">
        <v>0</v>
      </c>
      <c r="R66" s="47">
        <f t="shared" si="5"/>
        <v>1800</v>
      </c>
      <c r="S66" s="47">
        <f t="shared" si="6"/>
        <v>0</v>
      </c>
      <c r="T66" s="47" t="e">
        <f t="shared" si="7"/>
        <v>#DIV/0!</v>
      </c>
      <c r="U66" s="48">
        <v>0</v>
      </c>
      <c r="V66" s="48">
        <v>0</v>
      </c>
      <c r="W66" s="48">
        <v>0</v>
      </c>
      <c r="X66" s="48">
        <f t="shared" si="8"/>
        <v>0</v>
      </c>
      <c r="Y66" s="48">
        <v>910</v>
      </c>
      <c r="Z66" s="48">
        <v>0</v>
      </c>
      <c r="AA66" s="48">
        <f t="shared" si="9"/>
        <v>910</v>
      </c>
      <c r="AB66" s="48">
        <f t="shared" si="10"/>
        <v>0</v>
      </c>
      <c r="AC66" s="48" t="e">
        <f t="shared" si="11"/>
        <v>#DIV/0!</v>
      </c>
      <c r="AD66" s="49">
        <v>0</v>
      </c>
      <c r="AE66" s="49">
        <v>0</v>
      </c>
      <c r="AF66" s="49">
        <v>0</v>
      </c>
      <c r="AG66" s="49">
        <f t="shared" si="12"/>
        <v>0</v>
      </c>
      <c r="AH66" s="49">
        <v>1200</v>
      </c>
      <c r="AI66" s="49">
        <v>0</v>
      </c>
      <c r="AJ66" s="49">
        <f t="shared" si="13"/>
        <v>1200</v>
      </c>
      <c r="AK66" s="49">
        <f t="shared" si="14"/>
        <v>0</v>
      </c>
      <c r="AL66" s="49" t="e">
        <f t="shared" si="15"/>
        <v>#DIV/0!</v>
      </c>
      <c r="AM66" s="50">
        <v>0</v>
      </c>
      <c r="AN66" s="50">
        <v>0</v>
      </c>
      <c r="AO66" s="50">
        <v>0</v>
      </c>
      <c r="AP66" s="50">
        <f t="shared" si="16"/>
        <v>0</v>
      </c>
      <c r="AQ66" s="50">
        <v>600</v>
      </c>
      <c r="AR66" s="50">
        <v>0</v>
      </c>
      <c r="AS66" s="50">
        <f t="shared" si="17"/>
        <v>600</v>
      </c>
      <c r="AT66" s="50">
        <f t="shared" si="18"/>
        <v>0</v>
      </c>
      <c r="AU66" s="50" t="e">
        <f t="shared" si="19"/>
        <v>#DIV/0!</v>
      </c>
      <c r="AV66" s="51">
        <v>0</v>
      </c>
      <c r="AW66" s="51">
        <v>0</v>
      </c>
      <c r="AX66" s="51">
        <v>0</v>
      </c>
      <c r="AY66" s="51">
        <f t="shared" si="20"/>
        <v>0</v>
      </c>
      <c r="AZ66" s="51">
        <v>1500</v>
      </c>
      <c r="BA66" s="51">
        <v>0</v>
      </c>
      <c r="BB66" s="51">
        <f t="shared" si="21"/>
        <v>1500</v>
      </c>
      <c r="BC66" s="51">
        <f t="shared" si="22"/>
        <v>0</v>
      </c>
      <c r="BD66" s="51" t="e">
        <f t="shared" si="23"/>
        <v>#DIV/0!</v>
      </c>
      <c r="BE66" s="52">
        <v>0</v>
      </c>
      <c r="BF66" s="52">
        <v>0</v>
      </c>
      <c r="BG66" s="52">
        <v>0</v>
      </c>
      <c r="BH66" s="52">
        <f t="shared" si="24"/>
        <v>0</v>
      </c>
      <c r="BI66" s="52">
        <v>750</v>
      </c>
      <c r="BJ66" s="52">
        <v>0</v>
      </c>
      <c r="BK66" s="52">
        <f t="shared" si="25"/>
        <v>750</v>
      </c>
      <c r="BL66" s="52">
        <f t="shared" si="26"/>
        <v>0</v>
      </c>
      <c r="BM66" s="52" t="e">
        <f t="shared" si="27"/>
        <v>#DIV/0!</v>
      </c>
      <c r="BN66" s="53">
        <v>0</v>
      </c>
      <c r="BO66" s="53">
        <v>0</v>
      </c>
      <c r="BP66" s="53">
        <v>0</v>
      </c>
      <c r="BQ66" s="53">
        <f t="shared" si="28"/>
        <v>0</v>
      </c>
      <c r="BR66" s="53">
        <v>2450</v>
      </c>
      <c r="BS66" s="53">
        <v>0</v>
      </c>
      <c r="BT66" s="53">
        <f t="shared" si="29"/>
        <v>2450</v>
      </c>
      <c r="BU66" s="53">
        <f t="shared" si="30"/>
        <v>0</v>
      </c>
      <c r="BV66" s="53" t="e">
        <f t="shared" si="31"/>
        <v>#DIV/0!</v>
      </c>
      <c r="BW66" s="54">
        <v>0</v>
      </c>
      <c r="BX66" s="54">
        <v>0</v>
      </c>
      <c r="BY66" s="54">
        <v>0</v>
      </c>
      <c r="BZ66" s="54">
        <f t="shared" si="32"/>
        <v>0</v>
      </c>
      <c r="CA66" s="54">
        <v>750</v>
      </c>
      <c r="CB66" s="54">
        <v>0</v>
      </c>
      <c r="CC66" s="54">
        <f t="shared" si="33"/>
        <v>750</v>
      </c>
      <c r="CD66" s="54">
        <f t="shared" si="34"/>
        <v>0</v>
      </c>
      <c r="CE66" s="54" t="e">
        <f t="shared" si="35"/>
        <v>#DIV/0!</v>
      </c>
      <c r="CF66" s="55">
        <v>0</v>
      </c>
      <c r="CG66" s="55">
        <v>0</v>
      </c>
      <c r="CH66" s="55">
        <v>0</v>
      </c>
      <c r="CI66" s="55">
        <f t="shared" si="36"/>
        <v>0</v>
      </c>
      <c r="CJ66" s="55">
        <v>730</v>
      </c>
      <c r="CK66" s="55">
        <v>0</v>
      </c>
      <c r="CL66" s="55">
        <f t="shared" si="37"/>
        <v>730</v>
      </c>
      <c r="CM66" s="55">
        <f t="shared" si="38"/>
        <v>0</v>
      </c>
      <c r="CN66" s="55" t="e">
        <f t="shared" si="39"/>
        <v>#DIV/0!</v>
      </c>
      <c r="CO66" s="56">
        <v>0</v>
      </c>
      <c r="CP66" s="56">
        <v>0</v>
      </c>
      <c r="CQ66" s="56">
        <v>0</v>
      </c>
      <c r="CR66" s="56">
        <f t="shared" si="40"/>
        <v>0</v>
      </c>
      <c r="CS66" s="56">
        <v>730</v>
      </c>
      <c r="CT66" s="56">
        <v>0</v>
      </c>
      <c r="CU66" s="56">
        <f t="shared" si="41"/>
        <v>730</v>
      </c>
      <c r="CV66" s="56">
        <f t="shared" si="42"/>
        <v>0</v>
      </c>
      <c r="CW66" s="56" t="e">
        <f t="shared" si="43"/>
        <v>#DIV/0!</v>
      </c>
      <c r="CX66" s="57">
        <v>0</v>
      </c>
      <c r="CY66" s="57">
        <v>0</v>
      </c>
      <c r="CZ66" s="57">
        <v>0</v>
      </c>
      <c r="DA66" s="57">
        <f t="shared" si="44"/>
        <v>0</v>
      </c>
      <c r="DB66" s="57">
        <v>600</v>
      </c>
      <c r="DC66" s="57">
        <v>0</v>
      </c>
      <c r="DD66" s="57">
        <f t="shared" si="45"/>
        <v>600</v>
      </c>
      <c r="DE66" s="57">
        <f t="shared" si="46"/>
        <v>0</v>
      </c>
      <c r="DF66" s="57" t="e">
        <f t="shared" si="47"/>
        <v>#DIV/0!</v>
      </c>
    </row>
    <row r="67" spans="1:110" ht="14.25" customHeight="1">
      <c r="A67" s="59"/>
      <c r="B67" s="29"/>
      <c r="C67" s="45">
        <v>0</v>
      </c>
      <c r="D67" s="45">
        <v>0</v>
      </c>
      <c r="E67" s="45">
        <v>0</v>
      </c>
      <c r="F67" s="45">
        <f t="shared" si="0"/>
        <v>0</v>
      </c>
      <c r="G67" s="45">
        <v>900</v>
      </c>
      <c r="H67" s="45">
        <v>0</v>
      </c>
      <c r="I67" s="45">
        <f t="shared" si="1"/>
        <v>900</v>
      </c>
      <c r="J67" s="45">
        <f t="shared" si="2"/>
        <v>0</v>
      </c>
      <c r="K67" s="45" t="e">
        <f t="shared" si="3"/>
        <v>#DIV/0!</v>
      </c>
      <c r="L67" s="47">
        <v>0</v>
      </c>
      <c r="M67" s="47">
        <v>0</v>
      </c>
      <c r="N67" s="47">
        <v>0</v>
      </c>
      <c r="O67" s="47">
        <f t="shared" si="4"/>
        <v>0</v>
      </c>
      <c r="P67" s="47">
        <v>1800</v>
      </c>
      <c r="Q67" s="47">
        <v>0</v>
      </c>
      <c r="R67" s="47">
        <f t="shared" si="5"/>
        <v>1800</v>
      </c>
      <c r="S67" s="47">
        <f t="shared" si="6"/>
        <v>0</v>
      </c>
      <c r="T67" s="47" t="e">
        <f t="shared" si="7"/>
        <v>#DIV/0!</v>
      </c>
      <c r="U67" s="48">
        <v>0</v>
      </c>
      <c r="V67" s="48">
        <v>0</v>
      </c>
      <c r="W67" s="48">
        <v>0</v>
      </c>
      <c r="X67" s="48">
        <f t="shared" si="8"/>
        <v>0</v>
      </c>
      <c r="Y67" s="48">
        <v>910</v>
      </c>
      <c r="Z67" s="48">
        <v>0</v>
      </c>
      <c r="AA67" s="48">
        <f t="shared" si="9"/>
        <v>910</v>
      </c>
      <c r="AB67" s="48">
        <f t="shared" si="10"/>
        <v>0</v>
      </c>
      <c r="AC67" s="48" t="e">
        <f t="shared" si="11"/>
        <v>#DIV/0!</v>
      </c>
      <c r="AD67" s="49">
        <v>0</v>
      </c>
      <c r="AE67" s="49">
        <v>0</v>
      </c>
      <c r="AF67" s="49">
        <v>0</v>
      </c>
      <c r="AG67" s="49">
        <f t="shared" si="12"/>
        <v>0</v>
      </c>
      <c r="AH67" s="49">
        <v>1200</v>
      </c>
      <c r="AI67" s="49">
        <v>0</v>
      </c>
      <c r="AJ67" s="49">
        <f t="shared" si="13"/>
        <v>1200</v>
      </c>
      <c r="AK67" s="49">
        <f t="shared" si="14"/>
        <v>0</v>
      </c>
      <c r="AL67" s="49" t="e">
        <f t="shared" si="15"/>
        <v>#DIV/0!</v>
      </c>
      <c r="AM67" s="50">
        <v>0</v>
      </c>
      <c r="AN67" s="50">
        <v>0</v>
      </c>
      <c r="AO67" s="50">
        <v>0</v>
      </c>
      <c r="AP67" s="50">
        <f t="shared" si="16"/>
        <v>0</v>
      </c>
      <c r="AQ67" s="50">
        <v>600</v>
      </c>
      <c r="AR67" s="50">
        <v>0</v>
      </c>
      <c r="AS67" s="50">
        <f t="shared" si="17"/>
        <v>600</v>
      </c>
      <c r="AT67" s="50">
        <f t="shared" si="18"/>
        <v>0</v>
      </c>
      <c r="AU67" s="50" t="e">
        <f t="shared" si="19"/>
        <v>#DIV/0!</v>
      </c>
      <c r="AV67" s="51">
        <v>0</v>
      </c>
      <c r="AW67" s="51">
        <v>0</v>
      </c>
      <c r="AX67" s="51">
        <v>0</v>
      </c>
      <c r="AY67" s="51">
        <f t="shared" si="20"/>
        <v>0</v>
      </c>
      <c r="AZ67" s="51">
        <v>1500</v>
      </c>
      <c r="BA67" s="51">
        <v>0</v>
      </c>
      <c r="BB67" s="51">
        <f t="shared" si="21"/>
        <v>1500</v>
      </c>
      <c r="BC67" s="51">
        <f t="shared" si="22"/>
        <v>0</v>
      </c>
      <c r="BD67" s="51" t="e">
        <f t="shared" si="23"/>
        <v>#DIV/0!</v>
      </c>
      <c r="BE67" s="52">
        <v>0</v>
      </c>
      <c r="BF67" s="52">
        <v>0</v>
      </c>
      <c r="BG67" s="52">
        <v>0</v>
      </c>
      <c r="BH67" s="52">
        <f t="shared" si="24"/>
        <v>0</v>
      </c>
      <c r="BI67" s="52">
        <v>750</v>
      </c>
      <c r="BJ67" s="52">
        <v>0</v>
      </c>
      <c r="BK67" s="52">
        <f t="shared" si="25"/>
        <v>750</v>
      </c>
      <c r="BL67" s="52">
        <f t="shared" si="26"/>
        <v>0</v>
      </c>
      <c r="BM67" s="52" t="e">
        <f t="shared" si="27"/>
        <v>#DIV/0!</v>
      </c>
      <c r="BN67" s="53">
        <v>0</v>
      </c>
      <c r="BO67" s="53">
        <v>0</v>
      </c>
      <c r="BP67" s="53">
        <v>0</v>
      </c>
      <c r="BQ67" s="53">
        <f t="shared" si="28"/>
        <v>0</v>
      </c>
      <c r="BR67" s="53">
        <v>2450</v>
      </c>
      <c r="BS67" s="53">
        <v>0</v>
      </c>
      <c r="BT67" s="53">
        <f t="shared" si="29"/>
        <v>2450</v>
      </c>
      <c r="BU67" s="53">
        <f t="shared" si="30"/>
        <v>0</v>
      </c>
      <c r="BV67" s="53" t="e">
        <f t="shared" si="31"/>
        <v>#DIV/0!</v>
      </c>
      <c r="BW67" s="54">
        <v>0</v>
      </c>
      <c r="BX67" s="54">
        <v>0</v>
      </c>
      <c r="BY67" s="54">
        <v>0</v>
      </c>
      <c r="BZ67" s="54">
        <f t="shared" si="32"/>
        <v>0</v>
      </c>
      <c r="CA67" s="54">
        <v>750</v>
      </c>
      <c r="CB67" s="54">
        <v>0</v>
      </c>
      <c r="CC67" s="54">
        <f t="shared" si="33"/>
        <v>750</v>
      </c>
      <c r="CD67" s="54">
        <f t="shared" si="34"/>
        <v>0</v>
      </c>
      <c r="CE67" s="54" t="e">
        <f t="shared" si="35"/>
        <v>#DIV/0!</v>
      </c>
      <c r="CF67" s="55">
        <v>0</v>
      </c>
      <c r="CG67" s="55">
        <v>0</v>
      </c>
      <c r="CH67" s="55">
        <v>0</v>
      </c>
      <c r="CI67" s="55">
        <f t="shared" si="36"/>
        <v>0</v>
      </c>
      <c r="CJ67" s="55">
        <v>730</v>
      </c>
      <c r="CK67" s="55">
        <v>0</v>
      </c>
      <c r="CL67" s="55">
        <f t="shared" si="37"/>
        <v>730</v>
      </c>
      <c r="CM67" s="55">
        <f t="shared" si="38"/>
        <v>0</v>
      </c>
      <c r="CN67" s="55" t="e">
        <f t="shared" si="39"/>
        <v>#DIV/0!</v>
      </c>
      <c r="CO67" s="56">
        <v>0</v>
      </c>
      <c r="CP67" s="56">
        <v>0</v>
      </c>
      <c r="CQ67" s="56">
        <v>0</v>
      </c>
      <c r="CR67" s="56">
        <f t="shared" si="40"/>
        <v>0</v>
      </c>
      <c r="CS67" s="56">
        <v>730</v>
      </c>
      <c r="CT67" s="56">
        <v>0</v>
      </c>
      <c r="CU67" s="56">
        <f t="shared" si="41"/>
        <v>730</v>
      </c>
      <c r="CV67" s="56">
        <f t="shared" si="42"/>
        <v>0</v>
      </c>
      <c r="CW67" s="56" t="e">
        <f t="shared" si="43"/>
        <v>#DIV/0!</v>
      </c>
      <c r="CX67" s="57">
        <v>0</v>
      </c>
      <c r="CY67" s="57">
        <v>0</v>
      </c>
      <c r="CZ67" s="57">
        <v>0</v>
      </c>
      <c r="DA67" s="57">
        <f t="shared" si="44"/>
        <v>0</v>
      </c>
      <c r="DB67" s="57">
        <v>600</v>
      </c>
      <c r="DC67" s="57">
        <v>0</v>
      </c>
      <c r="DD67" s="57">
        <f t="shared" si="45"/>
        <v>600</v>
      </c>
      <c r="DE67" s="57">
        <f t="shared" si="46"/>
        <v>0</v>
      </c>
      <c r="DF67" s="57" t="e">
        <f t="shared" si="47"/>
        <v>#DIV/0!</v>
      </c>
    </row>
    <row r="68" spans="1:110" ht="14.25" customHeight="1">
      <c r="A68" s="59"/>
      <c r="B68" s="29"/>
      <c r="C68" s="45">
        <v>0</v>
      </c>
      <c r="D68" s="45">
        <v>0</v>
      </c>
      <c r="E68" s="45">
        <v>0</v>
      </c>
      <c r="F68" s="45">
        <f t="shared" si="0"/>
        <v>0</v>
      </c>
      <c r="G68" s="45">
        <v>900</v>
      </c>
      <c r="H68" s="45">
        <v>0</v>
      </c>
      <c r="I68" s="45">
        <f t="shared" si="1"/>
        <v>900</v>
      </c>
      <c r="J68" s="45">
        <f t="shared" si="2"/>
        <v>0</v>
      </c>
      <c r="K68" s="45" t="e">
        <f t="shared" si="3"/>
        <v>#DIV/0!</v>
      </c>
      <c r="L68" s="47">
        <v>0</v>
      </c>
      <c r="M68" s="47">
        <v>0</v>
      </c>
      <c r="N68" s="47">
        <v>0</v>
      </c>
      <c r="O68" s="47">
        <f t="shared" si="4"/>
        <v>0</v>
      </c>
      <c r="P68" s="47">
        <v>1800</v>
      </c>
      <c r="Q68" s="47">
        <v>0</v>
      </c>
      <c r="R68" s="47">
        <f t="shared" si="5"/>
        <v>1800</v>
      </c>
      <c r="S68" s="47">
        <f t="shared" si="6"/>
        <v>0</v>
      </c>
      <c r="T68" s="47" t="e">
        <f t="shared" si="7"/>
        <v>#DIV/0!</v>
      </c>
      <c r="U68" s="48">
        <v>0</v>
      </c>
      <c r="V68" s="48">
        <v>0</v>
      </c>
      <c r="W68" s="48">
        <v>0</v>
      </c>
      <c r="X68" s="48">
        <f t="shared" si="8"/>
        <v>0</v>
      </c>
      <c r="Y68" s="48">
        <v>910</v>
      </c>
      <c r="Z68" s="48">
        <v>0</v>
      </c>
      <c r="AA68" s="48">
        <f t="shared" si="9"/>
        <v>910</v>
      </c>
      <c r="AB68" s="48">
        <f t="shared" si="10"/>
        <v>0</v>
      </c>
      <c r="AC68" s="48" t="e">
        <f t="shared" si="11"/>
        <v>#DIV/0!</v>
      </c>
      <c r="AD68" s="49">
        <v>0</v>
      </c>
      <c r="AE68" s="49">
        <v>0</v>
      </c>
      <c r="AF68" s="49">
        <v>0</v>
      </c>
      <c r="AG68" s="49">
        <f t="shared" si="12"/>
        <v>0</v>
      </c>
      <c r="AH68" s="49">
        <v>1200</v>
      </c>
      <c r="AI68" s="49">
        <v>0</v>
      </c>
      <c r="AJ68" s="49">
        <f t="shared" si="13"/>
        <v>1200</v>
      </c>
      <c r="AK68" s="49">
        <f t="shared" si="14"/>
        <v>0</v>
      </c>
      <c r="AL68" s="49" t="e">
        <f t="shared" si="15"/>
        <v>#DIV/0!</v>
      </c>
      <c r="AM68" s="50">
        <v>0</v>
      </c>
      <c r="AN68" s="50">
        <v>0</v>
      </c>
      <c r="AO68" s="50">
        <v>0</v>
      </c>
      <c r="AP68" s="50">
        <f t="shared" si="16"/>
        <v>0</v>
      </c>
      <c r="AQ68" s="50">
        <v>600</v>
      </c>
      <c r="AR68" s="50">
        <v>0</v>
      </c>
      <c r="AS68" s="50">
        <f t="shared" si="17"/>
        <v>600</v>
      </c>
      <c r="AT68" s="50">
        <f t="shared" si="18"/>
        <v>0</v>
      </c>
      <c r="AU68" s="50" t="e">
        <f t="shared" si="19"/>
        <v>#DIV/0!</v>
      </c>
      <c r="AV68" s="51">
        <v>0</v>
      </c>
      <c r="AW68" s="51">
        <v>0</v>
      </c>
      <c r="AX68" s="51">
        <v>0</v>
      </c>
      <c r="AY68" s="51">
        <f t="shared" si="20"/>
        <v>0</v>
      </c>
      <c r="AZ68" s="51">
        <v>1500</v>
      </c>
      <c r="BA68" s="51">
        <v>0</v>
      </c>
      <c r="BB68" s="51">
        <f t="shared" si="21"/>
        <v>1500</v>
      </c>
      <c r="BC68" s="51">
        <f t="shared" si="22"/>
        <v>0</v>
      </c>
      <c r="BD68" s="51" t="e">
        <f t="shared" si="23"/>
        <v>#DIV/0!</v>
      </c>
      <c r="BE68" s="52">
        <v>0</v>
      </c>
      <c r="BF68" s="52">
        <v>0</v>
      </c>
      <c r="BG68" s="52">
        <v>0</v>
      </c>
      <c r="BH68" s="52">
        <f t="shared" si="24"/>
        <v>0</v>
      </c>
      <c r="BI68" s="52">
        <v>750</v>
      </c>
      <c r="BJ68" s="52">
        <v>0</v>
      </c>
      <c r="BK68" s="52">
        <f t="shared" si="25"/>
        <v>750</v>
      </c>
      <c r="BL68" s="52">
        <f t="shared" si="26"/>
        <v>0</v>
      </c>
      <c r="BM68" s="52" t="e">
        <f t="shared" si="27"/>
        <v>#DIV/0!</v>
      </c>
      <c r="BN68" s="53">
        <v>0</v>
      </c>
      <c r="BO68" s="53">
        <v>0</v>
      </c>
      <c r="BP68" s="53">
        <v>0</v>
      </c>
      <c r="BQ68" s="53">
        <f t="shared" si="28"/>
        <v>0</v>
      </c>
      <c r="BR68" s="53">
        <v>2450</v>
      </c>
      <c r="BS68" s="53">
        <v>0</v>
      </c>
      <c r="BT68" s="53">
        <f t="shared" si="29"/>
        <v>2450</v>
      </c>
      <c r="BU68" s="53">
        <f t="shared" si="30"/>
        <v>0</v>
      </c>
      <c r="BV68" s="53" t="e">
        <f t="shared" si="31"/>
        <v>#DIV/0!</v>
      </c>
      <c r="BW68" s="54">
        <v>0</v>
      </c>
      <c r="BX68" s="54">
        <v>0</v>
      </c>
      <c r="BY68" s="54">
        <v>0</v>
      </c>
      <c r="BZ68" s="54">
        <f t="shared" si="32"/>
        <v>0</v>
      </c>
      <c r="CA68" s="54">
        <v>750</v>
      </c>
      <c r="CB68" s="54">
        <v>0</v>
      </c>
      <c r="CC68" s="54">
        <f t="shared" si="33"/>
        <v>750</v>
      </c>
      <c r="CD68" s="54">
        <f t="shared" si="34"/>
        <v>0</v>
      </c>
      <c r="CE68" s="54" t="e">
        <f t="shared" si="35"/>
        <v>#DIV/0!</v>
      </c>
      <c r="CF68" s="55">
        <v>0</v>
      </c>
      <c r="CG68" s="55">
        <v>0</v>
      </c>
      <c r="CH68" s="55">
        <v>0</v>
      </c>
      <c r="CI68" s="55">
        <f t="shared" si="36"/>
        <v>0</v>
      </c>
      <c r="CJ68" s="55">
        <v>730</v>
      </c>
      <c r="CK68" s="55">
        <v>0</v>
      </c>
      <c r="CL68" s="55">
        <f t="shared" si="37"/>
        <v>730</v>
      </c>
      <c r="CM68" s="55">
        <f t="shared" si="38"/>
        <v>0</v>
      </c>
      <c r="CN68" s="55" t="e">
        <f t="shared" si="39"/>
        <v>#DIV/0!</v>
      </c>
      <c r="CO68" s="56">
        <v>0</v>
      </c>
      <c r="CP68" s="56">
        <v>0</v>
      </c>
      <c r="CQ68" s="56">
        <v>0</v>
      </c>
      <c r="CR68" s="56">
        <f t="shared" si="40"/>
        <v>0</v>
      </c>
      <c r="CS68" s="56">
        <v>730</v>
      </c>
      <c r="CT68" s="56">
        <v>0</v>
      </c>
      <c r="CU68" s="56">
        <f t="shared" si="41"/>
        <v>730</v>
      </c>
      <c r="CV68" s="56">
        <f t="shared" si="42"/>
        <v>0</v>
      </c>
      <c r="CW68" s="56" t="e">
        <f t="shared" si="43"/>
        <v>#DIV/0!</v>
      </c>
      <c r="CX68" s="57">
        <v>0</v>
      </c>
      <c r="CY68" s="57">
        <v>0</v>
      </c>
      <c r="CZ68" s="57">
        <v>0</v>
      </c>
      <c r="DA68" s="57">
        <f t="shared" si="44"/>
        <v>0</v>
      </c>
      <c r="DB68" s="57">
        <v>600</v>
      </c>
      <c r="DC68" s="57">
        <v>0</v>
      </c>
      <c r="DD68" s="57">
        <f t="shared" si="45"/>
        <v>600</v>
      </c>
      <c r="DE68" s="57">
        <f t="shared" si="46"/>
        <v>0</v>
      </c>
      <c r="DF68" s="57" t="e">
        <f t="shared" si="47"/>
        <v>#DIV/0!</v>
      </c>
    </row>
    <row r="69" spans="1:110" ht="14.25" customHeight="1">
      <c r="A69" s="59"/>
      <c r="B69" s="29"/>
      <c r="C69" s="45">
        <v>0</v>
      </c>
      <c r="D69" s="45">
        <v>0</v>
      </c>
      <c r="E69" s="45">
        <v>0</v>
      </c>
      <c r="F69" s="45">
        <f t="shared" si="0"/>
        <v>0</v>
      </c>
      <c r="G69" s="45">
        <v>900</v>
      </c>
      <c r="H69" s="45">
        <v>0</v>
      </c>
      <c r="I69" s="45">
        <f t="shared" si="1"/>
        <v>900</v>
      </c>
      <c r="J69" s="45">
        <f t="shared" si="2"/>
        <v>0</v>
      </c>
      <c r="K69" s="45" t="e">
        <f t="shared" si="3"/>
        <v>#DIV/0!</v>
      </c>
      <c r="L69" s="47">
        <v>0</v>
      </c>
      <c r="M69" s="47">
        <v>0</v>
      </c>
      <c r="N69" s="47">
        <v>0</v>
      </c>
      <c r="O69" s="47">
        <f t="shared" si="4"/>
        <v>0</v>
      </c>
      <c r="P69" s="47">
        <v>1800</v>
      </c>
      <c r="Q69" s="47">
        <v>0</v>
      </c>
      <c r="R69" s="47">
        <f t="shared" si="5"/>
        <v>1800</v>
      </c>
      <c r="S69" s="47">
        <f t="shared" si="6"/>
        <v>0</v>
      </c>
      <c r="T69" s="47" t="e">
        <f t="shared" si="7"/>
        <v>#DIV/0!</v>
      </c>
      <c r="U69" s="48">
        <v>0</v>
      </c>
      <c r="V69" s="48">
        <v>0</v>
      </c>
      <c r="W69" s="48">
        <v>0</v>
      </c>
      <c r="X69" s="48">
        <f t="shared" si="8"/>
        <v>0</v>
      </c>
      <c r="Y69" s="48">
        <v>910</v>
      </c>
      <c r="Z69" s="48">
        <v>0</v>
      </c>
      <c r="AA69" s="48">
        <f t="shared" si="9"/>
        <v>910</v>
      </c>
      <c r="AB69" s="48">
        <f t="shared" si="10"/>
        <v>0</v>
      </c>
      <c r="AC69" s="48" t="e">
        <f t="shared" si="11"/>
        <v>#DIV/0!</v>
      </c>
      <c r="AD69" s="49">
        <v>0</v>
      </c>
      <c r="AE69" s="49">
        <v>0</v>
      </c>
      <c r="AF69" s="49">
        <v>0</v>
      </c>
      <c r="AG69" s="49">
        <f t="shared" si="12"/>
        <v>0</v>
      </c>
      <c r="AH69" s="49">
        <v>1200</v>
      </c>
      <c r="AI69" s="49">
        <v>0</v>
      </c>
      <c r="AJ69" s="49">
        <f t="shared" si="13"/>
        <v>1200</v>
      </c>
      <c r="AK69" s="49">
        <f t="shared" si="14"/>
        <v>0</v>
      </c>
      <c r="AL69" s="49" t="e">
        <f t="shared" si="15"/>
        <v>#DIV/0!</v>
      </c>
      <c r="AM69" s="50">
        <v>0</v>
      </c>
      <c r="AN69" s="50">
        <v>0</v>
      </c>
      <c r="AO69" s="50">
        <v>0</v>
      </c>
      <c r="AP69" s="50">
        <f t="shared" si="16"/>
        <v>0</v>
      </c>
      <c r="AQ69" s="50">
        <v>600</v>
      </c>
      <c r="AR69" s="50">
        <v>0</v>
      </c>
      <c r="AS69" s="50">
        <f t="shared" si="17"/>
        <v>600</v>
      </c>
      <c r="AT69" s="50">
        <f t="shared" si="18"/>
        <v>0</v>
      </c>
      <c r="AU69" s="50" t="e">
        <f t="shared" si="19"/>
        <v>#DIV/0!</v>
      </c>
      <c r="AV69" s="51">
        <v>0</v>
      </c>
      <c r="AW69" s="51">
        <v>0</v>
      </c>
      <c r="AX69" s="51">
        <v>0</v>
      </c>
      <c r="AY69" s="51">
        <f t="shared" si="20"/>
        <v>0</v>
      </c>
      <c r="AZ69" s="51">
        <v>1500</v>
      </c>
      <c r="BA69" s="51">
        <v>0</v>
      </c>
      <c r="BB69" s="51">
        <f t="shared" si="21"/>
        <v>1500</v>
      </c>
      <c r="BC69" s="51">
        <f t="shared" si="22"/>
        <v>0</v>
      </c>
      <c r="BD69" s="51" t="e">
        <f t="shared" si="23"/>
        <v>#DIV/0!</v>
      </c>
      <c r="BE69" s="52">
        <v>0</v>
      </c>
      <c r="BF69" s="52">
        <v>0</v>
      </c>
      <c r="BG69" s="52">
        <v>0</v>
      </c>
      <c r="BH69" s="52">
        <f t="shared" si="24"/>
        <v>0</v>
      </c>
      <c r="BI69" s="52">
        <v>750</v>
      </c>
      <c r="BJ69" s="52">
        <v>0</v>
      </c>
      <c r="BK69" s="52">
        <f t="shared" si="25"/>
        <v>750</v>
      </c>
      <c r="BL69" s="52">
        <f t="shared" si="26"/>
        <v>0</v>
      </c>
      <c r="BM69" s="52" t="e">
        <f t="shared" si="27"/>
        <v>#DIV/0!</v>
      </c>
      <c r="BN69" s="53">
        <v>0</v>
      </c>
      <c r="BO69" s="53">
        <v>84</v>
      </c>
      <c r="BP69" s="53">
        <v>21</v>
      </c>
      <c r="BQ69" s="53">
        <f t="shared" si="28"/>
        <v>63</v>
      </c>
      <c r="BR69" s="53">
        <v>2450</v>
      </c>
      <c r="BS69" s="53">
        <v>450</v>
      </c>
      <c r="BT69" s="53">
        <f t="shared" si="29"/>
        <v>2000</v>
      </c>
      <c r="BU69" s="53">
        <f t="shared" si="30"/>
        <v>126000</v>
      </c>
      <c r="BV69" s="53">
        <f t="shared" si="31"/>
        <v>25</v>
      </c>
      <c r="BW69" s="54">
        <v>0</v>
      </c>
      <c r="BX69" s="54">
        <v>0</v>
      </c>
      <c r="BY69" s="54">
        <v>0</v>
      </c>
      <c r="BZ69" s="54">
        <f t="shared" si="32"/>
        <v>0</v>
      </c>
      <c r="CA69" s="54">
        <v>750</v>
      </c>
      <c r="CB69" s="54">
        <v>0</v>
      </c>
      <c r="CC69" s="54">
        <f t="shared" si="33"/>
        <v>750</v>
      </c>
      <c r="CD69" s="54">
        <f t="shared" si="34"/>
        <v>0</v>
      </c>
      <c r="CE69" s="54" t="e">
        <f t="shared" si="35"/>
        <v>#DIV/0!</v>
      </c>
      <c r="CF69" s="55">
        <v>0</v>
      </c>
      <c r="CG69" s="55">
        <v>0</v>
      </c>
      <c r="CH69" s="55">
        <v>0</v>
      </c>
      <c r="CI69" s="55">
        <f t="shared" si="36"/>
        <v>0</v>
      </c>
      <c r="CJ69" s="55">
        <v>730</v>
      </c>
      <c r="CK69" s="55">
        <v>0</v>
      </c>
      <c r="CL69" s="55">
        <f t="shared" si="37"/>
        <v>730</v>
      </c>
      <c r="CM69" s="55">
        <f t="shared" si="38"/>
        <v>0</v>
      </c>
      <c r="CN69" s="55" t="e">
        <f t="shared" si="39"/>
        <v>#DIV/0!</v>
      </c>
      <c r="CO69" s="56">
        <v>0</v>
      </c>
      <c r="CP69" s="56">
        <v>0</v>
      </c>
      <c r="CQ69" s="56">
        <v>0</v>
      </c>
      <c r="CR69" s="56">
        <f t="shared" si="40"/>
        <v>0</v>
      </c>
      <c r="CS69" s="56">
        <v>730</v>
      </c>
      <c r="CT69" s="56">
        <v>0</v>
      </c>
      <c r="CU69" s="56">
        <f t="shared" si="41"/>
        <v>730</v>
      </c>
      <c r="CV69" s="56">
        <f t="shared" si="42"/>
        <v>0</v>
      </c>
      <c r="CW69" s="56" t="e">
        <f t="shared" si="43"/>
        <v>#DIV/0!</v>
      </c>
      <c r="CX69" s="57">
        <v>0</v>
      </c>
      <c r="CY69" s="57">
        <v>0</v>
      </c>
      <c r="CZ69" s="57">
        <v>0</v>
      </c>
      <c r="DA69" s="57">
        <f t="shared" si="44"/>
        <v>0</v>
      </c>
      <c r="DB69" s="57">
        <v>600</v>
      </c>
      <c r="DC69" s="57">
        <v>0</v>
      </c>
      <c r="DD69" s="57">
        <f t="shared" si="45"/>
        <v>600</v>
      </c>
      <c r="DE69" s="57">
        <f t="shared" si="46"/>
        <v>0</v>
      </c>
      <c r="DF69" s="57" t="e">
        <f t="shared" si="47"/>
        <v>#DIV/0!</v>
      </c>
    </row>
    <row r="70" spans="1:110" ht="14.25" customHeight="1">
      <c r="A70" s="59"/>
      <c r="B70" s="29"/>
      <c r="C70" s="45">
        <v>0</v>
      </c>
      <c r="D70" s="45">
        <v>0</v>
      </c>
      <c r="E70" s="45">
        <v>0</v>
      </c>
      <c r="F70" s="45">
        <f t="shared" si="0"/>
        <v>0</v>
      </c>
      <c r="G70" s="45">
        <v>900</v>
      </c>
      <c r="H70" s="45">
        <v>0</v>
      </c>
      <c r="I70" s="45">
        <f t="shared" si="1"/>
        <v>900</v>
      </c>
      <c r="J70" s="45">
        <f t="shared" si="2"/>
        <v>0</v>
      </c>
      <c r="K70" s="45" t="e">
        <f t="shared" si="3"/>
        <v>#DIV/0!</v>
      </c>
      <c r="L70" s="47">
        <v>0</v>
      </c>
      <c r="M70" s="47">
        <v>0</v>
      </c>
      <c r="N70" s="47">
        <v>0</v>
      </c>
      <c r="O70" s="47">
        <f t="shared" si="4"/>
        <v>0</v>
      </c>
      <c r="P70" s="47">
        <v>1800</v>
      </c>
      <c r="Q70" s="47">
        <v>0</v>
      </c>
      <c r="R70" s="47">
        <f t="shared" si="5"/>
        <v>1800</v>
      </c>
      <c r="S70" s="47">
        <f t="shared" si="6"/>
        <v>0</v>
      </c>
      <c r="T70" s="47" t="e">
        <f t="shared" si="7"/>
        <v>#DIV/0!</v>
      </c>
      <c r="U70" s="48">
        <v>0</v>
      </c>
      <c r="V70" s="48">
        <v>0</v>
      </c>
      <c r="W70" s="48">
        <v>0</v>
      </c>
      <c r="X70" s="48">
        <f t="shared" si="8"/>
        <v>0</v>
      </c>
      <c r="Y70" s="48">
        <v>910</v>
      </c>
      <c r="Z70" s="48">
        <v>0</v>
      </c>
      <c r="AA70" s="48">
        <f t="shared" si="9"/>
        <v>910</v>
      </c>
      <c r="AB70" s="48">
        <f t="shared" si="10"/>
        <v>0</v>
      </c>
      <c r="AC70" s="48" t="e">
        <f t="shared" si="11"/>
        <v>#DIV/0!</v>
      </c>
      <c r="AD70" s="49">
        <v>0</v>
      </c>
      <c r="AE70" s="49">
        <v>0</v>
      </c>
      <c r="AF70" s="49">
        <v>0</v>
      </c>
      <c r="AG70" s="49">
        <f t="shared" si="12"/>
        <v>0</v>
      </c>
      <c r="AH70" s="49">
        <v>1200</v>
      </c>
      <c r="AI70" s="49">
        <v>0</v>
      </c>
      <c r="AJ70" s="49">
        <f t="shared" si="13"/>
        <v>1200</v>
      </c>
      <c r="AK70" s="49">
        <f t="shared" si="14"/>
        <v>0</v>
      </c>
      <c r="AL70" s="49" t="e">
        <f t="shared" si="15"/>
        <v>#DIV/0!</v>
      </c>
      <c r="AM70" s="50">
        <v>0</v>
      </c>
      <c r="AN70" s="50">
        <v>0</v>
      </c>
      <c r="AO70" s="50">
        <v>0</v>
      </c>
      <c r="AP70" s="50">
        <f t="shared" si="16"/>
        <v>0</v>
      </c>
      <c r="AQ70" s="50">
        <v>600</v>
      </c>
      <c r="AR70" s="50">
        <v>0</v>
      </c>
      <c r="AS70" s="50">
        <f t="shared" si="17"/>
        <v>600</v>
      </c>
      <c r="AT70" s="50">
        <f t="shared" si="18"/>
        <v>0</v>
      </c>
      <c r="AU70" s="50" t="e">
        <f t="shared" si="19"/>
        <v>#DIV/0!</v>
      </c>
      <c r="AV70" s="51">
        <v>0</v>
      </c>
      <c r="AW70" s="51">
        <v>0</v>
      </c>
      <c r="AX70" s="51">
        <v>0</v>
      </c>
      <c r="AY70" s="51">
        <f t="shared" si="20"/>
        <v>0</v>
      </c>
      <c r="AZ70" s="51">
        <v>1500</v>
      </c>
      <c r="BA70" s="51">
        <v>0</v>
      </c>
      <c r="BB70" s="51">
        <f t="shared" si="21"/>
        <v>1500</v>
      </c>
      <c r="BC70" s="51">
        <f t="shared" si="22"/>
        <v>0</v>
      </c>
      <c r="BD70" s="51" t="e">
        <f t="shared" si="23"/>
        <v>#DIV/0!</v>
      </c>
      <c r="BE70" s="52">
        <v>0</v>
      </c>
      <c r="BF70" s="52">
        <v>0</v>
      </c>
      <c r="BG70" s="52">
        <v>0</v>
      </c>
      <c r="BH70" s="52">
        <f t="shared" si="24"/>
        <v>0</v>
      </c>
      <c r="BI70" s="52">
        <v>750</v>
      </c>
      <c r="BJ70" s="52">
        <v>0</v>
      </c>
      <c r="BK70" s="52">
        <f t="shared" si="25"/>
        <v>750</v>
      </c>
      <c r="BL70" s="52">
        <f t="shared" si="26"/>
        <v>0</v>
      </c>
      <c r="BM70" s="52" t="e">
        <f t="shared" si="27"/>
        <v>#DIV/0!</v>
      </c>
      <c r="BN70" s="53">
        <v>0</v>
      </c>
      <c r="BO70" s="53">
        <v>0</v>
      </c>
      <c r="BP70" s="53">
        <v>0</v>
      </c>
      <c r="BQ70" s="53">
        <f t="shared" si="28"/>
        <v>0</v>
      </c>
      <c r="BR70" s="53">
        <v>2450</v>
      </c>
      <c r="BS70" s="53">
        <v>0</v>
      </c>
      <c r="BT70" s="53">
        <f t="shared" si="29"/>
        <v>2450</v>
      </c>
      <c r="BU70" s="53">
        <f t="shared" si="30"/>
        <v>0</v>
      </c>
      <c r="BV70" s="53" t="e">
        <f t="shared" si="31"/>
        <v>#DIV/0!</v>
      </c>
      <c r="BW70" s="54">
        <v>0</v>
      </c>
      <c r="BX70" s="54">
        <v>0</v>
      </c>
      <c r="BY70" s="54">
        <v>0</v>
      </c>
      <c r="BZ70" s="54">
        <f t="shared" si="32"/>
        <v>0</v>
      </c>
      <c r="CA70" s="54">
        <v>750</v>
      </c>
      <c r="CB70" s="54">
        <v>0</v>
      </c>
      <c r="CC70" s="54">
        <f t="shared" si="33"/>
        <v>750</v>
      </c>
      <c r="CD70" s="54">
        <f t="shared" si="34"/>
        <v>0</v>
      </c>
      <c r="CE70" s="54" t="e">
        <f t="shared" si="35"/>
        <v>#DIV/0!</v>
      </c>
      <c r="CF70" s="55">
        <v>0</v>
      </c>
      <c r="CG70" s="55">
        <v>0</v>
      </c>
      <c r="CH70" s="55">
        <v>0</v>
      </c>
      <c r="CI70" s="55">
        <f t="shared" si="36"/>
        <v>0</v>
      </c>
      <c r="CJ70" s="55">
        <v>730</v>
      </c>
      <c r="CK70" s="55">
        <v>0</v>
      </c>
      <c r="CL70" s="55">
        <f t="shared" si="37"/>
        <v>730</v>
      </c>
      <c r="CM70" s="55">
        <f t="shared" si="38"/>
        <v>0</v>
      </c>
      <c r="CN70" s="55" t="e">
        <f t="shared" si="39"/>
        <v>#DIV/0!</v>
      </c>
      <c r="CO70" s="56">
        <v>0</v>
      </c>
      <c r="CP70" s="56">
        <v>0</v>
      </c>
      <c r="CQ70" s="56">
        <v>0</v>
      </c>
      <c r="CR70" s="56">
        <f t="shared" si="40"/>
        <v>0</v>
      </c>
      <c r="CS70" s="56">
        <v>730</v>
      </c>
      <c r="CT70" s="56">
        <v>0</v>
      </c>
      <c r="CU70" s="56">
        <f t="shared" si="41"/>
        <v>730</v>
      </c>
      <c r="CV70" s="56">
        <f t="shared" si="42"/>
        <v>0</v>
      </c>
      <c r="CW70" s="56" t="e">
        <f t="shared" si="43"/>
        <v>#DIV/0!</v>
      </c>
      <c r="CX70" s="57">
        <v>0</v>
      </c>
      <c r="CY70" s="57">
        <v>0</v>
      </c>
      <c r="CZ70" s="57">
        <v>0</v>
      </c>
      <c r="DA70" s="57">
        <f t="shared" si="44"/>
        <v>0</v>
      </c>
      <c r="DB70" s="57">
        <v>600</v>
      </c>
      <c r="DC70" s="57">
        <v>0</v>
      </c>
      <c r="DD70" s="57">
        <f t="shared" si="45"/>
        <v>600</v>
      </c>
      <c r="DE70" s="57">
        <f t="shared" si="46"/>
        <v>0</v>
      </c>
      <c r="DF70" s="57" t="e">
        <f t="shared" si="47"/>
        <v>#DIV/0!</v>
      </c>
    </row>
    <row r="71" spans="1:110" ht="14.25" customHeight="1">
      <c r="A71" s="59"/>
      <c r="B71" s="29"/>
      <c r="C71" s="45">
        <v>0</v>
      </c>
      <c r="D71" s="45">
        <v>0</v>
      </c>
      <c r="E71" s="45">
        <v>0</v>
      </c>
      <c r="F71" s="45">
        <f t="shared" si="0"/>
        <v>0</v>
      </c>
      <c r="G71" s="45">
        <v>900</v>
      </c>
      <c r="H71" s="45">
        <v>0</v>
      </c>
      <c r="I71" s="45">
        <f t="shared" si="1"/>
        <v>900</v>
      </c>
      <c r="J71" s="45">
        <f t="shared" si="2"/>
        <v>0</v>
      </c>
      <c r="K71" s="45" t="e">
        <f t="shared" si="3"/>
        <v>#DIV/0!</v>
      </c>
      <c r="L71" s="47">
        <v>0</v>
      </c>
      <c r="M71" s="47">
        <v>0</v>
      </c>
      <c r="N71" s="47">
        <v>0</v>
      </c>
      <c r="O71" s="47">
        <f t="shared" si="4"/>
        <v>0</v>
      </c>
      <c r="P71" s="47">
        <v>1800</v>
      </c>
      <c r="Q71" s="47">
        <v>0</v>
      </c>
      <c r="R71" s="47">
        <f t="shared" si="5"/>
        <v>1800</v>
      </c>
      <c r="S71" s="47">
        <f t="shared" si="6"/>
        <v>0</v>
      </c>
      <c r="T71" s="47" t="e">
        <f t="shared" si="7"/>
        <v>#DIV/0!</v>
      </c>
      <c r="U71" s="48">
        <v>0</v>
      </c>
      <c r="V71" s="48">
        <v>0</v>
      </c>
      <c r="W71" s="48">
        <v>0</v>
      </c>
      <c r="X71" s="48">
        <f t="shared" si="8"/>
        <v>0</v>
      </c>
      <c r="Y71" s="48">
        <v>910</v>
      </c>
      <c r="Z71" s="48">
        <v>0</v>
      </c>
      <c r="AA71" s="48">
        <f t="shared" si="9"/>
        <v>910</v>
      </c>
      <c r="AB71" s="48">
        <f t="shared" si="10"/>
        <v>0</v>
      </c>
      <c r="AC71" s="48" t="e">
        <f t="shared" si="11"/>
        <v>#DIV/0!</v>
      </c>
      <c r="AD71" s="49">
        <v>0</v>
      </c>
      <c r="AE71" s="49">
        <v>0</v>
      </c>
      <c r="AF71" s="49">
        <v>0</v>
      </c>
      <c r="AG71" s="49">
        <f t="shared" si="12"/>
        <v>0</v>
      </c>
      <c r="AH71" s="49">
        <v>1200</v>
      </c>
      <c r="AI71" s="49">
        <v>0</v>
      </c>
      <c r="AJ71" s="49">
        <f t="shared" si="13"/>
        <v>1200</v>
      </c>
      <c r="AK71" s="49">
        <f t="shared" si="14"/>
        <v>0</v>
      </c>
      <c r="AL71" s="49" t="e">
        <f t="shared" si="15"/>
        <v>#DIV/0!</v>
      </c>
      <c r="AM71" s="50">
        <v>0</v>
      </c>
      <c r="AN71" s="50">
        <v>0</v>
      </c>
      <c r="AO71" s="50">
        <v>0</v>
      </c>
      <c r="AP71" s="50">
        <f t="shared" si="16"/>
        <v>0</v>
      </c>
      <c r="AQ71" s="50">
        <v>600</v>
      </c>
      <c r="AR71" s="50">
        <v>0</v>
      </c>
      <c r="AS71" s="50">
        <f t="shared" si="17"/>
        <v>600</v>
      </c>
      <c r="AT71" s="50">
        <f t="shared" si="18"/>
        <v>0</v>
      </c>
      <c r="AU71" s="50" t="e">
        <f t="shared" si="19"/>
        <v>#DIV/0!</v>
      </c>
      <c r="AV71" s="51">
        <v>0</v>
      </c>
      <c r="AW71" s="51">
        <v>0</v>
      </c>
      <c r="AX71" s="51">
        <v>0</v>
      </c>
      <c r="AY71" s="51">
        <f t="shared" si="20"/>
        <v>0</v>
      </c>
      <c r="AZ71" s="51">
        <v>1500</v>
      </c>
      <c r="BA71" s="51">
        <v>0</v>
      </c>
      <c r="BB71" s="51">
        <f t="shared" si="21"/>
        <v>1500</v>
      </c>
      <c r="BC71" s="51">
        <f t="shared" si="22"/>
        <v>0</v>
      </c>
      <c r="BD71" s="51" t="e">
        <f t="shared" si="23"/>
        <v>#DIV/0!</v>
      </c>
      <c r="BE71" s="52">
        <v>0</v>
      </c>
      <c r="BF71" s="52">
        <v>0</v>
      </c>
      <c r="BG71" s="52">
        <v>0</v>
      </c>
      <c r="BH71" s="52">
        <f t="shared" si="24"/>
        <v>0</v>
      </c>
      <c r="BI71" s="52">
        <v>750</v>
      </c>
      <c r="BJ71" s="52">
        <v>0</v>
      </c>
      <c r="BK71" s="52">
        <f t="shared" si="25"/>
        <v>750</v>
      </c>
      <c r="BL71" s="52">
        <f t="shared" si="26"/>
        <v>0</v>
      </c>
      <c r="BM71" s="52" t="e">
        <f t="shared" si="27"/>
        <v>#DIV/0!</v>
      </c>
      <c r="BN71" s="53">
        <v>0</v>
      </c>
      <c r="BO71" s="53">
        <v>0</v>
      </c>
      <c r="BP71" s="53">
        <v>0</v>
      </c>
      <c r="BQ71" s="53">
        <f t="shared" si="28"/>
        <v>0</v>
      </c>
      <c r="BR71" s="53">
        <v>2450</v>
      </c>
      <c r="BS71" s="53">
        <v>0</v>
      </c>
      <c r="BT71" s="53">
        <f t="shared" si="29"/>
        <v>2450</v>
      </c>
      <c r="BU71" s="53">
        <f t="shared" si="30"/>
        <v>0</v>
      </c>
      <c r="BV71" s="53" t="e">
        <f t="shared" si="31"/>
        <v>#DIV/0!</v>
      </c>
      <c r="BW71" s="54">
        <v>0</v>
      </c>
      <c r="BX71" s="54">
        <v>0</v>
      </c>
      <c r="BY71" s="54">
        <v>0</v>
      </c>
      <c r="BZ71" s="54">
        <f t="shared" si="32"/>
        <v>0</v>
      </c>
      <c r="CA71" s="54">
        <v>750</v>
      </c>
      <c r="CB71" s="54">
        <v>0</v>
      </c>
      <c r="CC71" s="54">
        <f t="shared" si="33"/>
        <v>750</v>
      </c>
      <c r="CD71" s="54">
        <f t="shared" si="34"/>
        <v>0</v>
      </c>
      <c r="CE71" s="54" t="e">
        <f t="shared" si="35"/>
        <v>#DIV/0!</v>
      </c>
      <c r="CF71" s="55">
        <v>0</v>
      </c>
      <c r="CG71" s="55">
        <v>0</v>
      </c>
      <c r="CH71" s="55">
        <v>0</v>
      </c>
      <c r="CI71" s="55">
        <f t="shared" si="36"/>
        <v>0</v>
      </c>
      <c r="CJ71" s="55">
        <v>730</v>
      </c>
      <c r="CK71" s="55">
        <v>0</v>
      </c>
      <c r="CL71" s="55">
        <f t="shared" si="37"/>
        <v>730</v>
      </c>
      <c r="CM71" s="55">
        <f t="shared" si="38"/>
        <v>0</v>
      </c>
      <c r="CN71" s="55" t="e">
        <f t="shared" si="39"/>
        <v>#DIV/0!</v>
      </c>
      <c r="CO71" s="56">
        <v>0</v>
      </c>
      <c r="CP71" s="56">
        <v>0</v>
      </c>
      <c r="CQ71" s="56">
        <v>0</v>
      </c>
      <c r="CR71" s="56">
        <f t="shared" si="40"/>
        <v>0</v>
      </c>
      <c r="CS71" s="56">
        <v>730</v>
      </c>
      <c r="CT71" s="56">
        <v>0</v>
      </c>
      <c r="CU71" s="56">
        <f t="shared" si="41"/>
        <v>730</v>
      </c>
      <c r="CV71" s="56">
        <f t="shared" si="42"/>
        <v>0</v>
      </c>
      <c r="CW71" s="56" t="e">
        <f t="shared" si="43"/>
        <v>#DIV/0!</v>
      </c>
      <c r="CX71" s="57">
        <v>0</v>
      </c>
      <c r="CY71" s="57">
        <v>0</v>
      </c>
      <c r="CZ71" s="57">
        <v>0</v>
      </c>
      <c r="DA71" s="57">
        <f t="shared" si="44"/>
        <v>0</v>
      </c>
      <c r="DB71" s="57">
        <v>600</v>
      </c>
      <c r="DC71" s="57">
        <v>0</v>
      </c>
      <c r="DD71" s="57">
        <f t="shared" si="45"/>
        <v>600</v>
      </c>
      <c r="DE71" s="57">
        <f t="shared" si="46"/>
        <v>0</v>
      </c>
      <c r="DF71" s="57" t="e">
        <f t="shared" si="47"/>
        <v>#DIV/0!</v>
      </c>
    </row>
    <row r="72" spans="1:110" ht="14.25" customHeight="1">
      <c r="A72" s="59"/>
      <c r="B72" s="29"/>
      <c r="C72" s="45">
        <v>0</v>
      </c>
      <c r="D72" s="45">
        <v>0</v>
      </c>
      <c r="E72" s="45">
        <v>0</v>
      </c>
      <c r="F72" s="45">
        <f t="shared" si="0"/>
        <v>0</v>
      </c>
      <c r="G72" s="45">
        <v>900</v>
      </c>
      <c r="H72" s="45">
        <v>0</v>
      </c>
      <c r="I72" s="45">
        <f t="shared" si="1"/>
        <v>900</v>
      </c>
      <c r="J72" s="45">
        <f t="shared" si="2"/>
        <v>0</v>
      </c>
      <c r="K72" s="45" t="e">
        <f t="shared" si="3"/>
        <v>#DIV/0!</v>
      </c>
      <c r="L72" s="47">
        <v>0</v>
      </c>
      <c r="M72" s="47">
        <v>0</v>
      </c>
      <c r="N72" s="47">
        <v>0</v>
      </c>
      <c r="O72" s="47">
        <f t="shared" si="4"/>
        <v>0</v>
      </c>
      <c r="P72" s="47">
        <v>1800</v>
      </c>
      <c r="Q72" s="47">
        <v>0</v>
      </c>
      <c r="R72" s="47">
        <f t="shared" si="5"/>
        <v>1800</v>
      </c>
      <c r="S72" s="47">
        <f t="shared" si="6"/>
        <v>0</v>
      </c>
      <c r="T72" s="47" t="e">
        <f t="shared" si="7"/>
        <v>#DIV/0!</v>
      </c>
      <c r="U72" s="48">
        <v>0</v>
      </c>
      <c r="V72" s="48">
        <v>0</v>
      </c>
      <c r="W72" s="48">
        <v>0</v>
      </c>
      <c r="X72" s="48">
        <f t="shared" si="8"/>
        <v>0</v>
      </c>
      <c r="Y72" s="48">
        <v>910</v>
      </c>
      <c r="Z72" s="48">
        <v>0</v>
      </c>
      <c r="AA72" s="48">
        <f t="shared" si="9"/>
        <v>910</v>
      </c>
      <c r="AB72" s="48">
        <f t="shared" si="10"/>
        <v>0</v>
      </c>
      <c r="AC72" s="48" t="e">
        <f t="shared" si="11"/>
        <v>#DIV/0!</v>
      </c>
      <c r="AD72" s="49">
        <v>0</v>
      </c>
      <c r="AE72" s="49">
        <v>0</v>
      </c>
      <c r="AF72" s="49">
        <v>0</v>
      </c>
      <c r="AG72" s="49">
        <f t="shared" si="12"/>
        <v>0</v>
      </c>
      <c r="AH72" s="49">
        <v>1200</v>
      </c>
      <c r="AI72" s="49">
        <v>0</v>
      </c>
      <c r="AJ72" s="49">
        <f t="shared" si="13"/>
        <v>1200</v>
      </c>
      <c r="AK72" s="49">
        <f t="shared" si="14"/>
        <v>0</v>
      </c>
      <c r="AL72" s="49" t="e">
        <f t="shared" si="15"/>
        <v>#DIV/0!</v>
      </c>
      <c r="AM72" s="50">
        <v>0</v>
      </c>
      <c r="AN72" s="50">
        <v>0</v>
      </c>
      <c r="AO72" s="50">
        <v>0</v>
      </c>
      <c r="AP72" s="50">
        <f t="shared" si="16"/>
        <v>0</v>
      </c>
      <c r="AQ72" s="50">
        <v>600</v>
      </c>
      <c r="AR72" s="50">
        <v>0</v>
      </c>
      <c r="AS72" s="50">
        <f t="shared" si="17"/>
        <v>600</v>
      </c>
      <c r="AT72" s="50">
        <f t="shared" si="18"/>
        <v>0</v>
      </c>
      <c r="AU72" s="50" t="e">
        <f t="shared" si="19"/>
        <v>#DIV/0!</v>
      </c>
      <c r="AV72" s="51">
        <v>0</v>
      </c>
      <c r="AW72" s="51">
        <v>0</v>
      </c>
      <c r="AX72" s="51">
        <v>0</v>
      </c>
      <c r="AY72" s="51">
        <f t="shared" si="20"/>
        <v>0</v>
      </c>
      <c r="AZ72" s="51">
        <v>1500</v>
      </c>
      <c r="BA72" s="51">
        <v>0</v>
      </c>
      <c r="BB72" s="51">
        <f t="shared" si="21"/>
        <v>1500</v>
      </c>
      <c r="BC72" s="51">
        <f t="shared" si="22"/>
        <v>0</v>
      </c>
      <c r="BD72" s="51" t="e">
        <f t="shared" si="23"/>
        <v>#DIV/0!</v>
      </c>
      <c r="BE72" s="52">
        <v>0</v>
      </c>
      <c r="BF72" s="52">
        <v>0</v>
      </c>
      <c r="BG72" s="52">
        <v>0</v>
      </c>
      <c r="BH72" s="52">
        <f t="shared" si="24"/>
        <v>0</v>
      </c>
      <c r="BI72" s="52">
        <v>750</v>
      </c>
      <c r="BJ72" s="52">
        <v>0</v>
      </c>
      <c r="BK72" s="52">
        <f t="shared" si="25"/>
        <v>750</v>
      </c>
      <c r="BL72" s="52">
        <f t="shared" si="26"/>
        <v>0</v>
      </c>
      <c r="BM72" s="52" t="e">
        <f t="shared" si="27"/>
        <v>#DIV/0!</v>
      </c>
      <c r="BN72" s="53">
        <v>0</v>
      </c>
      <c r="BO72" s="53">
        <v>0</v>
      </c>
      <c r="BP72" s="53">
        <v>0</v>
      </c>
      <c r="BQ72" s="53">
        <f t="shared" si="28"/>
        <v>0</v>
      </c>
      <c r="BR72" s="53">
        <v>2450</v>
      </c>
      <c r="BS72" s="53">
        <v>0</v>
      </c>
      <c r="BT72" s="53">
        <f t="shared" si="29"/>
        <v>2450</v>
      </c>
      <c r="BU72" s="53">
        <f t="shared" si="30"/>
        <v>0</v>
      </c>
      <c r="BV72" s="53" t="e">
        <f t="shared" si="31"/>
        <v>#DIV/0!</v>
      </c>
      <c r="BW72" s="54">
        <v>0</v>
      </c>
      <c r="BX72" s="54">
        <v>0</v>
      </c>
      <c r="BY72" s="54">
        <v>0</v>
      </c>
      <c r="BZ72" s="54">
        <f t="shared" si="32"/>
        <v>0</v>
      </c>
      <c r="CA72" s="54">
        <v>750</v>
      </c>
      <c r="CB72" s="54">
        <v>0</v>
      </c>
      <c r="CC72" s="54">
        <f t="shared" si="33"/>
        <v>750</v>
      </c>
      <c r="CD72" s="54">
        <f t="shared" si="34"/>
        <v>0</v>
      </c>
      <c r="CE72" s="54" t="e">
        <f t="shared" si="35"/>
        <v>#DIV/0!</v>
      </c>
      <c r="CF72" s="55">
        <v>0</v>
      </c>
      <c r="CG72" s="55">
        <v>0</v>
      </c>
      <c r="CH72" s="55">
        <v>0</v>
      </c>
      <c r="CI72" s="55">
        <f t="shared" si="36"/>
        <v>0</v>
      </c>
      <c r="CJ72" s="55">
        <v>730</v>
      </c>
      <c r="CK72" s="55">
        <v>0</v>
      </c>
      <c r="CL72" s="55">
        <f t="shared" si="37"/>
        <v>730</v>
      </c>
      <c r="CM72" s="55">
        <f t="shared" si="38"/>
        <v>0</v>
      </c>
      <c r="CN72" s="55" t="e">
        <f t="shared" si="39"/>
        <v>#DIV/0!</v>
      </c>
      <c r="CO72" s="56">
        <v>0</v>
      </c>
      <c r="CP72" s="56">
        <v>0</v>
      </c>
      <c r="CQ72" s="56">
        <v>0</v>
      </c>
      <c r="CR72" s="56">
        <f t="shared" si="40"/>
        <v>0</v>
      </c>
      <c r="CS72" s="56">
        <v>730</v>
      </c>
      <c r="CT72" s="56">
        <v>0</v>
      </c>
      <c r="CU72" s="56">
        <f t="shared" si="41"/>
        <v>730</v>
      </c>
      <c r="CV72" s="56">
        <f t="shared" si="42"/>
        <v>0</v>
      </c>
      <c r="CW72" s="56" t="e">
        <f t="shared" si="43"/>
        <v>#DIV/0!</v>
      </c>
      <c r="CX72" s="57">
        <v>0</v>
      </c>
      <c r="CY72" s="57">
        <v>0</v>
      </c>
      <c r="CZ72" s="57">
        <v>0</v>
      </c>
      <c r="DA72" s="57">
        <f t="shared" si="44"/>
        <v>0</v>
      </c>
      <c r="DB72" s="57">
        <v>600</v>
      </c>
      <c r="DC72" s="57">
        <v>0</v>
      </c>
      <c r="DD72" s="57">
        <f t="shared" si="45"/>
        <v>600</v>
      </c>
      <c r="DE72" s="57">
        <f t="shared" si="46"/>
        <v>0</v>
      </c>
      <c r="DF72" s="57" t="e">
        <f t="shared" si="47"/>
        <v>#DIV/0!</v>
      </c>
    </row>
    <row r="73" spans="1:110" ht="14.25" customHeight="1">
      <c r="A73" s="59"/>
      <c r="B73" s="29"/>
      <c r="C73" s="45">
        <v>0</v>
      </c>
      <c r="D73" s="45">
        <v>0</v>
      </c>
      <c r="E73" s="45">
        <v>0</v>
      </c>
      <c r="F73" s="45">
        <f t="shared" si="0"/>
        <v>0</v>
      </c>
      <c r="G73" s="45">
        <v>900</v>
      </c>
      <c r="H73" s="45">
        <v>0</v>
      </c>
      <c r="I73" s="45">
        <f t="shared" si="1"/>
        <v>900</v>
      </c>
      <c r="J73" s="45">
        <f t="shared" si="2"/>
        <v>0</v>
      </c>
      <c r="K73" s="45" t="e">
        <f t="shared" si="3"/>
        <v>#DIV/0!</v>
      </c>
      <c r="L73" s="47">
        <v>0</v>
      </c>
      <c r="M73" s="47">
        <v>0</v>
      </c>
      <c r="N73" s="47">
        <v>0</v>
      </c>
      <c r="O73" s="47">
        <f t="shared" si="4"/>
        <v>0</v>
      </c>
      <c r="P73" s="47">
        <v>1800</v>
      </c>
      <c r="Q73" s="47">
        <v>0</v>
      </c>
      <c r="R73" s="47">
        <f t="shared" si="5"/>
        <v>1800</v>
      </c>
      <c r="S73" s="47">
        <f t="shared" si="6"/>
        <v>0</v>
      </c>
      <c r="T73" s="47" t="e">
        <f t="shared" si="7"/>
        <v>#DIV/0!</v>
      </c>
      <c r="U73" s="48">
        <v>0</v>
      </c>
      <c r="V73" s="48">
        <v>0</v>
      </c>
      <c r="W73" s="48">
        <v>0</v>
      </c>
      <c r="X73" s="48">
        <f t="shared" si="8"/>
        <v>0</v>
      </c>
      <c r="Y73" s="48">
        <v>910</v>
      </c>
      <c r="Z73" s="48">
        <v>0</v>
      </c>
      <c r="AA73" s="48">
        <f t="shared" si="9"/>
        <v>910</v>
      </c>
      <c r="AB73" s="48">
        <f t="shared" si="10"/>
        <v>0</v>
      </c>
      <c r="AC73" s="48" t="e">
        <f t="shared" si="11"/>
        <v>#DIV/0!</v>
      </c>
      <c r="AD73" s="49">
        <v>0</v>
      </c>
      <c r="AE73" s="49">
        <v>0</v>
      </c>
      <c r="AF73" s="49">
        <v>0</v>
      </c>
      <c r="AG73" s="49">
        <f t="shared" si="12"/>
        <v>0</v>
      </c>
      <c r="AH73" s="49">
        <v>1200</v>
      </c>
      <c r="AI73" s="49">
        <v>0</v>
      </c>
      <c r="AJ73" s="49">
        <f t="shared" si="13"/>
        <v>1200</v>
      </c>
      <c r="AK73" s="49">
        <f t="shared" si="14"/>
        <v>0</v>
      </c>
      <c r="AL73" s="49" t="e">
        <f t="shared" si="15"/>
        <v>#DIV/0!</v>
      </c>
      <c r="AM73" s="50">
        <v>0</v>
      </c>
      <c r="AN73" s="50">
        <v>0</v>
      </c>
      <c r="AO73" s="50">
        <v>0</v>
      </c>
      <c r="AP73" s="50">
        <f t="shared" si="16"/>
        <v>0</v>
      </c>
      <c r="AQ73" s="50">
        <v>600</v>
      </c>
      <c r="AR73" s="50">
        <v>0</v>
      </c>
      <c r="AS73" s="50">
        <f t="shared" si="17"/>
        <v>600</v>
      </c>
      <c r="AT73" s="50">
        <f t="shared" si="18"/>
        <v>0</v>
      </c>
      <c r="AU73" s="50" t="e">
        <f t="shared" si="19"/>
        <v>#DIV/0!</v>
      </c>
      <c r="AV73" s="51">
        <v>0</v>
      </c>
      <c r="AW73" s="51">
        <v>0</v>
      </c>
      <c r="AX73" s="51">
        <v>0</v>
      </c>
      <c r="AY73" s="51">
        <f t="shared" si="20"/>
        <v>0</v>
      </c>
      <c r="AZ73" s="51">
        <v>1500</v>
      </c>
      <c r="BA73" s="51">
        <v>0</v>
      </c>
      <c r="BB73" s="51">
        <f t="shared" si="21"/>
        <v>1500</v>
      </c>
      <c r="BC73" s="51">
        <f t="shared" si="22"/>
        <v>0</v>
      </c>
      <c r="BD73" s="51" t="e">
        <f t="shared" si="23"/>
        <v>#DIV/0!</v>
      </c>
      <c r="BE73" s="52">
        <v>0</v>
      </c>
      <c r="BF73" s="52">
        <v>0</v>
      </c>
      <c r="BG73" s="52">
        <v>0</v>
      </c>
      <c r="BH73" s="52">
        <f t="shared" si="24"/>
        <v>0</v>
      </c>
      <c r="BI73" s="52">
        <v>750</v>
      </c>
      <c r="BJ73" s="52">
        <v>0</v>
      </c>
      <c r="BK73" s="52">
        <f t="shared" si="25"/>
        <v>750</v>
      </c>
      <c r="BL73" s="52">
        <f t="shared" si="26"/>
        <v>0</v>
      </c>
      <c r="BM73" s="52" t="e">
        <f t="shared" si="27"/>
        <v>#DIV/0!</v>
      </c>
      <c r="BN73" s="53">
        <v>0</v>
      </c>
      <c r="BO73" s="53">
        <v>0</v>
      </c>
      <c r="BP73" s="53">
        <v>0</v>
      </c>
      <c r="BQ73" s="53">
        <f t="shared" si="28"/>
        <v>0</v>
      </c>
      <c r="BR73" s="53">
        <v>2450</v>
      </c>
      <c r="BS73" s="53">
        <v>0</v>
      </c>
      <c r="BT73" s="53">
        <f t="shared" si="29"/>
        <v>2450</v>
      </c>
      <c r="BU73" s="53">
        <f t="shared" si="30"/>
        <v>0</v>
      </c>
      <c r="BV73" s="53" t="e">
        <f t="shared" si="31"/>
        <v>#DIV/0!</v>
      </c>
      <c r="BW73" s="54">
        <v>0</v>
      </c>
      <c r="BX73" s="54">
        <v>0</v>
      </c>
      <c r="BY73" s="54">
        <v>0</v>
      </c>
      <c r="BZ73" s="54">
        <f t="shared" si="32"/>
        <v>0</v>
      </c>
      <c r="CA73" s="54">
        <v>750</v>
      </c>
      <c r="CB73" s="54">
        <v>0</v>
      </c>
      <c r="CC73" s="54">
        <f t="shared" si="33"/>
        <v>750</v>
      </c>
      <c r="CD73" s="54">
        <f t="shared" si="34"/>
        <v>0</v>
      </c>
      <c r="CE73" s="54" t="e">
        <f t="shared" si="35"/>
        <v>#DIV/0!</v>
      </c>
      <c r="CF73" s="55">
        <v>0</v>
      </c>
      <c r="CG73" s="55">
        <v>0</v>
      </c>
      <c r="CH73" s="55">
        <v>0</v>
      </c>
      <c r="CI73" s="55">
        <f t="shared" si="36"/>
        <v>0</v>
      </c>
      <c r="CJ73" s="55">
        <v>730</v>
      </c>
      <c r="CK73" s="55">
        <v>0</v>
      </c>
      <c r="CL73" s="55">
        <f t="shared" si="37"/>
        <v>730</v>
      </c>
      <c r="CM73" s="55">
        <f t="shared" si="38"/>
        <v>0</v>
      </c>
      <c r="CN73" s="55" t="e">
        <f t="shared" si="39"/>
        <v>#DIV/0!</v>
      </c>
      <c r="CO73" s="56">
        <v>0</v>
      </c>
      <c r="CP73" s="56">
        <v>0</v>
      </c>
      <c r="CQ73" s="56">
        <v>0</v>
      </c>
      <c r="CR73" s="56">
        <f t="shared" si="40"/>
        <v>0</v>
      </c>
      <c r="CS73" s="56">
        <v>730</v>
      </c>
      <c r="CT73" s="56">
        <v>0</v>
      </c>
      <c r="CU73" s="56">
        <f t="shared" si="41"/>
        <v>730</v>
      </c>
      <c r="CV73" s="56">
        <f t="shared" si="42"/>
        <v>0</v>
      </c>
      <c r="CW73" s="56" t="e">
        <f t="shared" si="43"/>
        <v>#DIV/0!</v>
      </c>
      <c r="CX73" s="57">
        <v>0</v>
      </c>
      <c r="CY73" s="57">
        <v>0</v>
      </c>
      <c r="CZ73" s="57">
        <v>0</v>
      </c>
      <c r="DA73" s="57">
        <f t="shared" si="44"/>
        <v>0</v>
      </c>
      <c r="DB73" s="57">
        <v>600</v>
      </c>
      <c r="DC73" s="57">
        <v>0</v>
      </c>
      <c r="DD73" s="57">
        <f t="shared" si="45"/>
        <v>600</v>
      </c>
      <c r="DE73" s="57">
        <f t="shared" si="46"/>
        <v>0</v>
      </c>
      <c r="DF73" s="57" t="e">
        <f t="shared" si="47"/>
        <v>#DIV/0!</v>
      </c>
    </row>
    <row r="74" spans="1:110" ht="14.25" customHeight="1">
      <c r="A74" s="59"/>
      <c r="B74" s="29"/>
      <c r="C74" s="45">
        <v>0</v>
      </c>
      <c r="D74" s="45">
        <v>0</v>
      </c>
      <c r="E74" s="45">
        <v>0</v>
      </c>
      <c r="F74" s="45">
        <f t="shared" si="0"/>
        <v>0</v>
      </c>
      <c r="G74" s="45">
        <v>900</v>
      </c>
      <c r="H74" s="45">
        <v>0</v>
      </c>
      <c r="I74" s="45">
        <f t="shared" si="1"/>
        <v>900</v>
      </c>
      <c r="J74" s="45">
        <f t="shared" si="2"/>
        <v>0</v>
      </c>
      <c r="K74" s="45" t="e">
        <f t="shared" si="3"/>
        <v>#DIV/0!</v>
      </c>
      <c r="L74" s="47">
        <v>0</v>
      </c>
      <c r="M74" s="47">
        <v>0</v>
      </c>
      <c r="N74" s="47">
        <v>0</v>
      </c>
      <c r="O74" s="47">
        <f t="shared" si="4"/>
        <v>0</v>
      </c>
      <c r="P74" s="47">
        <v>1800</v>
      </c>
      <c r="Q74" s="47">
        <v>0</v>
      </c>
      <c r="R74" s="47">
        <f t="shared" si="5"/>
        <v>1800</v>
      </c>
      <c r="S74" s="47">
        <f t="shared" si="6"/>
        <v>0</v>
      </c>
      <c r="T74" s="47" t="e">
        <f t="shared" si="7"/>
        <v>#DIV/0!</v>
      </c>
      <c r="U74" s="48">
        <v>0</v>
      </c>
      <c r="V74" s="48">
        <v>0</v>
      </c>
      <c r="W74" s="48">
        <v>0</v>
      </c>
      <c r="X74" s="48">
        <f t="shared" si="8"/>
        <v>0</v>
      </c>
      <c r="Y74" s="48">
        <v>910</v>
      </c>
      <c r="Z74" s="48">
        <v>0</v>
      </c>
      <c r="AA74" s="48">
        <f t="shared" si="9"/>
        <v>910</v>
      </c>
      <c r="AB74" s="48">
        <f t="shared" si="10"/>
        <v>0</v>
      </c>
      <c r="AC74" s="48" t="e">
        <f t="shared" si="11"/>
        <v>#DIV/0!</v>
      </c>
      <c r="AD74" s="49">
        <v>0</v>
      </c>
      <c r="AE74" s="49">
        <v>0</v>
      </c>
      <c r="AF74" s="49">
        <v>0</v>
      </c>
      <c r="AG74" s="49">
        <f t="shared" si="12"/>
        <v>0</v>
      </c>
      <c r="AH74" s="49">
        <v>1200</v>
      </c>
      <c r="AI74" s="49">
        <v>0</v>
      </c>
      <c r="AJ74" s="49">
        <f t="shared" si="13"/>
        <v>1200</v>
      </c>
      <c r="AK74" s="49">
        <f t="shared" si="14"/>
        <v>0</v>
      </c>
      <c r="AL74" s="49" t="e">
        <f t="shared" si="15"/>
        <v>#DIV/0!</v>
      </c>
      <c r="AM74" s="50">
        <v>0</v>
      </c>
      <c r="AN74" s="50">
        <v>0</v>
      </c>
      <c r="AO74" s="50">
        <v>0</v>
      </c>
      <c r="AP74" s="50">
        <f t="shared" si="16"/>
        <v>0</v>
      </c>
      <c r="AQ74" s="50">
        <v>600</v>
      </c>
      <c r="AR74" s="50">
        <v>0</v>
      </c>
      <c r="AS74" s="50">
        <f t="shared" si="17"/>
        <v>600</v>
      </c>
      <c r="AT74" s="50">
        <f t="shared" si="18"/>
        <v>0</v>
      </c>
      <c r="AU74" s="50" t="e">
        <f t="shared" si="19"/>
        <v>#DIV/0!</v>
      </c>
      <c r="AV74" s="51">
        <v>0</v>
      </c>
      <c r="AW74" s="51">
        <v>0</v>
      </c>
      <c r="AX74" s="51">
        <v>0</v>
      </c>
      <c r="AY74" s="51">
        <f t="shared" si="20"/>
        <v>0</v>
      </c>
      <c r="AZ74" s="51">
        <v>1500</v>
      </c>
      <c r="BA74" s="51">
        <v>0</v>
      </c>
      <c r="BB74" s="51">
        <f t="shared" si="21"/>
        <v>1500</v>
      </c>
      <c r="BC74" s="51">
        <f t="shared" si="22"/>
        <v>0</v>
      </c>
      <c r="BD74" s="51" t="e">
        <f t="shared" si="23"/>
        <v>#DIV/0!</v>
      </c>
      <c r="BE74" s="52">
        <v>0</v>
      </c>
      <c r="BF74" s="52">
        <v>0</v>
      </c>
      <c r="BG74" s="52">
        <v>0</v>
      </c>
      <c r="BH74" s="52">
        <f t="shared" si="24"/>
        <v>0</v>
      </c>
      <c r="BI74" s="52">
        <v>750</v>
      </c>
      <c r="BJ74" s="52">
        <v>0</v>
      </c>
      <c r="BK74" s="52">
        <f t="shared" si="25"/>
        <v>750</v>
      </c>
      <c r="BL74" s="52">
        <f t="shared" si="26"/>
        <v>0</v>
      </c>
      <c r="BM74" s="52" t="e">
        <f t="shared" si="27"/>
        <v>#DIV/0!</v>
      </c>
      <c r="BN74" s="53">
        <v>0</v>
      </c>
      <c r="BO74" s="53">
        <v>0</v>
      </c>
      <c r="BP74" s="53">
        <v>0</v>
      </c>
      <c r="BQ74" s="53">
        <f t="shared" si="28"/>
        <v>0</v>
      </c>
      <c r="BR74" s="53">
        <v>2450</v>
      </c>
      <c r="BS74" s="53">
        <v>0</v>
      </c>
      <c r="BT74" s="53">
        <f t="shared" si="29"/>
        <v>2450</v>
      </c>
      <c r="BU74" s="53">
        <f t="shared" si="30"/>
        <v>0</v>
      </c>
      <c r="BV74" s="53" t="e">
        <f t="shared" si="31"/>
        <v>#DIV/0!</v>
      </c>
      <c r="BW74" s="54">
        <v>0</v>
      </c>
      <c r="BX74" s="54">
        <v>0</v>
      </c>
      <c r="BY74" s="54">
        <v>0</v>
      </c>
      <c r="BZ74" s="54">
        <f t="shared" si="32"/>
        <v>0</v>
      </c>
      <c r="CA74" s="54">
        <v>750</v>
      </c>
      <c r="CB74" s="54">
        <v>0</v>
      </c>
      <c r="CC74" s="54">
        <f t="shared" si="33"/>
        <v>750</v>
      </c>
      <c r="CD74" s="54">
        <f t="shared" si="34"/>
        <v>0</v>
      </c>
      <c r="CE74" s="54" t="e">
        <f t="shared" si="35"/>
        <v>#DIV/0!</v>
      </c>
      <c r="CF74" s="55">
        <v>0</v>
      </c>
      <c r="CG74" s="55">
        <v>0</v>
      </c>
      <c r="CH74" s="55">
        <v>0</v>
      </c>
      <c r="CI74" s="55">
        <f t="shared" si="36"/>
        <v>0</v>
      </c>
      <c r="CJ74" s="55">
        <v>730</v>
      </c>
      <c r="CK74" s="55">
        <v>0</v>
      </c>
      <c r="CL74" s="55">
        <f t="shared" si="37"/>
        <v>730</v>
      </c>
      <c r="CM74" s="55">
        <f t="shared" si="38"/>
        <v>0</v>
      </c>
      <c r="CN74" s="55" t="e">
        <f t="shared" si="39"/>
        <v>#DIV/0!</v>
      </c>
      <c r="CO74" s="56">
        <v>0</v>
      </c>
      <c r="CP74" s="56">
        <v>0</v>
      </c>
      <c r="CQ74" s="56">
        <v>0</v>
      </c>
      <c r="CR74" s="56">
        <f t="shared" si="40"/>
        <v>0</v>
      </c>
      <c r="CS74" s="56">
        <v>730</v>
      </c>
      <c r="CT74" s="56">
        <v>0</v>
      </c>
      <c r="CU74" s="56">
        <f t="shared" si="41"/>
        <v>730</v>
      </c>
      <c r="CV74" s="56">
        <f t="shared" si="42"/>
        <v>0</v>
      </c>
      <c r="CW74" s="56" t="e">
        <f t="shared" si="43"/>
        <v>#DIV/0!</v>
      </c>
      <c r="CX74" s="57">
        <v>0</v>
      </c>
      <c r="CY74" s="57">
        <v>0</v>
      </c>
      <c r="CZ74" s="57">
        <v>0</v>
      </c>
      <c r="DA74" s="57">
        <f t="shared" si="44"/>
        <v>0</v>
      </c>
      <c r="DB74" s="57">
        <v>600</v>
      </c>
      <c r="DC74" s="57">
        <v>0</v>
      </c>
      <c r="DD74" s="57">
        <f t="shared" si="45"/>
        <v>600</v>
      </c>
      <c r="DE74" s="57">
        <f t="shared" si="46"/>
        <v>0</v>
      </c>
      <c r="DF74" s="57" t="e">
        <f t="shared" si="47"/>
        <v>#DIV/0!</v>
      </c>
    </row>
    <row r="75" spans="1:110" ht="14.25" customHeight="1">
      <c r="A75" s="59"/>
      <c r="B75" s="29"/>
      <c r="C75" s="45">
        <v>0</v>
      </c>
      <c r="D75" s="45">
        <v>0</v>
      </c>
      <c r="E75" s="45">
        <v>0</v>
      </c>
      <c r="F75" s="45">
        <f t="shared" si="0"/>
        <v>0</v>
      </c>
      <c r="G75" s="45">
        <v>900</v>
      </c>
      <c r="H75" s="45">
        <v>0</v>
      </c>
      <c r="I75" s="45">
        <f t="shared" si="1"/>
        <v>900</v>
      </c>
      <c r="J75" s="45">
        <f t="shared" si="2"/>
        <v>0</v>
      </c>
      <c r="K75" s="45" t="e">
        <f t="shared" si="3"/>
        <v>#DIV/0!</v>
      </c>
      <c r="L75" s="47">
        <v>0</v>
      </c>
      <c r="M75" s="47">
        <v>0</v>
      </c>
      <c r="N75" s="47">
        <v>0</v>
      </c>
      <c r="O75" s="47">
        <f t="shared" si="4"/>
        <v>0</v>
      </c>
      <c r="P75" s="47">
        <v>1800</v>
      </c>
      <c r="Q75" s="47">
        <v>0</v>
      </c>
      <c r="R75" s="47">
        <f t="shared" si="5"/>
        <v>1800</v>
      </c>
      <c r="S75" s="47">
        <f t="shared" si="6"/>
        <v>0</v>
      </c>
      <c r="T75" s="47" t="e">
        <f t="shared" si="7"/>
        <v>#DIV/0!</v>
      </c>
      <c r="U75" s="48">
        <v>0</v>
      </c>
      <c r="V75" s="48">
        <v>0</v>
      </c>
      <c r="W75" s="48">
        <v>0</v>
      </c>
      <c r="X75" s="48">
        <f t="shared" si="8"/>
        <v>0</v>
      </c>
      <c r="Y75" s="48">
        <v>910</v>
      </c>
      <c r="Z75" s="48">
        <v>0</v>
      </c>
      <c r="AA75" s="48">
        <f t="shared" si="9"/>
        <v>910</v>
      </c>
      <c r="AB75" s="48">
        <f t="shared" si="10"/>
        <v>0</v>
      </c>
      <c r="AC75" s="48" t="e">
        <f t="shared" si="11"/>
        <v>#DIV/0!</v>
      </c>
      <c r="AD75" s="49">
        <v>0</v>
      </c>
      <c r="AE75" s="49">
        <v>0</v>
      </c>
      <c r="AF75" s="49">
        <v>0</v>
      </c>
      <c r="AG75" s="49">
        <f t="shared" si="12"/>
        <v>0</v>
      </c>
      <c r="AH75" s="49">
        <v>1200</v>
      </c>
      <c r="AI75" s="49">
        <v>0</v>
      </c>
      <c r="AJ75" s="49">
        <f t="shared" si="13"/>
        <v>1200</v>
      </c>
      <c r="AK75" s="49">
        <f t="shared" si="14"/>
        <v>0</v>
      </c>
      <c r="AL75" s="49" t="e">
        <f t="shared" si="15"/>
        <v>#DIV/0!</v>
      </c>
      <c r="AM75" s="50">
        <v>0</v>
      </c>
      <c r="AN75" s="50">
        <v>0</v>
      </c>
      <c r="AO75" s="50">
        <v>0</v>
      </c>
      <c r="AP75" s="50">
        <f t="shared" si="16"/>
        <v>0</v>
      </c>
      <c r="AQ75" s="50">
        <v>600</v>
      </c>
      <c r="AR75" s="50">
        <v>0</v>
      </c>
      <c r="AS75" s="50">
        <f t="shared" si="17"/>
        <v>600</v>
      </c>
      <c r="AT75" s="50">
        <f t="shared" si="18"/>
        <v>0</v>
      </c>
      <c r="AU75" s="50" t="e">
        <f t="shared" si="19"/>
        <v>#DIV/0!</v>
      </c>
      <c r="AV75" s="51">
        <v>0</v>
      </c>
      <c r="AW75" s="51">
        <v>0</v>
      </c>
      <c r="AX75" s="51">
        <v>0</v>
      </c>
      <c r="AY75" s="51">
        <f t="shared" si="20"/>
        <v>0</v>
      </c>
      <c r="AZ75" s="51">
        <v>1500</v>
      </c>
      <c r="BA75" s="51">
        <v>0</v>
      </c>
      <c r="BB75" s="51">
        <f t="shared" si="21"/>
        <v>1500</v>
      </c>
      <c r="BC75" s="51">
        <f t="shared" si="22"/>
        <v>0</v>
      </c>
      <c r="BD75" s="51" t="e">
        <f t="shared" si="23"/>
        <v>#DIV/0!</v>
      </c>
      <c r="BE75" s="52">
        <v>0</v>
      </c>
      <c r="BF75" s="52">
        <v>0</v>
      </c>
      <c r="BG75" s="52">
        <v>0</v>
      </c>
      <c r="BH75" s="52">
        <f t="shared" si="24"/>
        <v>0</v>
      </c>
      <c r="BI75" s="52">
        <v>750</v>
      </c>
      <c r="BJ75" s="52">
        <v>0</v>
      </c>
      <c r="BK75" s="52">
        <f t="shared" si="25"/>
        <v>750</v>
      </c>
      <c r="BL75" s="52">
        <f t="shared" si="26"/>
        <v>0</v>
      </c>
      <c r="BM75" s="52" t="e">
        <f t="shared" si="27"/>
        <v>#DIV/0!</v>
      </c>
      <c r="BN75" s="53">
        <v>0</v>
      </c>
      <c r="BO75" s="53">
        <v>0</v>
      </c>
      <c r="BP75" s="53">
        <v>0</v>
      </c>
      <c r="BQ75" s="53">
        <f t="shared" si="28"/>
        <v>0</v>
      </c>
      <c r="BR75" s="53">
        <v>2450</v>
      </c>
      <c r="BS75" s="53">
        <v>0</v>
      </c>
      <c r="BT75" s="53">
        <f t="shared" si="29"/>
        <v>2450</v>
      </c>
      <c r="BU75" s="53">
        <f t="shared" si="30"/>
        <v>0</v>
      </c>
      <c r="BV75" s="53" t="e">
        <f t="shared" si="31"/>
        <v>#DIV/0!</v>
      </c>
      <c r="BW75" s="54">
        <v>0</v>
      </c>
      <c r="BX75" s="54">
        <v>0</v>
      </c>
      <c r="BY75" s="54">
        <v>0</v>
      </c>
      <c r="BZ75" s="54">
        <f t="shared" si="32"/>
        <v>0</v>
      </c>
      <c r="CA75" s="54">
        <v>750</v>
      </c>
      <c r="CB75" s="54">
        <v>0</v>
      </c>
      <c r="CC75" s="54">
        <f t="shared" si="33"/>
        <v>750</v>
      </c>
      <c r="CD75" s="54">
        <f t="shared" si="34"/>
        <v>0</v>
      </c>
      <c r="CE75" s="54" t="e">
        <f t="shared" si="35"/>
        <v>#DIV/0!</v>
      </c>
      <c r="CF75" s="55">
        <v>0</v>
      </c>
      <c r="CG75" s="55">
        <v>0</v>
      </c>
      <c r="CH75" s="55">
        <v>0</v>
      </c>
      <c r="CI75" s="55">
        <f t="shared" si="36"/>
        <v>0</v>
      </c>
      <c r="CJ75" s="55">
        <v>730</v>
      </c>
      <c r="CK75" s="55">
        <v>0</v>
      </c>
      <c r="CL75" s="55">
        <f t="shared" si="37"/>
        <v>730</v>
      </c>
      <c r="CM75" s="55">
        <f t="shared" si="38"/>
        <v>0</v>
      </c>
      <c r="CN75" s="55" t="e">
        <f t="shared" si="39"/>
        <v>#DIV/0!</v>
      </c>
      <c r="CO75" s="56">
        <v>0</v>
      </c>
      <c r="CP75" s="56">
        <v>0</v>
      </c>
      <c r="CQ75" s="56">
        <v>0</v>
      </c>
      <c r="CR75" s="56">
        <f t="shared" si="40"/>
        <v>0</v>
      </c>
      <c r="CS75" s="56">
        <v>730</v>
      </c>
      <c r="CT75" s="56">
        <v>0</v>
      </c>
      <c r="CU75" s="56">
        <f t="shared" si="41"/>
        <v>730</v>
      </c>
      <c r="CV75" s="56">
        <f t="shared" si="42"/>
        <v>0</v>
      </c>
      <c r="CW75" s="56" t="e">
        <f t="shared" si="43"/>
        <v>#DIV/0!</v>
      </c>
      <c r="CX75" s="57">
        <v>0</v>
      </c>
      <c r="CY75" s="57">
        <v>0</v>
      </c>
      <c r="CZ75" s="57">
        <v>0</v>
      </c>
      <c r="DA75" s="57">
        <f t="shared" si="44"/>
        <v>0</v>
      </c>
      <c r="DB75" s="57">
        <v>600</v>
      </c>
      <c r="DC75" s="57">
        <v>0</v>
      </c>
      <c r="DD75" s="57">
        <f t="shared" si="45"/>
        <v>600</v>
      </c>
      <c r="DE75" s="57">
        <f t="shared" si="46"/>
        <v>0</v>
      </c>
      <c r="DF75" s="57" t="e">
        <f t="shared" si="47"/>
        <v>#DIV/0!</v>
      </c>
    </row>
    <row r="76" spans="1:110" ht="14.25" customHeight="1">
      <c r="A76" s="59"/>
      <c r="B76" s="29"/>
      <c r="C76" s="45">
        <v>0</v>
      </c>
      <c r="D76" s="45">
        <v>0</v>
      </c>
      <c r="E76" s="45">
        <v>0</v>
      </c>
      <c r="F76" s="45">
        <f t="shared" si="0"/>
        <v>0</v>
      </c>
      <c r="G76" s="45">
        <v>900</v>
      </c>
      <c r="H76" s="45">
        <v>0</v>
      </c>
      <c r="I76" s="45">
        <f t="shared" si="1"/>
        <v>900</v>
      </c>
      <c r="J76" s="45">
        <f t="shared" si="2"/>
        <v>0</v>
      </c>
      <c r="K76" s="45" t="e">
        <f t="shared" si="3"/>
        <v>#DIV/0!</v>
      </c>
      <c r="L76" s="47">
        <v>0</v>
      </c>
      <c r="M76" s="47">
        <v>0</v>
      </c>
      <c r="N76" s="47">
        <v>0</v>
      </c>
      <c r="O76" s="47">
        <f t="shared" si="4"/>
        <v>0</v>
      </c>
      <c r="P76" s="47">
        <v>1800</v>
      </c>
      <c r="Q76" s="47">
        <v>0</v>
      </c>
      <c r="R76" s="47">
        <f t="shared" si="5"/>
        <v>1800</v>
      </c>
      <c r="S76" s="47">
        <f t="shared" si="6"/>
        <v>0</v>
      </c>
      <c r="T76" s="47" t="e">
        <f t="shared" si="7"/>
        <v>#DIV/0!</v>
      </c>
      <c r="U76" s="48">
        <v>0</v>
      </c>
      <c r="V76" s="48">
        <v>0</v>
      </c>
      <c r="W76" s="48">
        <v>0</v>
      </c>
      <c r="X76" s="48">
        <f t="shared" si="8"/>
        <v>0</v>
      </c>
      <c r="Y76" s="48">
        <v>910</v>
      </c>
      <c r="Z76" s="48">
        <v>0</v>
      </c>
      <c r="AA76" s="48">
        <f t="shared" si="9"/>
        <v>910</v>
      </c>
      <c r="AB76" s="48">
        <f t="shared" si="10"/>
        <v>0</v>
      </c>
      <c r="AC76" s="48" t="e">
        <f t="shared" si="11"/>
        <v>#DIV/0!</v>
      </c>
      <c r="AD76" s="49">
        <v>0</v>
      </c>
      <c r="AE76" s="49">
        <v>0</v>
      </c>
      <c r="AF76" s="49">
        <v>0</v>
      </c>
      <c r="AG76" s="49">
        <f t="shared" si="12"/>
        <v>0</v>
      </c>
      <c r="AH76" s="49">
        <v>1200</v>
      </c>
      <c r="AI76" s="49">
        <v>0</v>
      </c>
      <c r="AJ76" s="49">
        <f t="shared" si="13"/>
        <v>1200</v>
      </c>
      <c r="AK76" s="49">
        <f t="shared" si="14"/>
        <v>0</v>
      </c>
      <c r="AL76" s="49" t="e">
        <f t="shared" si="15"/>
        <v>#DIV/0!</v>
      </c>
      <c r="AM76" s="50">
        <v>0</v>
      </c>
      <c r="AN76" s="50">
        <v>0</v>
      </c>
      <c r="AO76" s="50">
        <v>0</v>
      </c>
      <c r="AP76" s="50">
        <f t="shared" si="16"/>
        <v>0</v>
      </c>
      <c r="AQ76" s="50">
        <v>600</v>
      </c>
      <c r="AR76" s="50">
        <v>0</v>
      </c>
      <c r="AS76" s="50">
        <f t="shared" si="17"/>
        <v>600</v>
      </c>
      <c r="AT76" s="50">
        <f t="shared" si="18"/>
        <v>0</v>
      </c>
      <c r="AU76" s="50" t="e">
        <f t="shared" si="19"/>
        <v>#DIV/0!</v>
      </c>
      <c r="AV76" s="51">
        <v>0</v>
      </c>
      <c r="AW76" s="51">
        <v>0</v>
      </c>
      <c r="AX76" s="51">
        <v>0</v>
      </c>
      <c r="AY76" s="51">
        <f t="shared" si="20"/>
        <v>0</v>
      </c>
      <c r="AZ76" s="51">
        <v>1500</v>
      </c>
      <c r="BA76" s="51">
        <v>0</v>
      </c>
      <c r="BB76" s="51">
        <f t="shared" si="21"/>
        <v>1500</v>
      </c>
      <c r="BC76" s="51">
        <f t="shared" si="22"/>
        <v>0</v>
      </c>
      <c r="BD76" s="51" t="e">
        <f t="shared" si="23"/>
        <v>#DIV/0!</v>
      </c>
      <c r="BE76" s="52">
        <v>0</v>
      </c>
      <c r="BF76" s="52">
        <v>0</v>
      </c>
      <c r="BG76" s="52">
        <v>0</v>
      </c>
      <c r="BH76" s="52">
        <f t="shared" si="24"/>
        <v>0</v>
      </c>
      <c r="BI76" s="52">
        <v>750</v>
      </c>
      <c r="BJ76" s="52">
        <v>0</v>
      </c>
      <c r="BK76" s="52">
        <f t="shared" si="25"/>
        <v>750</v>
      </c>
      <c r="BL76" s="52">
        <f t="shared" si="26"/>
        <v>0</v>
      </c>
      <c r="BM76" s="52" t="e">
        <f t="shared" si="27"/>
        <v>#DIV/0!</v>
      </c>
      <c r="BN76" s="53">
        <v>0</v>
      </c>
      <c r="BO76" s="53">
        <v>0</v>
      </c>
      <c r="BP76" s="53">
        <v>0</v>
      </c>
      <c r="BQ76" s="53">
        <f t="shared" si="28"/>
        <v>0</v>
      </c>
      <c r="BR76" s="53">
        <v>2450</v>
      </c>
      <c r="BS76" s="53">
        <v>0</v>
      </c>
      <c r="BT76" s="53">
        <f t="shared" si="29"/>
        <v>2450</v>
      </c>
      <c r="BU76" s="53">
        <f t="shared" si="30"/>
        <v>0</v>
      </c>
      <c r="BV76" s="53" t="e">
        <f t="shared" si="31"/>
        <v>#DIV/0!</v>
      </c>
      <c r="BW76" s="54">
        <v>0</v>
      </c>
      <c r="BX76" s="54">
        <v>0</v>
      </c>
      <c r="BY76" s="54">
        <v>0</v>
      </c>
      <c r="BZ76" s="54">
        <f t="shared" si="32"/>
        <v>0</v>
      </c>
      <c r="CA76" s="54">
        <v>750</v>
      </c>
      <c r="CB76" s="54">
        <v>0</v>
      </c>
      <c r="CC76" s="54">
        <f t="shared" si="33"/>
        <v>750</v>
      </c>
      <c r="CD76" s="54">
        <f t="shared" si="34"/>
        <v>0</v>
      </c>
      <c r="CE76" s="54" t="e">
        <f t="shared" si="35"/>
        <v>#DIV/0!</v>
      </c>
      <c r="CF76" s="55">
        <v>0</v>
      </c>
      <c r="CG76" s="55">
        <v>0</v>
      </c>
      <c r="CH76" s="55">
        <v>0</v>
      </c>
      <c r="CI76" s="55">
        <f t="shared" si="36"/>
        <v>0</v>
      </c>
      <c r="CJ76" s="55">
        <v>730</v>
      </c>
      <c r="CK76" s="55">
        <v>0</v>
      </c>
      <c r="CL76" s="55">
        <f t="shared" si="37"/>
        <v>730</v>
      </c>
      <c r="CM76" s="55">
        <f t="shared" si="38"/>
        <v>0</v>
      </c>
      <c r="CN76" s="55" t="e">
        <f t="shared" si="39"/>
        <v>#DIV/0!</v>
      </c>
      <c r="CO76" s="56">
        <v>0</v>
      </c>
      <c r="CP76" s="56">
        <v>0</v>
      </c>
      <c r="CQ76" s="56">
        <v>0</v>
      </c>
      <c r="CR76" s="56">
        <f t="shared" si="40"/>
        <v>0</v>
      </c>
      <c r="CS76" s="56">
        <v>730</v>
      </c>
      <c r="CT76" s="56">
        <v>0</v>
      </c>
      <c r="CU76" s="56">
        <f t="shared" si="41"/>
        <v>730</v>
      </c>
      <c r="CV76" s="56">
        <f t="shared" si="42"/>
        <v>0</v>
      </c>
      <c r="CW76" s="56" t="e">
        <f t="shared" si="43"/>
        <v>#DIV/0!</v>
      </c>
      <c r="CX76" s="57">
        <v>0</v>
      </c>
      <c r="CY76" s="57">
        <v>0</v>
      </c>
      <c r="CZ76" s="57">
        <v>0</v>
      </c>
      <c r="DA76" s="57">
        <f t="shared" si="44"/>
        <v>0</v>
      </c>
      <c r="DB76" s="57">
        <v>600</v>
      </c>
      <c r="DC76" s="57">
        <v>0</v>
      </c>
      <c r="DD76" s="57">
        <f t="shared" si="45"/>
        <v>600</v>
      </c>
      <c r="DE76" s="57">
        <f t="shared" si="46"/>
        <v>0</v>
      </c>
      <c r="DF76" s="57" t="e">
        <f t="shared" si="47"/>
        <v>#DIV/0!</v>
      </c>
    </row>
    <row r="77" spans="1:110" ht="14.25" customHeight="1">
      <c r="A77" s="59"/>
      <c r="B77" s="29"/>
      <c r="C77" s="45">
        <v>0</v>
      </c>
      <c r="D77" s="45">
        <v>0</v>
      </c>
      <c r="E77" s="45">
        <v>0</v>
      </c>
      <c r="F77" s="45">
        <f t="shared" si="0"/>
        <v>0</v>
      </c>
      <c r="G77" s="45">
        <v>900</v>
      </c>
      <c r="H77" s="45">
        <v>0</v>
      </c>
      <c r="I77" s="45">
        <f t="shared" si="1"/>
        <v>900</v>
      </c>
      <c r="J77" s="45">
        <f t="shared" si="2"/>
        <v>0</v>
      </c>
      <c r="K77" s="45" t="e">
        <f t="shared" si="3"/>
        <v>#DIV/0!</v>
      </c>
      <c r="L77" s="47">
        <v>0</v>
      </c>
      <c r="M77" s="47">
        <v>0</v>
      </c>
      <c r="N77" s="47">
        <v>0</v>
      </c>
      <c r="O77" s="47">
        <f t="shared" si="4"/>
        <v>0</v>
      </c>
      <c r="P77" s="47">
        <v>1800</v>
      </c>
      <c r="Q77" s="47">
        <v>0</v>
      </c>
      <c r="R77" s="47">
        <f t="shared" si="5"/>
        <v>1800</v>
      </c>
      <c r="S77" s="47">
        <f t="shared" si="6"/>
        <v>0</v>
      </c>
      <c r="T77" s="47" t="e">
        <f t="shared" si="7"/>
        <v>#DIV/0!</v>
      </c>
      <c r="U77" s="48">
        <v>0</v>
      </c>
      <c r="V77" s="48">
        <v>0</v>
      </c>
      <c r="W77" s="48">
        <v>0</v>
      </c>
      <c r="X77" s="48">
        <f t="shared" si="8"/>
        <v>0</v>
      </c>
      <c r="Y77" s="48">
        <v>910</v>
      </c>
      <c r="Z77" s="48">
        <v>0</v>
      </c>
      <c r="AA77" s="48">
        <f t="shared" si="9"/>
        <v>910</v>
      </c>
      <c r="AB77" s="48">
        <f t="shared" si="10"/>
        <v>0</v>
      </c>
      <c r="AC77" s="48" t="e">
        <f t="shared" si="11"/>
        <v>#DIV/0!</v>
      </c>
      <c r="AD77" s="49">
        <v>0</v>
      </c>
      <c r="AE77" s="49">
        <v>0</v>
      </c>
      <c r="AF77" s="49">
        <v>0</v>
      </c>
      <c r="AG77" s="49">
        <f t="shared" si="12"/>
        <v>0</v>
      </c>
      <c r="AH77" s="49">
        <v>1200</v>
      </c>
      <c r="AI77" s="49">
        <v>0</v>
      </c>
      <c r="AJ77" s="49">
        <f t="shared" si="13"/>
        <v>1200</v>
      </c>
      <c r="AK77" s="49">
        <f t="shared" si="14"/>
        <v>0</v>
      </c>
      <c r="AL77" s="49" t="e">
        <f t="shared" si="15"/>
        <v>#DIV/0!</v>
      </c>
      <c r="AM77" s="50">
        <v>0</v>
      </c>
      <c r="AN77" s="50">
        <v>0</v>
      </c>
      <c r="AO77" s="50">
        <v>0</v>
      </c>
      <c r="AP77" s="50">
        <f t="shared" si="16"/>
        <v>0</v>
      </c>
      <c r="AQ77" s="50">
        <v>600</v>
      </c>
      <c r="AR77" s="50">
        <v>0</v>
      </c>
      <c r="AS77" s="50">
        <f t="shared" si="17"/>
        <v>600</v>
      </c>
      <c r="AT77" s="50">
        <f t="shared" si="18"/>
        <v>0</v>
      </c>
      <c r="AU77" s="50" t="e">
        <f t="shared" si="19"/>
        <v>#DIV/0!</v>
      </c>
      <c r="AV77" s="51">
        <v>0</v>
      </c>
      <c r="AW77" s="51">
        <v>0</v>
      </c>
      <c r="AX77" s="51">
        <v>0</v>
      </c>
      <c r="AY77" s="51">
        <f t="shared" si="20"/>
        <v>0</v>
      </c>
      <c r="AZ77" s="51">
        <v>1500</v>
      </c>
      <c r="BA77" s="51">
        <v>0</v>
      </c>
      <c r="BB77" s="51">
        <f t="shared" si="21"/>
        <v>1500</v>
      </c>
      <c r="BC77" s="51">
        <f t="shared" si="22"/>
        <v>0</v>
      </c>
      <c r="BD77" s="51" t="e">
        <f t="shared" si="23"/>
        <v>#DIV/0!</v>
      </c>
      <c r="BE77" s="52">
        <v>0</v>
      </c>
      <c r="BF77" s="52">
        <v>0</v>
      </c>
      <c r="BG77" s="52">
        <v>0</v>
      </c>
      <c r="BH77" s="52">
        <f t="shared" si="24"/>
        <v>0</v>
      </c>
      <c r="BI77" s="52">
        <v>750</v>
      </c>
      <c r="BJ77" s="52">
        <v>0</v>
      </c>
      <c r="BK77" s="52">
        <f t="shared" si="25"/>
        <v>750</v>
      </c>
      <c r="BL77" s="52">
        <f t="shared" si="26"/>
        <v>0</v>
      </c>
      <c r="BM77" s="52" t="e">
        <f t="shared" si="27"/>
        <v>#DIV/0!</v>
      </c>
      <c r="BN77" s="53">
        <v>0</v>
      </c>
      <c r="BO77" s="53">
        <v>0</v>
      </c>
      <c r="BP77" s="53">
        <v>0</v>
      </c>
      <c r="BQ77" s="53">
        <f t="shared" si="28"/>
        <v>0</v>
      </c>
      <c r="BR77" s="53">
        <v>2450</v>
      </c>
      <c r="BS77" s="53">
        <v>0</v>
      </c>
      <c r="BT77" s="53">
        <f t="shared" si="29"/>
        <v>2450</v>
      </c>
      <c r="BU77" s="53">
        <f t="shared" si="30"/>
        <v>0</v>
      </c>
      <c r="BV77" s="53" t="e">
        <f t="shared" si="31"/>
        <v>#DIV/0!</v>
      </c>
      <c r="BW77" s="54">
        <v>0</v>
      </c>
      <c r="BX77" s="54">
        <v>0</v>
      </c>
      <c r="BY77" s="54">
        <v>0</v>
      </c>
      <c r="BZ77" s="54">
        <f t="shared" si="32"/>
        <v>0</v>
      </c>
      <c r="CA77" s="54">
        <v>750</v>
      </c>
      <c r="CB77" s="54">
        <v>0</v>
      </c>
      <c r="CC77" s="54">
        <f t="shared" si="33"/>
        <v>750</v>
      </c>
      <c r="CD77" s="54">
        <f t="shared" si="34"/>
        <v>0</v>
      </c>
      <c r="CE77" s="54" t="e">
        <f t="shared" si="35"/>
        <v>#DIV/0!</v>
      </c>
      <c r="CF77" s="55">
        <v>0</v>
      </c>
      <c r="CG77" s="55">
        <v>0</v>
      </c>
      <c r="CH77" s="55">
        <v>0</v>
      </c>
      <c r="CI77" s="55">
        <f t="shared" si="36"/>
        <v>0</v>
      </c>
      <c r="CJ77" s="55">
        <v>730</v>
      </c>
      <c r="CK77" s="55">
        <v>0</v>
      </c>
      <c r="CL77" s="55">
        <f t="shared" si="37"/>
        <v>730</v>
      </c>
      <c r="CM77" s="55">
        <f t="shared" si="38"/>
        <v>0</v>
      </c>
      <c r="CN77" s="55" t="e">
        <f t="shared" si="39"/>
        <v>#DIV/0!</v>
      </c>
      <c r="CO77" s="56">
        <v>0</v>
      </c>
      <c r="CP77" s="56">
        <v>0</v>
      </c>
      <c r="CQ77" s="56">
        <v>0</v>
      </c>
      <c r="CR77" s="56">
        <f t="shared" si="40"/>
        <v>0</v>
      </c>
      <c r="CS77" s="56">
        <v>730</v>
      </c>
      <c r="CT77" s="56">
        <v>0</v>
      </c>
      <c r="CU77" s="56">
        <f t="shared" si="41"/>
        <v>730</v>
      </c>
      <c r="CV77" s="56">
        <f t="shared" si="42"/>
        <v>0</v>
      </c>
      <c r="CW77" s="56" t="e">
        <f t="shared" si="43"/>
        <v>#DIV/0!</v>
      </c>
      <c r="CX77" s="57">
        <v>0</v>
      </c>
      <c r="CY77" s="57">
        <v>0</v>
      </c>
      <c r="CZ77" s="57">
        <v>0</v>
      </c>
      <c r="DA77" s="57">
        <f t="shared" si="44"/>
        <v>0</v>
      </c>
      <c r="DB77" s="57">
        <v>600</v>
      </c>
      <c r="DC77" s="57">
        <v>0</v>
      </c>
      <c r="DD77" s="57">
        <f t="shared" si="45"/>
        <v>600</v>
      </c>
      <c r="DE77" s="57">
        <f t="shared" si="46"/>
        <v>0</v>
      </c>
      <c r="DF77" s="57" t="e">
        <f t="shared" si="47"/>
        <v>#DIV/0!</v>
      </c>
    </row>
    <row r="78" spans="1:110" ht="14.25" customHeight="1">
      <c r="A78" s="59"/>
      <c r="B78" s="29"/>
      <c r="C78" s="45">
        <v>0</v>
      </c>
      <c r="D78" s="45">
        <v>18</v>
      </c>
      <c r="E78" s="45">
        <v>0</v>
      </c>
      <c r="F78" s="45">
        <f t="shared" si="0"/>
        <v>18</v>
      </c>
      <c r="G78" s="45">
        <v>900</v>
      </c>
      <c r="H78" s="45">
        <v>100</v>
      </c>
      <c r="I78" s="45">
        <f t="shared" si="1"/>
        <v>800</v>
      </c>
      <c r="J78" s="45">
        <f t="shared" si="2"/>
        <v>14400</v>
      </c>
      <c r="K78" s="45">
        <f t="shared" si="3"/>
        <v>0</v>
      </c>
      <c r="L78" s="47">
        <v>0</v>
      </c>
      <c r="M78" s="47">
        <v>90</v>
      </c>
      <c r="N78" s="47">
        <v>4</v>
      </c>
      <c r="O78" s="47">
        <f t="shared" si="4"/>
        <v>86</v>
      </c>
      <c r="P78" s="47">
        <v>1800</v>
      </c>
      <c r="Q78" s="47">
        <v>200</v>
      </c>
      <c r="R78" s="47">
        <f t="shared" si="5"/>
        <v>1600</v>
      </c>
      <c r="S78" s="47">
        <f t="shared" si="6"/>
        <v>137600</v>
      </c>
      <c r="T78" s="47">
        <f t="shared" si="7"/>
        <v>4.4444444444444446</v>
      </c>
      <c r="U78" s="48">
        <v>0</v>
      </c>
      <c r="V78" s="48">
        <v>0</v>
      </c>
      <c r="W78" s="48">
        <v>0</v>
      </c>
      <c r="X78" s="48">
        <f t="shared" si="8"/>
        <v>0</v>
      </c>
      <c r="Y78" s="48">
        <v>910</v>
      </c>
      <c r="Z78" s="48">
        <v>0</v>
      </c>
      <c r="AA78" s="48">
        <f t="shared" si="9"/>
        <v>910</v>
      </c>
      <c r="AB78" s="48">
        <f t="shared" si="10"/>
        <v>0</v>
      </c>
      <c r="AC78" s="48" t="e">
        <f t="shared" si="11"/>
        <v>#DIV/0!</v>
      </c>
      <c r="AD78" s="49">
        <v>0</v>
      </c>
      <c r="AE78" s="49">
        <v>0</v>
      </c>
      <c r="AF78" s="49">
        <v>0</v>
      </c>
      <c r="AG78" s="49">
        <f t="shared" si="12"/>
        <v>0</v>
      </c>
      <c r="AH78" s="49">
        <v>1200</v>
      </c>
      <c r="AI78" s="49">
        <v>0</v>
      </c>
      <c r="AJ78" s="49">
        <f t="shared" si="13"/>
        <v>1200</v>
      </c>
      <c r="AK78" s="49">
        <f t="shared" si="14"/>
        <v>0</v>
      </c>
      <c r="AL78" s="49" t="e">
        <f t="shared" si="15"/>
        <v>#DIV/0!</v>
      </c>
      <c r="AM78" s="50">
        <v>0</v>
      </c>
      <c r="AN78" s="50">
        <v>0</v>
      </c>
      <c r="AO78" s="50">
        <v>0</v>
      </c>
      <c r="AP78" s="50">
        <f t="shared" si="16"/>
        <v>0</v>
      </c>
      <c r="AQ78" s="50">
        <v>600</v>
      </c>
      <c r="AR78" s="50">
        <v>0</v>
      </c>
      <c r="AS78" s="50">
        <f t="shared" si="17"/>
        <v>600</v>
      </c>
      <c r="AT78" s="50">
        <f t="shared" si="18"/>
        <v>0</v>
      </c>
      <c r="AU78" s="50" t="e">
        <f t="shared" si="19"/>
        <v>#DIV/0!</v>
      </c>
      <c r="AV78" s="51">
        <v>0</v>
      </c>
      <c r="AW78" s="51">
        <v>0</v>
      </c>
      <c r="AX78" s="51">
        <v>0</v>
      </c>
      <c r="AY78" s="51">
        <f t="shared" si="20"/>
        <v>0</v>
      </c>
      <c r="AZ78" s="51">
        <v>1500</v>
      </c>
      <c r="BA78" s="51">
        <v>0</v>
      </c>
      <c r="BB78" s="51">
        <f t="shared" si="21"/>
        <v>1500</v>
      </c>
      <c r="BC78" s="51">
        <f t="shared" si="22"/>
        <v>0</v>
      </c>
      <c r="BD78" s="51" t="e">
        <f t="shared" si="23"/>
        <v>#DIV/0!</v>
      </c>
      <c r="BE78" s="52">
        <v>0</v>
      </c>
      <c r="BF78" s="52">
        <v>0</v>
      </c>
      <c r="BG78" s="52">
        <v>0</v>
      </c>
      <c r="BH78" s="52">
        <f t="shared" si="24"/>
        <v>0</v>
      </c>
      <c r="BI78" s="52">
        <v>750</v>
      </c>
      <c r="BJ78" s="52">
        <v>0</v>
      </c>
      <c r="BK78" s="52">
        <f t="shared" si="25"/>
        <v>750</v>
      </c>
      <c r="BL78" s="52">
        <f t="shared" si="26"/>
        <v>0</v>
      </c>
      <c r="BM78" s="52" t="e">
        <f t="shared" si="27"/>
        <v>#DIV/0!</v>
      </c>
      <c r="BN78" s="53">
        <v>0</v>
      </c>
      <c r="BO78" s="53">
        <f>195+49</f>
        <v>244</v>
      </c>
      <c r="BP78" s="53">
        <v>49</v>
      </c>
      <c r="BQ78" s="53">
        <f t="shared" si="28"/>
        <v>195</v>
      </c>
      <c r="BR78" s="53">
        <v>2450</v>
      </c>
      <c r="BS78" s="53">
        <v>350</v>
      </c>
      <c r="BT78" s="53">
        <f t="shared" si="29"/>
        <v>2100</v>
      </c>
      <c r="BU78" s="53">
        <f t="shared" si="30"/>
        <v>409500</v>
      </c>
      <c r="BV78" s="53">
        <f t="shared" si="31"/>
        <v>20.081967213114755</v>
      </c>
      <c r="BW78" s="54">
        <v>0</v>
      </c>
      <c r="BX78" s="54">
        <v>40</v>
      </c>
      <c r="BY78" s="54">
        <v>0</v>
      </c>
      <c r="BZ78" s="54">
        <f t="shared" si="32"/>
        <v>40</v>
      </c>
      <c r="CA78" s="54">
        <v>750</v>
      </c>
      <c r="CB78" s="54">
        <v>80</v>
      </c>
      <c r="CC78" s="54">
        <f t="shared" si="33"/>
        <v>670</v>
      </c>
      <c r="CD78" s="54">
        <f t="shared" si="34"/>
        <v>26800</v>
      </c>
      <c r="CE78" s="54">
        <f t="shared" si="35"/>
        <v>0</v>
      </c>
      <c r="CF78" s="55">
        <v>0</v>
      </c>
      <c r="CG78" s="55">
        <v>0</v>
      </c>
      <c r="CH78" s="55">
        <v>0</v>
      </c>
      <c r="CI78" s="55">
        <f t="shared" si="36"/>
        <v>0</v>
      </c>
      <c r="CJ78" s="55">
        <v>730</v>
      </c>
      <c r="CK78" s="55">
        <v>0</v>
      </c>
      <c r="CL78" s="55">
        <f t="shared" si="37"/>
        <v>730</v>
      </c>
      <c r="CM78" s="55">
        <f t="shared" si="38"/>
        <v>0</v>
      </c>
      <c r="CN78" s="55" t="e">
        <f t="shared" si="39"/>
        <v>#DIV/0!</v>
      </c>
      <c r="CO78" s="56">
        <v>0</v>
      </c>
      <c r="CP78" s="56">
        <v>0</v>
      </c>
      <c r="CQ78" s="56">
        <v>0</v>
      </c>
      <c r="CR78" s="56">
        <f t="shared" si="40"/>
        <v>0</v>
      </c>
      <c r="CS78" s="56">
        <v>730</v>
      </c>
      <c r="CT78" s="56">
        <v>0</v>
      </c>
      <c r="CU78" s="56">
        <f t="shared" si="41"/>
        <v>730</v>
      </c>
      <c r="CV78" s="56">
        <f t="shared" si="42"/>
        <v>0</v>
      </c>
      <c r="CW78" s="56" t="e">
        <f t="shared" si="43"/>
        <v>#DIV/0!</v>
      </c>
      <c r="CX78" s="57">
        <v>0</v>
      </c>
      <c r="CY78" s="57">
        <v>0</v>
      </c>
      <c r="CZ78" s="57">
        <v>0</v>
      </c>
      <c r="DA78" s="57">
        <f t="shared" si="44"/>
        <v>0</v>
      </c>
      <c r="DB78" s="57">
        <v>600</v>
      </c>
      <c r="DC78" s="57">
        <v>0</v>
      </c>
      <c r="DD78" s="57">
        <f t="shared" si="45"/>
        <v>600</v>
      </c>
      <c r="DE78" s="57">
        <f t="shared" si="46"/>
        <v>0</v>
      </c>
      <c r="DF78" s="57" t="e">
        <f t="shared" si="47"/>
        <v>#DIV/0!</v>
      </c>
    </row>
    <row r="79" spans="1:110" ht="14.25" customHeight="1">
      <c r="A79" s="59"/>
      <c r="B79" s="29"/>
      <c r="C79" s="45">
        <v>0</v>
      </c>
      <c r="D79" s="45">
        <v>0</v>
      </c>
      <c r="E79" s="45">
        <v>0</v>
      </c>
      <c r="F79" s="45">
        <f t="shared" si="0"/>
        <v>0</v>
      </c>
      <c r="G79" s="45">
        <v>900</v>
      </c>
      <c r="H79" s="45">
        <v>0</v>
      </c>
      <c r="I79" s="45">
        <f t="shared" si="1"/>
        <v>900</v>
      </c>
      <c r="J79" s="45">
        <f t="shared" si="2"/>
        <v>0</v>
      </c>
      <c r="K79" s="45" t="e">
        <f t="shared" si="3"/>
        <v>#DIV/0!</v>
      </c>
      <c r="L79" s="47">
        <v>0</v>
      </c>
      <c r="M79" s="47">
        <v>0</v>
      </c>
      <c r="N79" s="47">
        <v>0</v>
      </c>
      <c r="O79" s="47">
        <f t="shared" si="4"/>
        <v>0</v>
      </c>
      <c r="P79" s="47">
        <v>1800</v>
      </c>
      <c r="Q79" s="47">
        <v>0</v>
      </c>
      <c r="R79" s="47">
        <f t="shared" si="5"/>
        <v>1800</v>
      </c>
      <c r="S79" s="47">
        <f t="shared" si="6"/>
        <v>0</v>
      </c>
      <c r="T79" s="47" t="e">
        <f t="shared" si="7"/>
        <v>#DIV/0!</v>
      </c>
      <c r="U79" s="48">
        <v>0</v>
      </c>
      <c r="V79" s="48">
        <v>0</v>
      </c>
      <c r="W79" s="48">
        <v>0</v>
      </c>
      <c r="X79" s="48">
        <f t="shared" si="8"/>
        <v>0</v>
      </c>
      <c r="Y79" s="48">
        <v>910</v>
      </c>
      <c r="Z79" s="48">
        <v>0</v>
      </c>
      <c r="AA79" s="48">
        <f t="shared" si="9"/>
        <v>910</v>
      </c>
      <c r="AB79" s="48">
        <f t="shared" si="10"/>
        <v>0</v>
      </c>
      <c r="AC79" s="48" t="e">
        <f t="shared" si="11"/>
        <v>#DIV/0!</v>
      </c>
      <c r="AD79" s="49">
        <v>0</v>
      </c>
      <c r="AE79" s="49">
        <v>0</v>
      </c>
      <c r="AF79" s="49">
        <v>0</v>
      </c>
      <c r="AG79" s="49">
        <f t="shared" si="12"/>
        <v>0</v>
      </c>
      <c r="AH79" s="49">
        <v>1200</v>
      </c>
      <c r="AI79" s="49">
        <v>0</v>
      </c>
      <c r="AJ79" s="49">
        <f t="shared" si="13"/>
        <v>1200</v>
      </c>
      <c r="AK79" s="49">
        <f t="shared" si="14"/>
        <v>0</v>
      </c>
      <c r="AL79" s="49" t="e">
        <f t="shared" si="15"/>
        <v>#DIV/0!</v>
      </c>
      <c r="AM79" s="50">
        <v>0</v>
      </c>
      <c r="AN79" s="50">
        <v>0</v>
      </c>
      <c r="AO79" s="50">
        <v>0</v>
      </c>
      <c r="AP79" s="50">
        <f t="shared" si="16"/>
        <v>0</v>
      </c>
      <c r="AQ79" s="50">
        <v>600</v>
      </c>
      <c r="AR79" s="50">
        <v>0</v>
      </c>
      <c r="AS79" s="50">
        <f t="shared" si="17"/>
        <v>600</v>
      </c>
      <c r="AT79" s="50">
        <f t="shared" si="18"/>
        <v>0</v>
      </c>
      <c r="AU79" s="50" t="e">
        <f t="shared" si="19"/>
        <v>#DIV/0!</v>
      </c>
      <c r="AV79" s="51">
        <v>0</v>
      </c>
      <c r="AW79" s="51">
        <v>0</v>
      </c>
      <c r="AX79" s="51">
        <v>0</v>
      </c>
      <c r="AY79" s="51">
        <f t="shared" si="20"/>
        <v>0</v>
      </c>
      <c r="AZ79" s="51">
        <v>1500</v>
      </c>
      <c r="BA79" s="51">
        <v>0</v>
      </c>
      <c r="BB79" s="51">
        <f t="shared" si="21"/>
        <v>1500</v>
      </c>
      <c r="BC79" s="51">
        <f t="shared" si="22"/>
        <v>0</v>
      </c>
      <c r="BD79" s="51" t="e">
        <f t="shared" si="23"/>
        <v>#DIV/0!</v>
      </c>
      <c r="BE79" s="52">
        <v>0</v>
      </c>
      <c r="BF79" s="52">
        <v>0</v>
      </c>
      <c r="BG79" s="52">
        <v>0</v>
      </c>
      <c r="BH79" s="52">
        <f t="shared" si="24"/>
        <v>0</v>
      </c>
      <c r="BI79" s="52">
        <v>750</v>
      </c>
      <c r="BJ79" s="52">
        <v>0</v>
      </c>
      <c r="BK79" s="52">
        <f t="shared" si="25"/>
        <v>750</v>
      </c>
      <c r="BL79" s="52">
        <f t="shared" si="26"/>
        <v>0</v>
      </c>
      <c r="BM79" s="52" t="e">
        <f t="shared" si="27"/>
        <v>#DIV/0!</v>
      </c>
      <c r="BN79" s="53">
        <v>0</v>
      </c>
      <c r="BO79" s="53">
        <v>0</v>
      </c>
      <c r="BP79" s="53">
        <v>0</v>
      </c>
      <c r="BQ79" s="53">
        <f t="shared" si="28"/>
        <v>0</v>
      </c>
      <c r="BR79" s="53">
        <v>2450</v>
      </c>
      <c r="BS79" s="53">
        <v>0</v>
      </c>
      <c r="BT79" s="53">
        <f t="shared" si="29"/>
        <v>2450</v>
      </c>
      <c r="BU79" s="53">
        <f t="shared" si="30"/>
        <v>0</v>
      </c>
      <c r="BV79" s="53" t="e">
        <f t="shared" si="31"/>
        <v>#DIV/0!</v>
      </c>
      <c r="BW79" s="54">
        <v>0</v>
      </c>
      <c r="BX79" s="54">
        <v>0</v>
      </c>
      <c r="BY79" s="54">
        <v>0</v>
      </c>
      <c r="BZ79" s="54">
        <f t="shared" si="32"/>
        <v>0</v>
      </c>
      <c r="CA79" s="54">
        <v>750</v>
      </c>
      <c r="CB79" s="54">
        <v>0</v>
      </c>
      <c r="CC79" s="54">
        <f t="shared" si="33"/>
        <v>750</v>
      </c>
      <c r="CD79" s="54">
        <f t="shared" si="34"/>
        <v>0</v>
      </c>
      <c r="CE79" s="54" t="e">
        <f t="shared" si="35"/>
        <v>#DIV/0!</v>
      </c>
      <c r="CF79" s="55">
        <v>0</v>
      </c>
      <c r="CG79" s="55">
        <v>0</v>
      </c>
      <c r="CH79" s="55">
        <v>0</v>
      </c>
      <c r="CI79" s="55">
        <f t="shared" si="36"/>
        <v>0</v>
      </c>
      <c r="CJ79" s="55">
        <v>730</v>
      </c>
      <c r="CK79" s="55">
        <v>0</v>
      </c>
      <c r="CL79" s="55">
        <f t="shared" si="37"/>
        <v>730</v>
      </c>
      <c r="CM79" s="55">
        <f t="shared" si="38"/>
        <v>0</v>
      </c>
      <c r="CN79" s="55" t="e">
        <f t="shared" si="39"/>
        <v>#DIV/0!</v>
      </c>
      <c r="CO79" s="56">
        <v>0</v>
      </c>
      <c r="CP79" s="56">
        <v>0</v>
      </c>
      <c r="CQ79" s="56">
        <v>0</v>
      </c>
      <c r="CR79" s="56">
        <f t="shared" si="40"/>
        <v>0</v>
      </c>
      <c r="CS79" s="56">
        <v>730</v>
      </c>
      <c r="CT79" s="56">
        <v>0</v>
      </c>
      <c r="CU79" s="56">
        <f t="shared" si="41"/>
        <v>730</v>
      </c>
      <c r="CV79" s="56">
        <f t="shared" si="42"/>
        <v>0</v>
      </c>
      <c r="CW79" s="56" t="e">
        <f t="shared" si="43"/>
        <v>#DIV/0!</v>
      </c>
      <c r="CX79" s="57">
        <v>0</v>
      </c>
      <c r="CY79" s="57">
        <v>0</v>
      </c>
      <c r="CZ79" s="57">
        <v>0</v>
      </c>
      <c r="DA79" s="57">
        <f t="shared" si="44"/>
        <v>0</v>
      </c>
      <c r="DB79" s="57">
        <v>600</v>
      </c>
      <c r="DC79" s="57">
        <v>0</v>
      </c>
      <c r="DD79" s="57">
        <f t="shared" si="45"/>
        <v>600</v>
      </c>
      <c r="DE79" s="57">
        <f t="shared" si="46"/>
        <v>0</v>
      </c>
      <c r="DF79" s="57" t="e">
        <f t="shared" si="47"/>
        <v>#DIV/0!</v>
      </c>
    </row>
    <row r="80" spans="1:110" ht="14.25" customHeight="1">
      <c r="A80" s="59"/>
      <c r="B80" s="29"/>
      <c r="C80" s="45">
        <v>0</v>
      </c>
      <c r="D80" s="45">
        <v>0</v>
      </c>
      <c r="E80" s="45">
        <v>0</v>
      </c>
      <c r="F80" s="45">
        <f t="shared" si="0"/>
        <v>0</v>
      </c>
      <c r="G80" s="45">
        <v>900</v>
      </c>
      <c r="H80" s="45">
        <v>0</v>
      </c>
      <c r="I80" s="45">
        <f t="shared" si="1"/>
        <v>900</v>
      </c>
      <c r="J80" s="45">
        <f t="shared" si="2"/>
        <v>0</v>
      </c>
      <c r="K80" s="45" t="e">
        <f t="shared" si="3"/>
        <v>#DIV/0!</v>
      </c>
      <c r="L80" s="47">
        <v>0</v>
      </c>
      <c r="M80" s="47">
        <v>0</v>
      </c>
      <c r="N80" s="47">
        <v>0</v>
      </c>
      <c r="O80" s="47">
        <f t="shared" si="4"/>
        <v>0</v>
      </c>
      <c r="P80" s="47">
        <v>1800</v>
      </c>
      <c r="Q80" s="47">
        <v>0</v>
      </c>
      <c r="R80" s="47">
        <f t="shared" si="5"/>
        <v>1800</v>
      </c>
      <c r="S80" s="47">
        <f t="shared" si="6"/>
        <v>0</v>
      </c>
      <c r="T80" s="47" t="e">
        <f t="shared" si="7"/>
        <v>#DIV/0!</v>
      </c>
      <c r="U80" s="48">
        <v>0</v>
      </c>
      <c r="V80" s="48">
        <v>0</v>
      </c>
      <c r="W80" s="48">
        <v>0</v>
      </c>
      <c r="X80" s="48">
        <f t="shared" si="8"/>
        <v>0</v>
      </c>
      <c r="Y80" s="48">
        <v>910</v>
      </c>
      <c r="Z80" s="48">
        <v>0</v>
      </c>
      <c r="AA80" s="48">
        <f t="shared" si="9"/>
        <v>910</v>
      </c>
      <c r="AB80" s="48">
        <f t="shared" si="10"/>
        <v>0</v>
      </c>
      <c r="AC80" s="48" t="e">
        <f t="shared" si="11"/>
        <v>#DIV/0!</v>
      </c>
      <c r="AD80" s="49">
        <v>0</v>
      </c>
      <c r="AE80" s="49">
        <v>0</v>
      </c>
      <c r="AF80" s="49">
        <v>0</v>
      </c>
      <c r="AG80" s="49">
        <f t="shared" si="12"/>
        <v>0</v>
      </c>
      <c r="AH80" s="49">
        <v>1200</v>
      </c>
      <c r="AI80" s="49">
        <v>0</v>
      </c>
      <c r="AJ80" s="49">
        <f t="shared" si="13"/>
        <v>1200</v>
      </c>
      <c r="AK80" s="49">
        <f t="shared" si="14"/>
        <v>0</v>
      </c>
      <c r="AL80" s="49" t="e">
        <f t="shared" si="15"/>
        <v>#DIV/0!</v>
      </c>
      <c r="AM80" s="50">
        <v>0</v>
      </c>
      <c r="AN80" s="50">
        <v>0</v>
      </c>
      <c r="AO80" s="50">
        <v>0</v>
      </c>
      <c r="AP80" s="50">
        <f t="shared" si="16"/>
        <v>0</v>
      </c>
      <c r="AQ80" s="50">
        <v>600</v>
      </c>
      <c r="AR80" s="50">
        <v>0</v>
      </c>
      <c r="AS80" s="50">
        <f t="shared" si="17"/>
        <v>600</v>
      </c>
      <c r="AT80" s="50">
        <f t="shared" si="18"/>
        <v>0</v>
      </c>
      <c r="AU80" s="50" t="e">
        <f t="shared" si="19"/>
        <v>#DIV/0!</v>
      </c>
      <c r="AV80" s="51">
        <v>0</v>
      </c>
      <c r="AW80" s="51">
        <v>0</v>
      </c>
      <c r="AX80" s="51">
        <v>0</v>
      </c>
      <c r="AY80" s="51">
        <f t="shared" si="20"/>
        <v>0</v>
      </c>
      <c r="AZ80" s="51">
        <v>1500</v>
      </c>
      <c r="BA80" s="51">
        <v>0</v>
      </c>
      <c r="BB80" s="51">
        <f t="shared" si="21"/>
        <v>1500</v>
      </c>
      <c r="BC80" s="51">
        <f t="shared" si="22"/>
        <v>0</v>
      </c>
      <c r="BD80" s="51" t="e">
        <f t="shared" si="23"/>
        <v>#DIV/0!</v>
      </c>
      <c r="BE80" s="52">
        <v>0</v>
      </c>
      <c r="BF80" s="52">
        <v>0</v>
      </c>
      <c r="BG80" s="52">
        <v>0</v>
      </c>
      <c r="BH80" s="52">
        <f t="shared" si="24"/>
        <v>0</v>
      </c>
      <c r="BI80" s="52">
        <v>750</v>
      </c>
      <c r="BJ80" s="52">
        <v>0</v>
      </c>
      <c r="BK80" s="52">
        <f t="shared" si="25"/>
        <v>750</v>
      </c>
      <c r="BL80" s="52">
        <f t="shared" si="26"/>
        <v>0</v>
      </c>
      <c r="BM80" s="52" t="e">
        <f t="shared" si="27"/>
        <v>#DIV/0!</v>
      </c>
      <c r="BN80" s="53">
        <v>0</v>
      </c>
      <c r="BO80" s="53">
        <v>0</v>
      </c>
      <c r="BP80" s="53">
        <v>0</v>
      </c>
      <c r="BQ80" s="53">
        <f t="shared" si="28"/>
        <v>0</v>
      </c>
      <c r="BR80" s="53">
        <v>2450</v>
      </c>
      <c r="BS80" s="53">
        <v>0</v>
      </c>
      <c r="BT80" s="53">
        <f t="shared" si="29"/>
        <v>2450</v>
      </c>
      <c r="BU80" s="53">
        <f t="shared" si="30"/>
        <v>0</v>
      </c>
      <c r="BV80" s="53" t="e">
        <f t="shared" si="31"/>
        <v>#DIV/0!</v>
      </c>
      <c r="BW80" s="54">
        <v>0</v>
      </c>
      <c r="BX80" s="54">
        <v>0</v>
      </c>
      <c r="BY80" s="54">
        <v>0</v>
      </c>
      <c r="BZ80" s="54">
        <f t="shared" si="32"/>
        <v>0</v>
      </c>
      <c r="CA80" s="54">
        <v>750</v>
      </c>
      <c r="CB80" s="54">
        <v>0</v>
      </c>
      <c r="CC80" s="54">
        <f t="shared" si="33"/>
        <v>750</v>
      </c>
      <c r="CD80" s="54">
        <f t="shared" si="34"/>
        <v>0</v>
      </c>
      <c r="CE80" s="54" t="e">
        <f t="shared" si="35"/>
        <v>#DIV/0!</v>
      </c>
      <c r="CF80" s="55">
        <v>0</v>
      </c>
      <c r="CG80" s="55">
        <v>0</v>
      </c>
      <c r="CH80" s="55">
        <v>0</v>
      </c>
      <c r="CI80" s="55">
        <f t="shared" si="36"/>
        <v>0</v>
      </c>
      <c r="CJ80" s="55">
        <v>730</v>
      </c>
      <c r="CK80" s="55">
        <v>0</v>
      </c>
      <c r="CL80" s="55">
        <f t="shared" si="37"/>
        <v>730</v>
      </c>
      <c r="CM80" s="55">
        <f t="shared" si="38"/>
        <v>0</v>
      </c>
      <c r="CN80" s="55" t="e">
        <f t="shared" si="39"/>
        <v>#DIV/0!</v>
      </c>
      <c r="CO80" s="56">
        <v>0</v>
      </c>
      <c r="CP80" s="56">
        <v>0</v>
      </c>
      <c r="CQ80" s="56">
        <v>0</v>
      </c>
      <c r="CR80" s="56">
        <f t="shared" si="40"/>
        <v>0</v>
      </c>
      <c r="CS80" s="56">
        <v>730</v>
      </c>
      <c r="CT80" s="56">
        <v>0</v>
      </c>
      <c r="CU80" s="56">
        <f t="shared" si="41"/>
        <v>730</v>
      </c>
      <c r="CV80" s="56">
        <f t="shared" si="42"/>
        <v>0</v>
      </c>
      <c r="CW80" s="56" t="e">
        <f t="shared" si="43"/>
        <v>#DIV/0!</v>
      </c>
      <c r="CX80" s="57">
        <v>0</v>
      </c>
      <c r="CY80" s="57">
        <v>0</v>
      </c>
      <c r="CZ80" s="57">
        <v>0</v>
      </c>
      <c r="DA80" s="57">
        <f t="shared" si="44"/>
        <v>0</v>
      </c>
      <c r="DB80" s="57">
        <v>600</v>
      </c>
      <c r="DC80" s="57">
        <v>0</v>
      </c>
      <c r="DD80" s="57">
        <f t="shared" si="45"/>
        <v>600</v>
      </c>
      <c r="DE80" s="57">
        <f t="shared" si="46"/>
        <v>0</v>
      </c>
      <c r="DF80" s="57" t="e">
        <f t="shared" si="47"/>
        <v>#DIV/0!</v>
      </c>
    </row>
    <row r="81" spans="1:110" ht="14.25" customHeight="1">
      <c r="A81" s="59"/>
      <c r="B81" s="29"/>
      <c r="C81" s="45">
        <v>0</v>
      </c>
      <c r="D81" s="45">
        <v>0</v>
      </c>
      <c r="E81" s="45">
        <v>0</v>
      </c>
      <c r="F81" s="45">
        <f t="shared" si="0"/>
        <v>0</v>
      </c>
      <c r="G81" s="45">
        <v>900</v>
      </c>
      <c r="H81" s="45">
        <v>0</v>
      </c>
      <c r="I81" s="45">
        <f t="shared" si="1"/>
        <v>900</v>
      </c>
      <c r="J81" s="45">
        <f t="shared" si="2"/>
        <v>0</v>
      </c>
      <c r="K81" s="45" t="e">
        <f t="shared" si="3"/>
        <v>#DIV/0!</v>
      </c>
      <c r="L81" s="47">
        <v>0</v>
      </c>
      <c r="M81" s="47">
        <v>0</v>
      </c>
      <c r="N81" s="47">
        <v>0</v>
      </c>
      <c r="O81" s="47">
        <f t="shared" si="4"/>
        <v>0</v>
      </c>
      <c r="P81" s="47">
        <v>1800</v>
      </c>
      <c r="Q81" s="47">
        <v>0</v>
      </c>
      <c r="R81" s="47">
        <f t="shared" si="5"/>
        <v>1800</v>
      </c>
      <c r="S81" s="47">
        <f t="shared" si="6"/>
        <v>0</v>
      </c>
      <c r="T81" s="47" t="e">
        <f t="shared" si="7"/>
        <v>#DIV/0!</v>
      </c>
      <c r="U81" s="48">
        <v>0</v>
      </c>
      <c r="V81" s="48">
        <v>0</v>
      </c>
      <c r="W81" s="48">
        <v>0</v>
      </c>
      <c r="X81" s="48">
        <f t="shared" si="8"/>
        <v>0</v>
      </c>
      <c r="Y81" s="48">
        <v>910</v>
      </c>
      <c r="Z81" s="48">
        <v>0</v>
      </c>
      <c r="AA81" s="48">
        <f t="shared" si="9"/>
        <v>910</v>
      </c>
      <c r="AB81" s="48">
        <f t="shared" si="10"/>
        <v>0</v>
      </c>
      <c r="AC81" s="48" t="e">
        <f t="shared" si="11"/>
        <v>#DIV/0!</v>
      </c>
      <c r="AD81" s="49">
        <v>0</v>
      </c>
      <c r="AE81" s="49">
        <v>0</v>
      </c>
      <c r="AF81" s="49">
        <v>0</v>
      </c>
      <c r="AG81" s="49">
        <f t="shared" si="12"/>
        <v>0</v>
      </c>
      <c r="AH81" s="49">
        <v>1200</v>
      </c>
      <c r="AI81" s="49">
        <v>0</v>
      </c>
      <c r="AJ81" s="49">
        <f t="shared" si="13"/>
        <v>1200</v>
      </c>
      <c r="AK81" s="49">
        <f t="shared" si="14"/>
        <v>0</v>
      </c>
      <c r="AL81" s="49" t="e">
        <f t="shared" si="15"/>
        <v>#DIV/0!</v>
      </c>
      <c r="AM81" s="50">
        <v>0</v>
      </c>
      <c r="AN81" s="50">
        <v>0</v>
      </c>
      <c r="AO81" s="50">
        <v>0</v>
      </c>
      <c r="AP81" s="50">
        <f t="shared" si="16"/>
        <v>0</v>
      </c>
      <c r="AQ81" s="50">
        <v>600</v>
      </c>
      <c r="AR81" s="50">
        <v>0</v>
      </c>
      <c r="AS81" s="50">
        <f t="shared" si="17"/>
        <v>600</v>
      </c>
      <c r="AT81" s="50">
        <f t="shared" si="18"/>
        <v>0</v>
      </c>
      <c r="AU81" s="50" t="e">
        <f t="shared" si="19"/>
        <v>#DIV/0!</v>
      </c>
      <c r="AV81" s="51">
        <v>0</v>
      </c>
      <c r="AW81" s="51">
        <v>0</v>
      </c>
      <c r="AX81" s="51">
        <v>0</v>
      </c>
      <c r="AY81" s="51">
        <f t="shared" si="20"/>
        <v>0</v>
      </c>
      <c r="AZ81" s="51">
        <v>1500</v>
      </c>
      <c r="BA81" s="51">
        <v>0</v>
      </c>
      <c r="BB81" s="51">
        <f t="shared" si="21"/>
        <v>1500</v>
      </c>
      <c r="BC81" s="51">
        <f t="shared" si="22"/>
        <v>0</v>
      </c>
      <c r="BD81" s="51" t="e">
        <f t="shared" si="23"/>
        <v>#DIV/0!</v>
      </c>
      <c r="BE81" s="52">
        <v>0</v>
      </c>
      <c r="BF81" s="52">
        <v>0</v>
      </c>
      <c r="BG81" s="52">
        <v>0</v>
      </c>
      <c r="BH81" s="52">
        <f t="shared" si="24"/>
        <v>0</v>
      </c>
      <c r="BI81" s="52">
        <v>750</v>
      </c>
      <c r="BJ81" s="52">
        <v>0</v>
      </c>
      <c r="BK81" s="52">
        <f t="shared" si="25"/>
        <v>750</v>
      </c>
      <c r="BL81" s="52">
        <f t="shared" si="26"/>
        <v>0</v>
      </c>
      <c r="BM81" s="52" t="e">
        <f t="shared" si="27"/>
        <v>#DIV/0!</v>
      </c>
      <c r="BN81" s="53">
        <v>0</v>
      </c>
      <c r="BO81" s="53">
        <f>16+12</f>
        <v>28</v>
      </c>
      <c r="BP81" s="53">
        <f>7</f>
        <v>7</v>
      </c>
      <c r="BQ81" s="53">
        <f t="shared" si="28"/>
        <v>21</v>
      </c>
      <c r="BR81" s="53">
        <v>2450</v>
      </c>
      <c r="BS81" s="53">
        <v>350</v>
      </c>
      <c r="BT81" s="53">
        <f t="shared" si="29"/>
        <v>2100</v>
      </c>
      <c r="BU81" s="53">
        <f t="shared" si="30"/>
        <v>44100</v>
      </c>
      <c r="BV81" s="53">
        <f t="shared" si="31"/>
        <v>25</v>
      </c>
      <c r="BW81" s="54">
        <v>0</v>
      </c>
      <c r="BX81" s="54">
        <v>20</v>
      </c>
      <c r="BY81" s="54">
        <v>7</v>
      </c>
      <c r="BZ81" s="54">
        <f t="shared" si="32"/>
        <v>13</v>
      </c>
      <c r="CA81" s="54">
        <v>750</v>
      </c>
      <c r="CB81" s="54">
        <v>80</v>
      </c>
      <c r="CC81" s="54">
        <f t="shared" si="33"/>
        <v>670</v>
      </c>
      <c r="CD81" s="54">
        <f t="shared" si="34"/>
        <v>8710</v>
      </c>
      <c r="CE81" s="54">
        <f t="shared" si="35"/>
        <v>35</v>
      </c>
      <c r="CF81" s="55">
        <v>0</v>
      </c>
      <c r="CG81" s="55">
        <v>0</v>
      </c>
      <c r="CH81" s="55">
        <v>0</v>
      </c>
      <c r="CI81" s="55">
        <f t="shared" si="36"/>
        <v>0</v>
      </c>
      <c r="CJ81" s="55">
        <v>730</v>
      </c>
      <c r="CK81" s="55">
        <v>0</v>
      </c>
      <c r="CL81" s="55">
        <f t="shared" si="37"/>
        <v>730</v>
      </c>
      <c r="CM81" s="55">
        <f t="shared" si="38"/>
        <v>0</v>
      </c>
      <c r="CN81" s="55" t="e">
        <f t="shared" si="39"/>
        <v>#DIV/0!</v>
      </c>
      <c r="CO81" s="56">
        <v>0</v>
      </c>
      <c r="CP81" s="56">
        <v>0</v>
      </c>
      <c r="CQ81" s="56">
        <v>0</v>
      </c>
      <c r="CR81" s="56">
        <f t="shared" si="40"/>
        <v>0</v>
      </c>
      <c r="CS81" s="56">
        <v>730</v>
      </c>
      <c r="CT81" s="56">
        <v>0</v>
      </c>
      <c r="CU81" s="56">
        <f t="shared" si="41"/>
        <v>730</v>
      </c>
      <c r="CV81" s="56">
        <f t="shared" si="42"/>
        <v>0</v>
      </c>
      <c r="CW81" s="56" t="e">
        <f t="shared" si="43"/>
        <v>#DIV/0!</v>
      </c>
      <c r="CX81" s="57">
        <v>0</v>
      </c>
      <c r="CY81" s="57">
        <v>0</v>
      </c>
      <c r="CZ81" s="57">
        <v>0</v>
      </c>
      <c r="DA81" s="57">
        <f t="shared" si="44"/>
        <v>0</v>
      </c>
      <c r="DB81" s="57">
        <v>600</v>
      </c>
      <c r="DC81" s="57">
        <v>0</v>
      </c>
      <c r="DD81" s="57">
        <f t="shared" si="45"/>
        <v>600</v>
      </c>
      <c r="DE81" s="57">
        <f t="shared" si="46"/>
        <v>0</v>
      </c>
      <c r="DF81" s="57" t="e">
        <f t="shared" si="47"/>
        <v>#DIV/0!</v>
      </c>
    </row>
    <row r="82" spans="1:110" ht="14.25" customHeight="1">
      <c r="A82" s="59"/>
      <c r="B82" s="29"/>
      <c r="C82" s="45">
        <v>0</v>
      </c>
      <c r="D82" s="45">
        <v>42</v>
      </c>
      <c r="E82" s="45">
        <v>0</v>
      </c>
      <c r="F82" s="45">
        <f t="shared" si="0"/>
        <v>42</v>
      </c>
      <c r="G82" s="45">
        <v>900</v>
      </c>
      <c r="H82" s="45">
        <v>70</v>
      </c>
      <c r="I82" s="45">
        <f t="shared" si="1"/>
        <v>830</v>
      </c>
      <c r="J82" s="45">
        <f t="shared" si="2"/>
        <v>34860</v>
      </c>
      <c r="K82" s="45">
        <f t="shared" si="3"/>
        <v>0</v>
      </c>
      <c r="L82" s="47">
        <v>0</v>
      </c>
      <c r="M82" s="47">
        <v>12</v>
      </c>
      <c r="N82" s="47">
        <v>0</v>
      </c>
      <c r="O82" s="47">
        <f t="shared" si="4"/>
        <v>12</v>
      </c>
      <c r="P82" s="47">
        <v>1800</v>
      </c>
      <c r="Q82" s="47">
        <v>140</v>
      </c>
      <c r="R82" s="47">
        <f t="shared" si="5"/>
        <v>1660</v>
      </c>
      <c r="S82" s="47">
        <f t="shared" si="6"/>
        <v>19920</v>
      </c>
      <c r="T82" s="47">
        <f t="shared" si="7"/>
        <v>0</v>
      </c>
      <c r="U82" s="48">
        <v>0</v>
      </c>
      <c r="V82" s="48">
        <v>0</v>
      </c>
      <c r="W82" s="48">
        <v>0</v>
      </c>
      <c r="X82" s="48">
        <f t="shared" si="8"/>
        <v>0</v>
      </c>
      <c r="Y82" s="48">
        <v>910</v>
      </c>
      <c r="Z82" s="48">
        <v>0</v>
      </c>
      <c r="AA82" s="48">
        <f t="shared" si="9"/>
        <v>910</v>
      </c>
      <c r="AB82" s="48">
        <f t="shared" si="10"/>
        <v>0</v>
      </c>
      <c r="AC82" s="48" t="e">
        <f t="shared" si="11"/>
        <v>#DIV/0!</v>
      </c>
      <c r="AD82" s="49">
        <v>0</v>
      </c>
      <c r="AE82" s="49">
        <v>0</v>
      </c>
      <c r="AF82" s="49">
        <v>15</v>
      </c>
      <c r="AG82" s="49">
        <v>4</v>
      </c>
      <c r="AH82" s="49">
        <v>1200</v>
      </c>
      <c r="AI82" s="49">
        <v>80</v>
      </c>
      <c r="AJ82" s="49">
        <f t="shared" si="13"/>
        <v>1120</v>
      </c>
      <c r="AK82" s="49">
        <f t="shared" si="14"/>
        <v>4480</v>
      </c>
      <c r="AL82" s="49" t="e">
        <f t="shared" si="15"/>
        <v>#DIV/0!</v>
      </c>
      <c r="AM82" s="50">
        <v>0</v>
      </c>
      <c r="AN82" s="50">
        <v>30</v>
      </c>
      <c r="AO82" s="50">
        <v>28</v>
      </c>
      <c r="AP82" s="50">
        <f t="shared" si="16"/>
        <v>2</v>
      </c>
      <c r="AQ82" s="50">
        <v>600</v>
      </c>
      <c r="AR82" s="50">
        <v>40</v>
      </c>
      <c r="AS82" s="50">
        <f t="shared" si="17"/>
        <v>560</v>
      </c>
      <c r="AT82" s="50">
        <f t="shared" si="18"/>
        <v>1120</v>
      </c>
      <c r="AU82" s="50">
        <f t="shared" si="19"/>
        <v>93.333333333333329</v>
      </c>
      <c r="AV82" s="51">
        <v>0</v>
      </c>
      <c r="AW82" s="51">
        <v>0</v>
      </c>
      <c r="AX82" s="51">
        <v>0</v>
      </c>
      <c r="AY82" s="51">
        <f t="shared" si="20"/>
        <v>0</v>
      </c>
      <c r="AZ82" s="51">
        <v>1500</v>
      </c>
      <c r="BA82" s="51">
        <v>0</v>
      </c>
      <c r="BB82" s="51">
        <f t="shared" si="21"/>
        <v>1500</v>
      </c>
      <c r="BC82" s="51">
        <f t="shared" si="22"/>
        <v>0</v>
      </c>
      <c r="BD82" s="51" t="e">
        <f t="shared" si="23"/>
        <v>#DIV/0!</v>
      </c>
      <c r="BE82" s="52">
        <v>0</v>
      </c>
      <c r="BF82" s="52">
        <v>0</v>
      </c>
      <c r="BG82" s="52">
        <v>0</v>
      </c>
      <c r="BH82" s="52">
        <f t="shared" si="24"/>
        <v>0</v>
      </c>
      <c r="BI82" s="52">
        <v>750</v>
      </c>
      <c r="BJ82" s="52">
        <v>0</v>
      </c>
      <c r="BK82" s="52">
        <f t="shared" si="25"/>
        <v>750</v>
      </c>
      <c r="BL82" s="52">
        <f t="shared" si="26"/>
        <v>0</v>
      </c>
      <c r="BM82" s="52" t="e">
        <f t="shared" si="27"/>
        <v>#DIV/0!</v>
      </c>
      <c r="BN82" s="53">
        <v>0</v>
      </c>
      <c r="BO82" s="53">
        <v>40</v>
      </c>
      <c r="BP82" s="53">
        <v>9</v>
      </c>
      <c r="BQ82" s="53">
        <f t="shared" si="28"/>
        <v>31</v>
      </c>
      <c r="BR82" s="53">
        <v>2450</v>
      </c>
      <c r="BS82" s="53">
        <v>250</v>
      </c>
      <c r="BT82" s="53">
        <f t="shared" si="29"/>
        <v>2200</v>
      </c>
      <c r="BU82" s="53">
        <f t="shared" si="30"/>
        <v>68200</v>
      </c>
      <c r="BV82" s="53">
        <f t="shared" si="31"/>
        <v>22.5</v>
      </c>
      <c r="BW82" s="54">
        <v>0</v>
      </c>
      <c r="BX82" s="54">
        <v>0</v>
      </c>
      <c r="BY82" s="54">
        <v>0</v>
      </c>
      <c r="BZ82" s="54">
        <f t="shared" si="32"/>
        <v>0</v>
      </c>
      <c r="CA82" s="54">
        <v>750</v>
      </c>
      <c r="CB82" s="54">
        <v>0</v>
      </c>
      <c r="CC82" s="54">
        <f t="shared" si="33"/>
        <v>750</v>
      </c>
      <c r="CD82" s="54">
        <f t="shared" si="34"/>
        <v>0</v>
      </c>
      <c r="CE82" s="54" t="e">
        <f t="shared" si="35"/>
        <v>#DIV/0!</v>
      </c>
      <c r="CF82" s="55">
        <v>0</v>
      </c>
      <c r="CG82" s="55">
        <v>0</v>
      </c>
      <c r="CH82" s="55">
        <v>0</v>
      </c>
      <c r="CI82" s="55">
        <f t="shared" si="36"/>
        <v>0</v>
      </c>
      <c r="CJ82" s="55">
        <v>730</v>
      </c>
      <c r="CK82" s="55">
        <v>0</v>
      </c>
      <c r="CL82" s="55">
        <f t="shared" si="37"/>
        <v>730</v>
      </c>
      <c r="CM82" s="55">
        <f t="shared" si="38"/>
        <v>0</v>
      </c>
      <c r="CN82" s="55" t="e">
        <f t="shared" si="39"/>
        <v>#DIV/0!</v>
      </c>
      <c r="CO82" s="56">
        <v>0</v>
      </c>
      <c r="CP82" s="56">
        <v>0</v>
      </c>
      <c r="CQ82" s="56">
        <v>0</v>
      </c>
      <c r="CR82" s="56">
        <f t="shared" si="40"/>
        <v>0</v>
      </c>
      <c r="CS82" s="56">
        <v>730</v>
      </c>
      <c r="CT82" s="56">
        <v>0</v>
      </c>
      <c r="CU82" s="56">
        <f t="shared" si="41"/>
        <v>730</v>
      </c>
      <c r="CV82" s="56">
        <f t="shared" si="42"/>
        <v>0</v>
      </c>
      <c r="CW82" s="56" t="e">
        <f t="shared" si="43"/>
        <v>#DIV/0!</v>
      </c>
      <c r="CX82" s="57">
        <v>0</v>
      </c>
      <c r="CY82" s="57">
        <v>0</v>
      </c>
      <c r="CZ82" s="57">
        <v>0</v>
      </c>
      <c r="DA82" s="57">
        <f t="shared" si="44"/>
        <v>0</v>
      </c>
      <c r="DB82" s="57">
        <v>600</v>
      </c>
      <c r="DC82" s="57">
        <v>0</v>
      </c>
      <c r="DD82" s="57">
        <f t="shared" si="45"/>
        <v>600</v>
      </c>
      <c r="DE82" s="57">
        <f t="shared" si="46"/>
        <v>0</v>
      </c>
      <c r="DF82" s="57" t="e">
        <f t="shared" si="47"/>
        <v>#DIV/0!</v>
      </c>
    </row>
    <row r="83" spans="1:110" ht="14.25" customHeight="1">
      <c r="A83" s="59"/>
      <c r="B83" s="29"/>
      <c r="C83" s="45">
        <v>0</v>
      </c>
      <c r="D83" s="45">
        <v>0</v>
      </c>
      <c r="E83" s="45">
        <v>0</v>
      </c>
      <c r="F83" s="45">
        <f t="shared" si="0"/>
        <v>0</v>
      </c>
      <c r="G83" s="45">
        <v>900</v>
      </c>
      <c r="H83" s="45">
        <v>0</v>
      </c>
      <c r="I83" s="45">
        <f t="shared" si="1"/>
        <v>900</v>
      </c>
      <c r="J83" s="45">
        <f t="shared" si="2"/>
        <v>0</v>
      </c>
      <c r="K83" s="45" t="e">
        <f t="shared" si="3"/>
        <v>#DIV/0!</v>
      </c>
      <c r="L83" s="47">
        <v>0</v>
      </c>
      <c r="M83" s="47">
        <v>528</v>
      </c>
      <c r="N83" s="47">
        <f>M83-432</f>
        <v>96</v>
      </c>
      <c r="O83" s="47">
        <f t="shared" si="4"/>
        <v>432</v>
      </c>
      <c r="P83" s="47">
        <v>1800</v>
      </c>
      <c r="Q83" s="47">
        <v>200</v>
      </c>
      <c r="R83" s="47">
        <f t="shared" si="5"/>
        <v>1600</v>
      </c>
      <c r="S83" s="47">
        <f t="shared" si="6"/>
        <v>691200</v>
      </c>
      <c r="T83" s="47">
        <f t="shared" si="7"/>
        <v>18.181818181818183</v>
      </c>
      <c r="U83" s="48">
        <v>0</v>
      </c>
      <c r="V83" s="48">
        <v>36</v>
      </c>
      <c r="W83" s="48">
        <v>0</v>
      </c>
      <c r="X83" s="48">
        <f t="shared" si="8"/>
        <v>36</v>
      </c>
      <c r="Y83" s="48">
        <v>910</v>
      </c>
      <c r="Z83" s="48">
        <v>100</v>
      </c>
      <c r="AA83" s="48">
        <f t="shared" si="9"/>
        <v>810</v>
      </c>
      <c r="AB83" s="48">
        <f t="shared" si="10"/>
        <v>29160</v>
      </c>
      <c r="AC83" s="48">
        <f t="shared" si="11"/>
        <v>0</v>
      </c>
      <c r="AD83" s="49">
        <v>0</v>
      </c>
      <c r="AE83" s="49">
        <v>51</v>
      </c>
      <c r="AF83" s="49">
        <v>0</v>
      </c>
      <c r="AG83" s="49">
        <f t="shared" ref="AG83:AG119" si="48">AE83-AF83</f>
        <v>51</v>
      </c>
      <c r="AH83" s="49">
        <v>1200</v>
      </c>
      <c r="AI83" s="49">
        <v>60</v>
      </c>
      <c r="AJ83" s="49">
        <f t="shared" si="13"/>
        <v>1140</v>
      </c>
      <c r="AK83" s="49">
        <f t="shared" si="14"/>
        <v>58140</v>
      </c>
      <c r="AL83" s="49">
        <f t="shared" si="15"/>
        <v>0</v>
      </c>
      <c r="AM83" s="50">
        <v>0</v>
      </c>
      <c r="AN83" s="50">
        <v>60</v>
      </c>
      <c r="AO83" s="50">
        <v>0</v>
      </c>
      <c r="AP83" s="50">
        <f t="shared" si="16"/>
        <v>60</v>
      </c>
      <c r="AQ83" s="50">
        <v>600</v>
      </c>
      <c r="AR83" s="50">
        <v>30</v>
      </c>
      <c r="AS83" s="50">
        <f t="shared" si="17"/>
        <v>570</v>
      </c>
      <c r="AT83" s="50">
        <f t="shared" si="18"/>
        <v>34200</v>
      </c>
      <c r="AU83" s="50">
        <f t="shared" si="19"/>
        <v>0</v>
      </c>
      <c r="AV83" s="51">
        <v>0</v>
      </c>
      <c r="AW83" s="51">
        <v>0</v>
      </c>
      <c r="AX83" s="51">
        <v>0</v>
      </c>
      <c r="AY83" s="51">
        <f t="shared" si="20"/>
        <v>0</v>
      </c>
      <c r="AZ83" s="51">
        <v>1500</v>
      </c>
      <c r="BA83" s="51">
        <v>0</v>
      </c>
      <c r="BB83" s="51">
        <f t="shared" si="21"/>
        <v>1500</v>
      </c>
      <c r="BC83" s="51">
        <f t="shared" si="22"/>
        <v>0</v>
      </c>
      <c r="BD83" s="51" t="e">
        <f t="shared" si="23"/>
        <v>#DIV/0!</v>
      </c>
      <c r="BE83" s="52">
        <v>0</v>
      </c>
      <c r="BF83" s="52">
        <v>12</v>
      </c>
      <c r="BG83" s="52">
        <v>0</v>
      </c>
      <c r="BH83" s="52">
        <f t="shared" si="24"/>
        <v>12</v>
      </c>
      <c r="BI83" s="52">
        <v>750</v>
      </c>
      <c r="BJ83" s="52">
        <v>100</v>
      </c>
      <c r="BK83" s="52">
        <f t="shared" si="25"/>
        <v>650</v>
      </c>
      <c r="BL83" s="52">
        <f t="shared" si="26"/>
        <v>7800</v>
      </c>
      <c r="BM83" s="52">
        <f t="shared" si="27"/>
        <v>0</v>
      </c>
      <c r="BN83" s="53">
        <v>0</v>
      </c>
      <c r="BO83" s="53">
        <v>236</v>
      </c>
      <c r="BP83" s="53">
        <v>29</v>
      </c>
      <c r="BQ83" s="53">
        <f t="shared" si="28"/>
        <v>207</v>
      </c>
      <c r="BR83" s="53">
        <v>2450</v>
      </c>
      <c r="BS83" s="53">
        <v>400</v>
      </c>
      <c r="BT83" s="53">
        <f t="shared" si="29"/>
        <v>2050</v>
      </c>
      <c r="BU83" s="53">
        <f t="shared" si="30"/>
        <v>424350</v>
      </c>
      <c r="BV83" s="53">
        <f t="shared" si="31"/>
        <v>12.288135593220339</v>
      </c>
      <c r="BW83" s="54">
        <v>0</v>
      </c>
      <c r="BX83" s="54">
        <v>40</v>
      </c>
      <c r="BY83" s="54">
        <v>1</v>
      </c>
      <c r="BZ83" s="54">
        <f t="shared" si="32"/>
        <v>39</v>
      </c>
      <c r="CA83" s="54">
        <v>750</v>
      </c>
      <c r="CB83" s="54">
        <v>70</v>
      </c>
      <c r="CC83" s="54">
        <f t="shared" si="33"/>
        <v>680</v>
      </c>
      <c r="CD83" s="54">
        <f t="shared" si="34"/>
        <v>26520</v>
      </c>
      <c r="CE83" s="54">
        <f t="shared" si="35"/>
        <v>2.5</v>
      </c>
      <c r="CF83" s="55">
        <v>0</v>
      </c>
      <c r="CG83" s="55">
        <v>0</v>
      </c>
      <c r="CH83" s="55">
        <v>0</v>
      </c>
      <c r="CI83" s="55">
        <f t="shared" si="36"/>
        <v>0</v>
      </c>
      <c r="CJ83" s="55">
        <v>730</v>
      </c>
      <c r="CK83" s="55">
        <v>0</v>
      </c>
      <c r="CL83" s="55">
        <f t="shared" si="37"/>
        <v>730</v>
      </c>
      <c r="CM83" s="55">
        <f t="shared" si="38"/>
        <v>0</v>
      </c>
      <c r="CN83" s="55" t="e">
        <f t="shared" si="39"/>
        <v>#DIV/0!</v>
      </c>
      <c r="CO83" s="56">
        <v>0</v>
      </c>
      <c r="CP83" s="56">
        <v>0</v>
      </c>
      <c r="CQ83" s="56">
        <v>0</v>
      </c>
      <c r="CR83" s="56">
        <f t="shared" si="40"/>
        <v>0</v>
      </c>
      <c r="CS83" s="56">
        <v>730</v>
      </c>
      <c r="CT83" s="56">
        <v>0</v>
      </c>
      <c r="CU83" s="56">
        <f t="shared" si="41"/>
        <v>730</v>
      </c>
      <c r="CV83" s="56">
        <f t="shared" si="42"/>
        <v>0</v>
      </c>
      <c r="CW83" s="56" t="e">
        <f t="shared" si="43"/>
        <v>#DIV/0!</v>
      </c>
      <c r="CX83" s="57">
        <v>0</v>
      </c>
      <c r="CY83" s="57">
        <v>0</v>
      </c>
      <c r="CZ83" s="57">
        <v>0</v>
      </c>
      <c r="DA83" s="57">
        <f t="shared" si="44"/>
        <v>0</v>
      </c>
      <c r="DB83" s="57">
        <v>600</v>
      </c>
      <c r="DC83" s="57">
        <v>0</v>
      </c>
      <c r="DD83" s="57">
        <f t="shared" si="45"/>
        <v>600</v>
      </c>
      <c r="DE83" s="57">
        <f t="shared" si="46"/>
        <v>0</v>
      </c>
      <c r="DF83" s="57" t="e">
        <f t="shared" si="47"/>
        <v>#DIV/0!</v>
      </c>
    </row>
    <row r="84" spans="1:110" ht="14.25" customHeight="1">
      <c r="A84" s="59"/>
      <c r="B84" s="29"/>
      <c r="C84" s="45">
        <v>0</v>
      </c>
      <c r="D84" s="45">
        <v>0</v>
      </c>
      <c r="E84" s="45">
        <v>0</v>
      </c>
      <c r="F84" s="45">
        <f t="shared" si="0"/>
        <v>0</v>
      </c>
      <c r="G84" s="45">
        <v>900</v>
      </c>
      <c r="H84" s="45">
        <v>0</v>
      </c>
      <c r="I84" s="45">
        <f t="shared" si="1"/>
        <v>900</v>
      </c>
      <c r="J84" s="45">
        <f t="shared" si="2"/>
        <v>0</v>
      </c>
      <c r="K84" s="45" t="e">
        <f t="shared" si="3"/>
        <v>#DIV/0!</v>
      </c>
      <c r="L84" s="47">
        <v>0</v>
      </c>
      <c r="M84" s="47">
        <v>0</v>
      </c>
      <c r="N84" s="47">
        <v>0</v>
      </c>
      <c r="O84" s="47">
        <f t="shared" si="4"/>
        <v>0</v>
      </c>
      <c r="P84" s="47">
        <v>1800</v>
      </c>
      <c r="Q84" s="47">
        <v>0</v>
      </c>
      <c r="R84" s="47">
        <f t="shared" si="5"/>
        <v>1800</v>
      </c>
      <c r="S84" s="47">
        <f t="shared" si="6"/>
        <v>0</v>
      </c>
      <c r="T84" s="47" t="e">
        <f t="shared" si="7"/>
        <v>#DIV/0!</v>
      </c>
      <c r="U84" s="48">
        <v>0</v>
      </c>
      <c r="V84" s="48">
        <v>0</v>
      </c>
      <c r="W84" s="48">
        <v>0</v>
      </c>
      <c r="X84" s="48">
        <f t="shared" si="8"/>
        <v>0</v>
      </c>
      <c r="Y84" s="48">
        <v>910</v>
      </c>
      <c r="Z84" s="48">
        <v>0</v>
      </c>
      <c r="AA84" s="48">
        <f t="shared" si="9"/>
        <v>910</v>
      </c>
      <c r="AB84" s="48">
        <f t="shared" si="10"/>
        <v>0</v>
      </c>
      <c r="AC84" s="48" t="e">
        <f t="shared" si="11"/>
        <v>#DIV/0!</v>
      </c>
      <c r="AD84" s="49">
        <v>0</v>
      </c>
      <c r="AE84" s="49">
        <v>0</v>
      </c>
      <c r="AF84" s="49">
        <v>0</v>
      </c>
      <c r="AG84" s="49">
        <f t="shared" si="48"/>
        <v>0</v>
      </c>
      <c r="AH84" s="49">
        <v>1200</v>
      </c>
      <c r="AI84" s="49">
        <v>0</v>
      </c>
      <c r="AJ84" s="49">
        <f t="shared" si="13"/>
        <v>1200</v>
      </c>
      <c r="AK84" s="49">
        <f t="shared" si="14"/>
        <v>0</v>
      </c>
      <c r="AL84" s="49" t="e">
        <f t="shared" si="15"/>
        <v>#DIV/0!</v>
      </c>
      <c r="AM84" s="50">
        <v>0</v>
      </c>
      <c r="AN84" s="50">
        <v>0</v>
      </c>
      <c r="AO84" s="50">
        <v>0</v>
      </c>
      <c r="AP84" s="50">
        <f t="shared" si="16"/>
        <v>0</v>
      </c>
      <c r="AQ84" s="50">
        <v>600</v>
      </c>
      <c r="AR84" s="50">
        <v>0</v>
      </c>
      <c r="AS84" s="50">
        <f t="shared" si="17"/>
        <v>600</v>
      </c>
      <c r="AT84" s="50">
        <f t="shared" si="18"/>
        <v>0</v>
      </c>
      <c r="AU84" s="50" t="e">
        <f t="shared" si="19"/>
        <v>#DIV/0!</v>
      </c>
      <c r="AV84" s="51">
        <v>0</v>
      </c>
      <c r="AW84" s="51">
        <v>0</v>
      </c>
      <c r="AX84" s="51">
        <v>0</v>
      </c>
      <c r="AY84" s="51">
        <f t="shared" si="20"/>
        <v>0</v>
      </c>
      <c r="AZ84" s="51">
        <v>1500</v>
      </c>
      <c r="BA84" s="51">
        <v>0</v>
      </c>
      <c r="BB84" s="51">
        <f t="shared" si="21"/>
        <v>1500</v>
      </c>
      <c r="BC84" s="51">
        <f t="shared" si="22"/>
        <v>0</v>
      </c>
      <c r="BD84" s="51" t="e">
        <f t="shared" si="23"/>
        <v>#DIV/0!</v>
      </c>
      <c r="BE84" s="52">
        <v>0</v>
      </c>
      <c r="BF84" s="52">
        <v>0</v>
      </c>
      <c r="BG84" s="52">
        <v>0</v>
      </c>
      <c r="BH84" s="52">
        <f t="shared" si="24"/>
        <v>0</v>
      </c>
      <c r="BI84" s="52">
        <v>750</v>
      </c>
      <c r="BJ84" s="52">
        <v>0</v>
      </c>
      <c r="BK84" s="52">
        <f t="shared" si="25"/>
        <v>750</v>
      </c>
      <c r="BL84" s="52">
        <f t="shared" si="26"/>
        <v>0</v>
      </c>
      <c r="BM84" s="52" t="e">
        <f t="shared" si="27"/>
        <v>#DIV/0!</v>
      </c>
      <c r="BN84" s="53">
        <v>0</v>
      </c>
      <c r="BO84" s="53">
        <v>0</v>
      </c>
      <c r="BP84" s="53">
        <v>0</v>
      </c>
      <c r="BQ84" s="53">
        <f t="shared" si="28"/>
        <v>0</v>
      </c>
      <c r="BR84" s="53">
        <v>2450</v>
      </c>
      <c r="BS84" s="53">
        <v>0</v>
      </c>
      <c r="BT84" s="53">
        <f t="shared" si="29"/>
        <v>2450</v>
      </c>
      <c r="BU84" s="53">
        <f t="shared" si="30"/>
        <v>0</v>
      </c>
      <c r="BV84" s="53" t="e">
        <f t="shared" si="31"/>
        <v>#DIV/0!</v>
      </c>
      <c r="BW84" s="54">
        <v>0</v>
      </c>
      <c r="BX84" s="54">
        <v>0</v>
      </c>
      <c r="BY84" s="54">
        <v>0</v>
      </c>
      <c r="BZ84" s="54">
        <f t="shared" si="32"/>
        <v>0</v>
      </c>
      <c r="CA84" s="54">
        <v>750</v>
      </c>
      <c r="CB84" s="54">
        <v>0</v>
      </c>
      <c r="CC84" s="54">
        <f t="shared" si="33"/>
        <v>750</v>
      </c>
      <c r="CD84" s="54">
        <f t="shared" si="34"/>
        <v>0</v>
      </c>
      <c r="CE84" s="54" t="e">
        <f t="shared" si="35"/>
        <v>#DIV/0!</v>
      </c>
      <c r="CF84" s="55">
        <v>0</v>
      </c>
      <c r="CG84" s="55">
        <v>0</v>
      </c>
      <c r="CH84" s="55">
        <v>0</v>
      </c>
      <c r="CI84" s="55">
        <f t="shared" si="36"/>
        <v>0</v>
      </c>
      <c r="CJ84" s="55">
        <v>730</v>
      </c>
      <c r="CK84" s="55">
        <v>0</v>
      </c>
      <c r="CL84" s="55">
        <f t="shared" si="37"/>
        <v>730</v>
      </c>
      <c r="CM84" s="55">
        <f t="shared" si="38"/>
        <v>0</v>
      </c>
      <c r="CN84" s="55" t="e">
        <f t="shared" si="39"/>
        <v>#DIV/0!</v>
      </c>
      <c r="CO84" s="56">
        <v>0</v>
      </c>
      <c r="CP84" s="56">
        <v>0</v>
      </c>
      <c r="CQ84" s="56">
        <v>0</v>
      </c>
      <c r="CR84" s="56">
        <f t="shared" si="40"/>
        <v>0</v>
      </c>
      <c r="CS84" s="56">
        <v>730</v>
      </c>
      <c r="CT84" s="56">
        <v>0</v>
      </c>
      <c r="CU84" s="56">
        <f t="shared" si="41"/>
        <v>730</v>
      </c>
      <c r="CV84" s="56">
        <f t="shared" si="42"/>
        <v>0</v>
      </c>
      <c r="CW84" s="56" t="e">
        <f t="shared" si="43"/>
        <v>#DIV/0!</v>
      </c>
      <c r="CX84" s="57">
        <v>0</v>
      </c>
      <c r="CY84" s="57">
        <v>0</v>
      </c>
      <c r="CZ84" s="57">
        <v>0</v>
      </c>
      <c r="DA84" s="57">
        <f t="shared" si="44"/>
        <v>0</v>
      </c>
      <c r="DB84" s="57">
        <v>600</v>
      </c>
      <c r="DC84" s="57">
        <v>0</v>
      </c>
      <c r="DD84" s="57">
        <f t="shared" si="45"/>
        <v>600</v>
      </c>
      <c r="DE84" s="57">
        <f t="shared" si="46"/>
        <v>0</v>
      </c>
      <c r="DF84" s="57" t="e">
        <f t="shared" si="47"/>
        <v>#DIV/0!</v>
      </c>
    </row>
    <row r="85" spans="1:110" ht="14.25" customHeight="1">
      <c r="A85" s="59"/>
      <c r="B85" s="29"/>
      <c r="C85" s="45">
        <v>0</v>
      </c>
      <c r="D85" s="45">
        <v>0</v>
      </c>
      <c r="E85" s="45">
        <v>0</v>
      </c>
      <c r="F85" s="45">
        <f t="shared" si="0"/>
        <v>0</v>
      </c>
      <c r="G85" s="45">
        <v>900</v>
      </c>
      <c r="H85" s="45">
        <v>0</v>
      </c>
      <c r="I85" s="45">
        <f t="shared" si="1"/>
        <v>900</v>
      </c>
      <c r="J85" s="45">
        <f t="shared" si="2"/>
        <v>0</v>
      </c>
      <c r="K85" s="45" t="e">
        <f t="shared" si="3"/>
        <v>#DIV/0!</v>
      </c>
      <c r="L85" s="47">
        <v>0</v>
      </c>
      <c r="M85" s="47">
        <v>0</v>
      </c>
      <c r="N85" s="47">
        <v>0</v>
      </c>
      <c r="O85" s="47">
        <f t="shared" si="4"/>
        <v>0</v>
      </c>
      <c r="P85" s="47">
        <v>1800</v>
      </c>
      <c r="Q85" s="47">
        <v>0</v>
      </c>
      <c r="R85" s="47">
        <f t="shared" si="5"/>
        <v>1800</v>
      </c>
      <c r="S85" s="47">
        <f t="shared" si="6"/>
        <v>0</v>
      </c>
      <c r="T85" s="47" t="e">
        <f t="shared" si="7"/>
        <v>#DIV/0!</v>
      </c>
      <c r="U85" s="48">
        <v>0</v>
      </c>
      <c r="V85" s="48">
        <v>0</v>
      </c>
      <c r="W85" s="48">
        <v>0</v>
      </c>
      <c r="X85" s="48">
        <f t="shared" si="8"/>
        <v>0</v>
      </c>
      <c r="Y85" s="48">
        <v>910</v>
      </c>
      <c r="Z85" s="48">
        <v>0</v>
      </c>
      <c r="AA85" s="48">
        <f t="shared" si="9"/>
        <v>910</v>
      </c>
      <c r="AB85" s="48">
        <f t="shared" si="10"/>
        <v>0</v>
      </c>
      <c r="AC85" s="48" t="e">
        <f t="shared" si="11"/>
        <v>#DIV/0!</v>
      </c>
      <c r="AD85" s="49">
        <v>0</v>
      </c>
      <c r="AE85" s="49">
        <v>0</v>
      </c>
      <c r="AF85" s="49">
        <v>0</v>
      </c>
      <c r="AG85" s="49">
        <f t="shared" si="48"/>
        <v>0</v>
      </c>
      <c r="AH85" s="49">
        <v>1200</v>
      </c>
      <c r="AI85" s="49">
        <v>0</v>
      </c>
      <c r="AJ85" s="49">
        <f t="shared" si="13"/>
        <v>1200</v>
      </c>
      <c r="AK85" s="49">
        <f t="shared" si="14"/>
        <v>0</v>
      </c>
      <c r="AL85" s="49" t="e">
        <f t="shared" si="15"/>
        <v>#DIV/0!</v>
      </c>
      <c r="AM85" s="50">
        <v>0</v>
      </c>
      <c r="AN85" s="50">
        <v>0</v>
      </c>
      <c r="AO85" s="50">
        <v>0</v>
      </c>
      <c r="AP85" s="50">
        <f t="shared" si="16"/>
        <v>0</v>
      </c>
      <c r="AQ85" s="50">
        <v>600</v>
      </c>
      <c r="AR85" s="50">
        <v>0</v>
      </c>
      <c r="AS85" s="50">
        <f t="shared" si="17"/>
        <v>600</v>
      </c>
      <c r="AT85" s="50">
        <f t="shared" si="18"/>
        <v>0</v>
      </c>
      <c r="AU85" s="50" t="e">
        <f t="shared" si="19"/>
        <v>#DIV/0!</v>
      </c>
      <c r="AV85" s="51">
        <v>0</v>
      </c>
      <c r="AW85" s="51">
        <v>0</v>
      </c>
      <c r="AX85" s="51">
        <v>0</v>
      </c>
      <c r="AY85" s="51">
        <f t="shared" si="20"/>
        <v>0</v>
      </c>
      <c r="AZ85" s="51">
        <v>1500</v>
      </c>
      <c r="BA85" s="51">
        <v>0</v>
      </c>
      <c r="BB85" s="51">
        <f t="shared" si="21"/>
        <v>1500</v>
      </c>
      <c r="BC85" s="51">
        <f t="shared" si="22"/>
        <v>0</v>
      </c>
      <c r="BD85" s="51" t="e">
        <f t="shared" si="23"/>
        <v>#DIV/0!</v>
      </c>
      <c r="BE85" s="52">
        <v>0</v>
      </c>
      <c r="BF85" s="52">
        <v>0</v>
      </c>
      <c r="BG85" s="52">
        <v>0</v>
      </c>
      <c r="BH85" s="52">
        <f t="shared" si="24"/>
        <v>0</v>
      </c>
      <c r="BI85" s="52">
        <v>750</v>
      </c>
      <c r="BJ85" s="52">
        <v>0</v>
      </c>
      <c r="BK85" s="52">
        <f t="shared" si="25"/>
        <v>750</v>
      </c>
      <c r="BL85" s="52">
        <f t="shared" si="26"/>
        <v>0</v>
      </c>
      <c r="BM85" s="52" t="e">
        <f t="shared" si="27"/>
        <v>#DIV/0!</v>
      </c>
      <c r="BN85" s="53">
        <v>0</v>
      </c>
      <c r="BO85" s="53">
        <v>0</v>
      </c>
      <c r="BP85" s="53">
        <v>0</v>
      </c>
      <c r="BQ85" s="53">
        <f t="shared" si="28"/>
        <v>0</v>
      </c>
      <c r="BR85" s="53">
        <v>2450</v>
      </c>
      <c r="BS85" s="53">
        <v>0</v>
      </c>
      <c r="BT85" s="53">
        <f t="shared" si="29"/>
        <v>2450</v>
      </c>
      <c r="BU85" s="53">
        <f t="shared" si="30"/>
        <v>0</v>
      </c>
      <c r="BV85" s="53" t="e">
        <f t="shared" si="31"/>
        <v>#DIV/0!</v>
      </c>
      <c r="BW85" s="54">
        <v>0</v>
      </c>
      <c r="BX85" s="54">
        <v>0</v>
      </c>
      <c r="BY85" s="54">
        <v>0</v>
      </c>
      <c r="BZ85" s="54">
        <f t="shared" si="32"/>
        <v>0</v>
      </c>
      <c r="CA85" s="54">
        <v>750</v>
      </c>
      <c r="CB85" s="54">
        <v>0</v>
      </c>
      <c r="CC85" s="54">
        <f t="shared" si="33"/>
        <v>750</v>
      </c>
      <c r="CD85" s="54">
        <f t="shared" si="34"/>
        <v>0</v>
      </c>
      <c r="CE85" s="54" t="e">
        <f t="shared" si="35"/>
        <v>#DIV/0!</v>
      </c>
      <c r="CF85" s="55">
        <v>0</v>
      </c>
      <c r="CG85" s="55">
        <v>0</v>
      </c>
      <c r="CH85" s="55">
        <v>0</v>
      </c>
      <c r="CI85" s="55">
        <f t="shared" si="36"/>
        <v>0</v>
      </c>
      <c r="CJ85" s="55">
        <v>730</v>
      </c>
      <c r="CK85" s="55">
        <v>0</v>
      </c>
      <c r="CL85" s="55">
        <f t="shared" si="37"/>
        <v>730</v>
      </c>
      <c r="CM85" s="55">
        <f t="shared" si="38"/>
        <v>0</v>
      </c>
      <c r="CN85" s="55" t="e">
        <f t="shared" si="39"/>
        <v>#DIV/0!</v>
      </c>
      <c r="CO85" s="56">
        <v>0</v>
      </c>
      <c r="CP85" s="56">
        <v>0</v>
      </c>
      <c r="CQ85" s="56">
        <v>0</v>
      </c>
      <c r="CR85" s="56">
        <f t="shared" si="40"/>
        <v>0</v>
      </c>
      <c r="CS85" s="56">
        <v>730</v>
      </c>
      <c r="CT85" s="56">
        <v>0</v>
      </c>
      <c r="CU85" s="56">
        <f t="shared" si="41"/>
        <v>730</v>
      </c>
      <c r="CV85" s="56">
        <f t="shared" si="42"/>
        <v>0</v>
      </c>
      <c r="CW85" s="56" t="e">
        <f t="shared" si="43"/>
        <v>#DIV/0!</v>
      </c>
      <c r="CX85" s="57">
        <v>0</v>
      </c>
      <c r="CY85" s="57">
        <v>0</v>
      </c>
      <c r="CZ85" s="57">
        <v>0</v>
      </c>
      <c r="DA85" s="57">
        <f t="shared" si="44"/>
        <v>0</v>
      </c>
      <c r="DB85" s="57">
        <v>600</v>
      </c>
      <c r="DC85" s="57">
        <v>0</v>
      </c>
      <c r="DD85" s="57">
        <f t="shared" si="45"/>
        <v>600</v>
      </c>
      <c r="DE85" s="57">
        <f t="shared" si="46"/>
        <v>0</v>
      </c>
      <c r="DF85" s="57" t="e">
        <f t="shared" si="47"/>
        <v>#DIV/0!</v>
      </c>
    </row>
    <row r="86" spans="1:110" ht="14.25" customHeight="1">
      <c r="A86" s="59"/>
      <c r="B86" s="29"/>
      <c r="C86" s="45">
        <v>0</v>
      </c>
      <c r="D86" s="45">
        <v>0</v>
      </c>
      <c r="E86" s="45">
        <v>0</v>
      </c>
      <c r="F86" s="45">
        <f t="shared" si="0"/>
        <v>0</v>
      </c>
      <c r="G86" s="45">
        <v>900</v>
      </c>
      <c r="H86" s="45">
        <v>0</v>
      </c>
      <c r="I86" s="45">
        <f t="shared" si="1"/>
        <v>900</v>
      </c>
      <c r="J86" s="45">
        <f t="shared" si="2"/>
        <v>0</v>
      </c>
      <c r="K86" s="45" t="e">
        <f t="shared" si="3"/>
        <v>#DIV/0!</v>
      </c>
      <c r="L86" s="47">
        <v>0</v>
      </c>
      <c r="M86" s="47">
        <v>0</v>
      </c>
      <c r="N86" s="47">
        <v>0</v>
      </c>
      <c r="O86" s="47">
        <f t="shared" si="4"/>
        <v>0</v>
      </c>
      <c r="P86" s="47">
        <v>1800</v>
      </c>
      <c r="Q86" s="47">
        <v>0</v>
      </c>
      <c r="R86" s="47">
        <f t="shared" si="5"/>
        <v>1800</v>
      </c>
      <c r="S86" s="47">
        <f t="shared" si="6"/>
        <v>0</v>
      </c>
      <c r="T86" s="47" t="e">
        <f t="shared" si="7"/>
        <v>#DIV/0!</v>
      </c>
      <c r="U86" s="48">
        <v>0</v>
      </c>
      <c r="V86" s="48">
        <v>0</v>
      </c>
      <c r="W86" s="48">
        <v>0</v>
      </c>
      <c r="X86" s="48">
        <f t="shared" si="8"/>
        <v>0</v>
      </c>
      <c r="Y86" s="48">
        <v>910</v>
      </c>
      <c r="Z86" s="48">
        <v>0</v>
      </c>
      <c r="AA86" s="48">
        <f t="shared" si="9"/>
        <v>910</v>
      </c>
      <c r="AB86" s="48">
        <f t="shared" si="10"/>
        <v>0</v>
      </c>
      <c r="AC86" s="48" t="e">
        <f t="shared" si="11"/>
        <v>#DIV/0!</v>
      </c>
      <c r="AD86" s="49">
        <v>0</v>
      </c>
      <c r="AE86" s="49">
        <v>0</v>
      </c>
      <c r="AF86" s="49">
        <v>0</v>
      </c>
      <c r="AG86" s="49">
        <f t="shared" si="48"/>
        <v>0</v>
      </c>
      <c r="AH86" s="49">
        <v>1200</v>
      </c>
      <c r="AI86" s="49">
        <v>0</v>
      </c>
      <c r="AJ86" s="49">
        <f t="shared" si="13"/>
        <v>1200</v>
      </c>
      <c r="AK86" s="49">
        <f t="shared" si="14"/>
        <v>0</v>
      </c>
      <c r="AL86" s="49" t="e">
        <f t="shared" si="15"/>
        <v>#DIV/0!</v>
      </c>
      <c r="AM86" s="50">
        <v>0</v>
      </c>
      <c r="AN86" s="50">
        <v>0</v>
      </c>
      <c r="AO86" s="50">
        <v>0</v>
      </c>
      <c r="AP86" s="50">
        <f t="shared" si="16"/>
        <v>0</v>
      </c>
      <c r="AQ86" s="50">
        <v>600</v>
      </c>
      <c r="AR86" s="50">
        <v>0</v>
      </c>
      <c r="AS86" s="50">
        <f t="shared" si="17"/>
        <v>600</v>
      </c>
      <c r="AT86" s="50">
        <f t="shared" si="18"/>
        <v>0</v>
      </c>
      <c r="AU86" s="50" t="e">
        <f t="shared" si="19"/>
        <v>#DIV/0!</v>
      </c>
      <c r="AV86" s="51">
        <v>0</v>
      </c>
      <c r="AW86" s="51">
        <v>0</v>
      </c>
      <c r="AX86" s="51">
        <v>0</v>
      </c>
      <c r="AY86" s="51">
        <f t="shared" si="20"/>
        <v>0</v>
      </c>
      <c r="AZ86" s="51">
        <v>1500</v>
      </c>
      <c r="BA86" s="51">
        <v>0</v>
      </c>
      <c r="BB86" s="51">
        <f t="shared" si="21"/>
        <v>1500</v>
      </c>
      <c r="BC86" s="51">
        <f t="shared" si="22"/>
        <v>0</v>
      </c>
      <c r="BD86" s="51" t="e">
        <f t="shared" si="23"/>
        <v>#DIV/0!</v>
      </c>
      <c r="BE86" s="52">
        <v>0</v>
      </c>
      <c r="BF86" s="52">
        <v>0</v>
      </c>
      <c r="BG86" s="52">
        <v>0</v>
      </c>
      <c r="BH86" s="52">
        <f t="shared" si="24"/>
        <v>0</v>
      </c>
      <c r="BI86" s="52">
        <v>750</v>
      </c>
      <c r="BJ86" s="52">
        <v>0</v>
      </c>
      <c r="BK86" s="52">
        <f t="shared" si="25"/>
        <v>750</v>
      </c>
      <c r="BL86" s="52">
        <f t="shared" si="26"/>
        <v>0</v>
      </c>
      <c r="BM86" s="52" t="e">
        <f t="shared" si="27"/>
        <v>#DIV/0!</v>
      </c>
      <c r="BN86" s="53">
        <v>0</v>
      </c>
      <c r="BO86" s="53">
        <v>0</v>
      </c>
      <c r="BP86" s="53">
        <v>0</v>
      </c>
      <c r="BQ86" s="53">
        <f t="shared" si="28"/>
        <v>0</v>
      </c>
      <c r="BR86" s="53">
        <v>2450</v>
      </c>
      <c r="BS86" s="53">
        <v>0</v>
      </c>
      <c r="BT86" s="53">
        <f t="shared" si="29"/>
        <v>2450</v>
      </c>
      <c r="BU86" s="53">
        <f t="shared" si="30"/>
        <v>0</v>
      </c>
      <c r="BV86" s="53" t="e">
        <f t="shared" si="31"/>
        <v>#DIV/0!</v>
      </c>
      <c r="BW86" s="54">
        <v>0</v>
      </c>
      <c r="BX86" s="54">
        <v>0</v>
      </c>
      <c r="BY86" s="54">
        <v>0</v>
      </c>
      <c r="BZ86" s="54">
        <f t="shared" si="32"/>
        <v>0</v>
      </c>
      <c r="CA86" s="54">
        <v>750</v>
      </c>
      <c r="CB86" s="54">
        <v>0</v>
      </c>
      <c r="CC86" s="54">
        <f t="shared" si="33"/>
        <v>750</v>
      </c>
      <c r="CD86" s="54">
        <f t="shared" si="34"/>
        <v>0</v>
      </c>
      <c r="CE86" s="54" t="e">
        <f t="shared" si="35"/>
        <v>#DIV/0!</v>
      </c>
      <c r="CF86" s="55">
        <v>0</v>
      </c>
      <c r="CG86" s="55">
        <v>0</v>
      </c>
      <c r="CH86" s="55">
        <v>0</v>
      </c>
      <c r="CI86" s="55">
        <f t="shared" si="36"/>
        <v>0</v>
      </c>
      <c r="CJ86" s="55">
        <v>730</v>
      </c>
      <c r="CK86" s="55">
        <v>0</v>
      </c>
      <c r="CL86" s="55">
        <f t="shared" si="37"/>
        <v>730</v>
      </c>
      <c r="CM86" s="55">
        <f t="shared" si="38"/>
        <v>0</v>
      </c>
      <c r="CN86" s="55" t="e">
        <f t="shared" si="39"/>
        <v>#DIV/0!</v>
      </c>
      <c r="CO86" s="56">
        <v>0</v>
      </c>
      <c r="CP86" s="56">
        <v>0</v>
      </c>
      <c r="CQ86" s="56">
        <v>0</v>
      </c>
      <c r="CR86" s="56">
        <f t="shared" si="40"/>
        <v>0</v>
      </c>
      <c r="CS86" s="56">
        <v>730</v>
      </c>
      <c r="CT86" s="56">
        <v>0</v>
      </c>
      <c r="CU86" s="56">
        <f t="shared" si="41"/>
        <v>730</v>
      </c>
      <c r="CV86" s="56">
        <f t="shared" si="42"/>
        <v>0</v>
      </c>
      <c r="CW86" s="56" t="e">
        <f t="shared" si="43"/>
        <v>#DIV/0!</v>
      </c>
      <c r="CX86" s="57">
        <v>0</v>
      </c>
      <c r="CY86" s="57">
        <v>0</v>
      </c>
      <c r="CZ86" s="57">
        <v>0</v>
      </c>
      <c r="DA86" s="57">
        <f t="shared" si="44"/>
        <v>0</v>
      </c>
      <c r="DB86" s="57">
        <v>600</v>
      </c>
      <c r="DC86" s="57">
        <v>0</v>
      </c>
      <c r="DD86" s="57">
        <f t="shared" si="45"/>
        <v>600</v>
      </c>
      <c r="DE86" s="57">
        <f t="shared" si="46"/>
        <v>0</v>
      </c>
      <c r="DF86" s="57" t="e">
        <f t="shared" si="47"/>
        <v>#DIV/0!</v>
      </c>
    </row>
    <row r="87" spans="1:110" ht="14.25" customHeight="1">
      <c r="A87" s="59"/>
      <c r="B87" s="29"/>
      <c r="C87" s="45">
        <v>0</v>
      </c>
      <c r="D87" s="45">
        <v>0</v>
      </c>
      <c r="E87" s="45">
        <v>0</v>
      </c>
      <c r="F87" s="45">
        <f t="shared" si="0"/>
        <v>0</v>
      </c>
      <c r="G87" s="45">
        <v>900</v>
      </c>
      <c r="H87" s="45">
        <v>0</v>
      </c>
      <c r="I87" s="45">
        <f t="shared" si="1"/>
        <v>900</v>
      </c>
      <c r="J87" s="45">
        <f t="shared" si="2"/>
        <v>0</v>
      </c>
      <c r="K87" s="45" t="e">
        <f t="shared" si="3"/>
        <v>#DIV/0!</v>
      </c>
      <c r="L87" s="47">
        <v>0</v>
      </c>
      <c r="M87" s="47">
        <v>0</v>
      </c>
      <c r="N87" s="47">
        <v>0</v>
      </c>
      <c r="O87" s="47">
        <f t="shared" si="4"/>
        <v>0</v>
      </c>
      <c r="P87" s="47">
        <v>1800</v>
      </c>
      <c r="Q87" s="47">
        <v>0</v>
      </c>
      <c r="R87" s="47">
        <f t="shared" si="5"/>
        <v>1800</v>
      </c>
      <c r="S87" s="47">
        <f t="shared" si="6"/>
        <v>0</v>
      </c>
      <c r="T87" s="47" t="e">
        <f t="shared" si="7"/>
        <v>#DIV/0!</v>
      </c>
      <c r="U87" s="48">
        <v>0</v>
      </c>
      <c r="V87" s="48">
        <v>0</v>
      </c>
      <c r="W87" s="48">
        <v>0</v>
      </c>
      <c r="X87" s="48">
        <f t="shared" si="8"/>
        <v>0</v>
      </c>
      <c r="Y87" s="48">
        <v>910</v>
      </c>
      <c r="Z87" s="48">
        <v>0</v>
      </c>
      <c r="AA87" s="48">
        <f t="shared" si="9"/>
        <v>910</v>
      </c>
      <c r="AB87" s="48">
        <f t="shared" si="10"/>
        <v>0</v>
      </c>
      <c r="AC87" s="48" t="e">
        <f t="shared" si="11"/>
        <v>#DIV/0!</v>
      </c>
      <c r="AD87" s="49">
        <v>0</v>
      </c>
      <c r="AE87" s="49">
        <v>0</v>
      </c>
      <c r="AF87" s="49">
        <v>0</v>
      </c>
      <c r="AG87" s="49">
        <f t="shared" si="48"/>
        <v>0</v>
      </c>
      <c r="AH87" s="49">
        <v>1200</v>
      </c>
      <c r="AI87" s="49">
        <v>0</v>
      </c>
      <c r="AJ87" s="49">
        <f t="shared" si="13"/>
        <v>1200</v>
      </c>
      <c r="AK87" s="49">
        <f t="shared" si="14"/>
        <v>0</v>
      </c>
      <c r="AL87" s="49" t="e">
        <f t="shared" si="15"/>
        <v>#DIV/0!</v>
      </c>
      <c r="AM87" s="50">
        <v>0</v>
      </c>
      <c r="AN87" s="50">
        <v>0</v>
      </c>
      <c r="AO87" s="50">
        <v>0</v>
      </c>
      <c r="AP87" s="50">
        <f t="shared" si="16"/>
        <v>0</v>
      </c>
      <c r="AQ87" s="50">
        <v>600</v>
      </c>
      <c r="AR87" s="50">
        <v>0</v>
      </c>
      <c r="AS87" s="50">
        <f t="shared" si="17"/>
        <v>600</v>
      </c>
      <c r="AT87" s="50">
        <f t="shared" si="18"/>
        <v>0</v>
      </c>
      <c r="AU87" s="50" t="e">
        <f t="shared" si="19"/>
        <v>#DIV/0!</v>
      </c>
      <c r="AV87" s="51">
        <v>0</v>
      </c>
      <c r="AW87" s="51">
        <v>0</v>
      </c>
      <c r="AX87" s="51">
        <v>0</v>
      </c>
      <c r="AY87" s="51">
        <f t="shared" si="20"/>
        <v>0</v>
      </c>
      <c r="AZ87" s="51">
        <v>1500</v>
      </c>
      <c r="BA87" s="51">
        <v>0</v>
      </c>
      <c r="BB87" s="51">
        <f t="shared" si="21"/>
        <v>1500</v>
      </c>
      <c r="BC87" s="51">
        <f t="shared" si="22"/>
        <v>0</v>
      </c>
      <c r="BD87" s="51" t="e">
        <f t="shared" si="23"/>
        <v>#DIV/0!</v>
      </c>
      <c r="BE87" s="52">
        <v>0</v>
      </c>
      <c r="BF87" s="52">
        <v>0</v>
      </c>
      <c r="BG87" s="52">
        <v>0</v>
      </c>
      <c r="BH87" s="52">
        <f t="shared" si="24"/>
        <v>0</v>
      </c>
      <c r="BI87" s="52">
        <v>750</v>
      </c>
      <c r="BJ87" s="52">
        <v>0</v>
      </c>
      <c r="BK87" s="52">
        <f t="shared" si="25"/>
        <v>750</v>
      </c>
      <c r="BL87" s="52">
        <f t="shared" si="26"/>
        <v>0</v>
      </c>
      <c r="BM87" s="52" t="e">
        <f t="shared" si="27"/>
        <v>#DIV/0!</v>
      </c>
      <c r="BN87" s="53">
        <v>0</v>
      </c>
      <c r="BO87" s="53">
        <v>0</v>
      </c>
      <c r="BP87" s="53">
        <v>0</v>
      </c>
      <c r="BQ87" s="53">
        <f t="shared" si="28"/>
        <v>0</v>
      </c>
      <c r="BR87" s="53">
        <v>2450</v>
      </c>
      <c r="BS87" s="53">
        <v>0</v>
      </c>
      <c r="BT87" s="53">
        <f t="shared" si="29"/>
        <v>2450</v>
      </c>
      <c r="BU87" s="53">
        <f t="shared" si="30"/>
        <v>0</v>
      </c>
      <c r="BV87" s="53" t="e">
        <f t="shared" si="31"/>
        <v>#DIV/0!</v>
      </c>
      <c r="BW87" s="54">
        <v>0</v>
      </c>
      <c r="BX87" s="54">
        <v>0</v>
      </c>
      <c r="BY87" s="54">
        <v>0</v>
      </c>
      <c r="BZ87" s="54">
        <f t="shared" si="32"/>
        <v>0</v>
      </c>
      <c r="CA87" s="54">
        <v>750</v>
      </c>
      <c r="CB87" s="54">
        <v>0</v>
      </c>
      <c r="CC87" s="54">
        <f t="shared" si="33"/>
        <v>750</v>
      </c>
      <c r="CD87" s="54">
        <f t="shared" si="34"/>
        <v>0</v>
      </c>
      <c r="CE87" s="54" t="e">
        <f t="shared" si="35"/>
        <v>#DIV/0!</v>
      </c>
      <c r="CF87" s="55">
        <v>0</v>
      </c>
      <c r="CG87" s="55">
        <v>0</v>
      </c>
      <c r="CH87" s="55">
        <v>0</v>
      </c>
      <c r="CI87" s="55">
        <f t="shared" si="36"/>
        <v>0</v>
      </c>
      <c r="CJ87" s="55">
        <v>730</v>
      </c>
      <c r="CK87" s="55">
        <v>0</v>
      </c>
      <c r="CL87" s="55">
        <f t="shared" si="37"/>
        <v>730</v>
      </c>
      <c r="CM87" s="55">
        <f t="shared" si="38"/>
        <v>0</v>
      </c>
      <c r="CN87" s="55" t="e">
        <f t="shared" si="39"/>
        <v>#DIV/0!</v>
      </c>
      <c r="CO87" s="56">
        <v>0</v>
      </c>
      <c r="CP87" s="56">
        <v>0</v>
      </c>
      <c r="CQ87" s="56">
        <v>0</v>
      </c>
      <c r="CR87" s="56">
        <f t="shared" si="40"/>
        <v>0</v>
      </c>
      <c r="CS87" s="56">
        <v>730</v>
      </c>
      <c r="CT87" s="56">
        <v>0</v>
      </c>
      <c r="CU87" s="56">
        <f t="shared" si="41"/>
        <v>730</v>
      </c>
      <c r="CV87" s="56">
        <f t="shared" si="42"/>
        <v>0</v>
      </c>
      <c r="CW87" s="56" t="e">
        <f t="shared" si="43"/>
        <v>#DIV/0!</v>
      </c>
      <c r="CX87" s="57">
        <v>0</v>
      </c>
      <c r="CY87" s="57">
        <v>0</v>
      </c>
      <c r="CZ87" s="57">
        <v>0</v>
      </c>
      <c r="DA87" s="57">
        <f t="shared" si="44"/>
        <v>0</v>
      </c>
      <c r="DB87" s="57">
        <v>600</v>
      </c>
      <c r="DC87" s="57">
        <v>0</v>
      </c>
      <c r="DD87" s="57">
        <f t="shared" si="45"/>
        <v>600</v>
      </c>
      <c r="DE87" s="57">
        <f t="shared" si="46"/>
        <v>0</v>
      </c>
      <c r="DF87" s="57" t="e">
        <f t="shared" si="47"/>
        <v>#DIV/0!</v>
      </c>
    </row>
    <row r="88" spans="1:110" ht="14.25" customHeight="1">
      <c r="A88" s="59"/>
      <c r="B88" s="29"/>
      <c r="C88" s="45">
        <v>0</v>
      </c>
      <c r="D88" s="45">
        <v>0</v>
      </c>
      <c r="E88" s="45">
        <v>0</v>
      </c>
      <c r="F88" s="45">
        <f t="shared" si="0"/>
        <v>0</v>
      </c>
      <c r="G88" s="45">
        <v>900</v>
      </c>
      <c r="H88" s="45">
        <v>0</v>
      </c>
      <c r="I88" s="45">
        <f t="shared" si="1"/>
        <v>900</v>
      </c>
      <c r="J88" s="45">
        <f t="shared" si="2"/>
        <v>0</v>
      </c>
      <c r="K88" s="45" t="e">
        <f t="shared" si="3"/>
        <v>#DIV/0!</v>
      </c>
      <c r="L88" s="47">
        <v>0</v>
      </c>
      <c r="M88" s="47">
        <v>0</v>
      </c>
      <c r="N88" s="47">
        <v>0</v>
      </c>
      <c r="O88" s="47">
        <f t="shared" si="4"/>
        <v>0</v>
      </c>
      <c r="P88" s="47">
        <v>1800</v>
      </c>
      <c r="Q88" s="47">
        <v>0</v>
      </c>
      <c r="R88" s="47">
        <f t="shared" si="5"/>
        <v>1800</v>
      </c>
      <c r="S88" s="47">
        <f t="shared" si="6"/>
        <v>0</v>
      </c>
      <c r="T88" s="47" t="e">
        <f t="shared" si="7"/>
        <v>#DIV/0!</v>
      </c>
      <c r="U88" s="48">
        <v>0</v>
      </c>
      <c r="V88" s="48">
        <v>0</v>
      </c>
      <c r="W88" s="48">
        <v>0</v>
      </c>
      <c r="X88" s="48">
        <f t="shared" si="8"/>
        <v>0</v>
      </c>
      <c r="Y88" s="48">
        <v>910</v>
      </c>
      <c r="Z88" s="48">
        <v>0</v>
      </c>
      <c r="AA88" s="48">
        <f t="shared" si="9"/>
        <v>910</v>
      </c>
      <c r="AB88" s="48">
        <f t="shared" si="10"/>
        <v>0</v>
      </c>
      <c r="AC88" s="48" t="e">
        <f t="shared" si="11"/>
        <v>#DIV/0!</v>
      </c>
      <c r="AD88" s="49">
        <v>0</v>
      </c>
      <c r="AE88" s="49">
        <v>6</v>
      </c>
      <c r="AF88" s="49">
        <v>5</v>
      </c>
      <c r="AG88" s="49">
        <f t="shared" si="48"/>
        <v>1</v>
      </c>
      <c r="AH88" s="49">
        <v>1200</v>
      </c>
      <c r="AI88" s="49">
        <v>150</v>
      </c>
      <c r="AJ88" s="49">
        <f t="shared" si="13"/>
        <v>1050</v>
      </c>
      <c r="AK88" s="49">
        <f t="shared" si="14"/>
        <v>1050</v>
      </c>
      <c r="AL88" s="49">
        <f t="shared" si="15"/>
        <v>83.333333333333343</v>
      </c>
      <c r="AM88" s="50">
        <v>0</v>
      </c>
      <c r="AN88" s="50">
        <v>132</v>
      </c>
      <c r="AO88" s="50">
        <f>132-78</f>
        <v>54</v>
      </c>
      <c r="AP88" s="50">
        <f t="shared" si="16"/>
        <v>78</v>
      </c>
      <c r="AQ88" s="50">
        <v>600</v>
      </c>
      <c r="AR88" s="50">
        <v>100</v>
      </c>
      <c r="AS88" s="50">
        <f t="shared" si="17"/>
        <v>500</v>
      </c>
      <c r="AT88" s="50">
        <f t="shared" si="18"/>
        <v>39000</v>
      </c>
      <c r="AU88" s="50">
        <f t="shared" si="19"/>
        <v>40.909090909090914</v>
      </c>
      <c r="AV88" s="51">
        <v>0</v>
      </c>
      <c r="AW88" s="51">
        <v>0</v>
      </c>
      <c r="AX88" s="51">
        <v>0</v>
      </c>
      <c r="AY88" s="51">
        <f t="shared" si="20"/>
        <v>0</v>
      </c>
      <c r="AZ88" s="51">
        <v>1500</v>
      </c>
      <c r="BA88" s="51">
        <v>0</v>
      </c>
      <c r="BB88" s="51">
        <f t="shared" si="21"/>
        <v>1500</v>
      </c>
      <c r="BC88" s="51">
        <f t="shared" si="22"/>
        <v>0</v>
      </c>
      <c r="BD88" s="51" t="e">
        <f t="shared" si="23"/>
        <v>#DIV/0!</v>
      </c>
      <c r="BE88" s="52">
        <v>0</v>
      </c>
      <c r="BF88" s="52">
        <v>294</v>
      </c>
      <c r="BG88" s="52">
        <f>294-248</f>
        <v>46</v>
      </c>
      <c r="BH88" s="52">
        <f t="shared" si="24"/>
        <v>248</v>
      </c>
      <c r="BI88" s="52">
        <v>750</v>
      </c>
      <c r="BJ88" s="52">
        <v>100</v>
      </c>
      <c r="BK88" s="52">
        <f t="shared" si="25"/>
        <v>650</v>
      </c>
      <c r="BL88" s="52">
        <f t="shared" si="26"/>
        <v>161200</v>
      </c>
      <c r="BM88" s="52">
        <f t="shared" si="27"/>
        <v>15.646258503401361</v>
      </c>
      <c r="BN88" s="53">
        <v>0</v>
      </c>
      <c r="BO88" s="53">
        <v>544</v>
      </c>
      <c r="BP88" s="53">
        <f>544-460</f>
        <v>84</v>
      </c>
      <c r="BQ88" s="53">
        <f t="shared" si="28"/>
        <v>460</v>
      </c>
      <c r="BR88" s="53">
        <v>2450</v>
      </c>
      <c r="BS88" s="53">
        <v>550</v>
      </c>
      <c r="BT88" s="53">
        <f t="shared" si="29"/>
        <v>1900</v>
      </c>
      <c r="BU88" s="53">
        <f t="shared" si="30"/>
        <v>874000</v>
      </c>
      <c r="BV88" s="53">
        <f t="shared" si="31"/>
        <v>15.441176470588236</v>
      </c>
      <c r="BW88" s="54">
        <v>0</v>
      </c>
      <c r="BX88" s="54">
        <v>100</v>
      </c>
      <c r="BY88" s="54">
        <f>100-13</f>
        <v>87</v>
      </c>
      <c r="BZ88" s="54">
        <f t="shared" si="32"/>
        <v>13</v>
      </c>
      <c r="CA88" s="54">
        <v>750</v>
      </c>
      <c r="CB88" s="54">
        <v>120</v>
      </c>
      <c r="CC88" s="54">
        <f t="shared" si="33"/>
        <v>630</v>
      </c>
      <c r="CD88" s="54">
        <f t="shared" si="34"/>
        <v>8190</v>
      </c>
      <c r="CE88" s="54">
        <f t="shared" si="35"/>
        <v>87</v>
      </c>
      <c r="CF88" s="55">
        <v>0</v>
      </c>
      <c r="CG88" s="55">
        <v>520</v>
      </c>
      <c r="CH88" s="55">
        <f>520-153</f>
        <v>367</v>
      </c>
      <c r="CI88" s="55">
        <f t="shared" si="36"/>
        <v>153</v>
      </c>
      <c r="CJ88" s="55">
        <v>730</v>
      </c>
      <c r="CK88" s="55">
        <v>100</v>
      </c>
      <c r="CL88" s="55">
        <f t="shared" si="37"/>
        <v>630</v>
      </c>
      <c r="CM88" s="55">
        <f t="shared" si="38"/>
        <v>96390</v>
      </c>
      <c r="CN88" s="55">
        <f t="shared" si="39"/>
        <v>70.57692307692308</v>
      </c>
      <c r="CO88" s="56">
        <v>0</v>
      </c>
      <c r="CP88" s="56">
        <v>940</v>
      </c>
      <c r="CQ88" s="56">
        <f>940-505</f>
        <v>435</v>
      </c>
      <c r="CR88" s="56">
        <f t="shared" si="40"/>
        <v>505</v>
      </c>
      <c r="CS88" s="56">
        <v>730</v>
      </c>
      <c r="CT88" s="56">
        <v>100</v>
      </c>
      <c r="CU88" s="56">
        <f t="shared" si="41"/>
        <v>630</v>
      </c>
      <c r="CV88" s="56">
        <f t="shared" si="42"/>
        <v>318150</v>
      </c>
      <c r="CW88" s="56">
        <f t="shared" si="43"/>
        <v>46.276595744680847</v>
      </c>
      <c r="CX88" s="57">
        <v>0</v>
      </c>
      <c r="CY88" s="57">
        <v>0</v>
      </c>
      <c r="CZ88" s="57">
        <v>0</v>
      </c>
      <c r="DA88" s="57">
        <f t="shared" si="44"/>
        <v>0</v>
      </c>
      <c r="DB88" s="57">
        <v>600</v>
      </c>
      <c r="DC88" s="57">
        <v>0</v>
      </c>
      <c r="DD88" s="57">
        <f t="shared" si="45"/>
        <v>600</v>
      </c>
      <c r="DE88" s="57">
        <f t="shared" si="46"/>
        <v>0</v>
      </c>
      <c r="DF88" s="57" t="e">
        <f t="shared" si="47"/>
        <v>#DIV/0!</v>
      </c>
    </row>
    <row r="89" spans="1:110" ht="14.25" customHeight="1">
      <c r="A89" s="59"/>
      <c r="B89" s="29"/>
      <c r="C89" s="45">
        <v>0</v>
      </c>
      <c r="D89" s="45">
        <v>0</v>
      </c>
      <c r="E89" s="45">
        <v>0</v>
      </c>
      <c r="F89" s="45">
        <f t="shared" si="0"/>
        <v>0</v>
      </c>
      <c r="G89" s="45">
        <v>900</v>
      </c>
      <c r="H89" s="45">
        <v>0</v>
      </c>
      <c r="I89" s="45">
        <f t="shared" si="1"/>
        <v>900</v>
      </c>
      <c r="J89" s="45">
        <f t="shared" si="2"/>
        <v>0</v>
      </c>
      <c r="K89" s="45" t="e">
        <f t="shared" si="3"/>
        <v>#DIV/0!</v>
      </c>
      <c r="L89" s="47">
        <v>0</v>
      </c>
      <c r="M89" s="47">
        <v>0</v>
      </c>
      <c r="N89" s="47">
        <v>0</v>
      </c>
      <c r="O89" s="47">
        <f t="shared" si="4"/>
        <v>0</v>
      </c>
      <c r="P89" s="47">
        <v>1800</v>
      </c>
      <c r="Q89" s="47">
        <v>0</v>
      </c>
      <c r="R89" s="47">
        <f t="shared" si="5"/>
        <v>1800</v>
      </c>
      <c r="S89" s="47">
        <f t="shared" si="6"/>
        <v>0</v>
      </c>
      <c r="T89" s="47" t="e">
        <f t="shared" si="7"/>
        <v>#DIV/0!</v>
      </c>
      <c r="U89" s="48">
        <v>0</v>
      </c>
      <c r="V89" s="48">
        <v>0</v>
      </c>
      <c r="W89" s="48">
        <v>0</v>
      </c>
      <c r="X89" s="48">
        <f t="shared" si="8"/>
        <v>0</v>
      </c>
      <c r="Y89" s="48">
        <v>910</v>
      </c>
      <c r="Z89" s="48">
        <v>0</v>
      </c>
      <c r="AA89" s="48">
        <f t="shared" si="9"/>
        <v>910</v>
      </c>
      <c r="AB89" s="48">
        <f t="shared" si="10"/>
        <v>0</v>
      </c>
      <c r="AC89" s="48" t="e">
        <f t="shared" si="11"/>
        <v>#DIV/0!</v>
      </c>
      <c r="AD89" s="49">
        <v>0</v>
      </c>
      <c r="AE89" s="49">
        <v>0</v>
      </c>
      <c r="AF89" s="49">
        <v>0</v>
      </c>
      <c r="AG89" s="49">
        <f t="shared" si="48"/>
        <v>0</v>
      </c>
      <c r="AH89" s="49">
        <v>1200</v>
      </c>
      <c r="AI89" s="49">
        <v>0</v>
      </c>
      <c r="AJ89" s="49">
        <f t="shared" si="13"/>
        <v>1200</v>
      </c>
      <c r="AK89" s="49">
        <f t="shared" si="14"/>
        <v>0</v>
      </c>
      <c r="AL89" s="49" t="e">
        <f t="shared" si="15"/>
        <v>#DIV/0!</v>
      </c>
      <c r="AM89" s="50">
        <v>0</v>
      </c>
      <c r="AN89" s="50">
        <v>0</v>
      </c>
      <c r="AO89" s="50">
        <v>0</v>
      </c>
      <c r="AP89" s="50">
        <f t="shared" si="16"/>
        <v>0</v>
      </c>
      <c r="AQ89" s="50">
        <v>600</v>
      </c>
      <c r="AR89" s="50">
        <v>0</v>
      </c>
      <c r="AS89" s="50">
        <f t="shared" si="17"/>
        <v>600</v>
      </c>
      <c r="AT89" s="50">
        <f t="shared" si="18"/>
        <v>0</v>
      </c>
      <c r="AU89" s="50" t="e">
        <f t="shared" si="19"/>
        <v>#DIV/0!</v>
      </c>
      <c r="AV89" s="51">
        <v>0</v>
      </c>
      <c r="AW89" s="51">
        <v>0</v>
      </c>
      <c r="AX89" s="51">
        <v>0</v>
      </c>
      <c r="AY89" s="51">
        <f t="shared" si="20"/>
        <v>0</v>
      </c>
      <c r="AZ89" s="51">
        <v>1500</v>
      </c>
      <c r="BA89" s="51">
        <v>0</v>
      </c>
      <c r="BB89" s="51">
        <f t="shared" si="21"/>
        <v>1500</v>
      </c>
      <c r="BC89" s="51">
        <f t="shared" si="22"/>
        <v>0</v>
      </c>
      <c r="BD89" s="51" t="e">
        <f t="shared" si="23"/>
        <v>#DIV/0!</v>
      </c>
      <c r="BE89" s="52">
        <v>0</v>
      </c>
      <c r="BF89" s="52">
        <v>0</v>
      </c>
      <c r="BG89" s="52">
        <v>0</v>
      </c>
      <c r="BH89" s="52">
        <f t="shared" si="24"/>
        <v>0</v>
      </c>
      <c r="BI89" s="52">
        <v>750</v>
      </c>
      <c r="BJ89" s="52">
        <v>0</v>
      </c>
      <c r="BK89" s="52">
        <f t="shared" si="25"/>
        <v>750</v>
      </c>
      <c r="BL89" s="52">
        <f t="shared" si="26"/>
        <v>0</v>
      </c>
      <c r="BM89" s="52" t="e">
        <f t="shared" si="27"/>
        <v>#DIV/0!</v>
      </c>
      <c r="BN89" s="53">
        <v>0</v>
      </c>
      <c r="BO89" s="53">
        <v>0</v>
      </c>
      <c r="BP89" s="53">
        <v>0</v>
      </c>
      <c r="BQ89" s="53">
        <f t="shared" si="28"/>
        <v>0</v>
      </c>
      <c r="BR89" s="53">
        <v>2450</v>
      </c>
      <c r="BS89" s="53">
        <v>0</v>
      </c>
      <c r="BT89" s="53">
        <f t="shared" si="29"/>
        <v>2450</v>
      </c>
      <c r="BU89" s="53">
        <f t="shared" si="30"/>
        <v>0</v>
      </c>
      <c r="BV89" s="53" t="e">
        <f t="shared" si="31"/>
        <v>#DIV/0!</v>
      </c>
      <c r="BW89" s="54">
        <v>0</v>
      </c>
      <c r="BX89" s="54">
        <v>0</v>
      </c>
      <c r="BY89" s="54">
        <v>0</v>
      </c>
      <c r="BZ89" s="54">
        <f t="shared" si="32"/>
        <v>0</v>
      </c>
      <c r="CA89" s="54">
        <v>750</v>
      </c>
      <c r="CB89" s="54">
        <v>0</v>
      </c>
      <c r="CC89" s="54">
        <f t="shared" si="33"/>
        <v>750</v>
      </c>
      <c r="CD89" s="54">
        <f t="shared" si="34"/>
        <v>0</v>
      </c>
      <c r="CE89" s="54" t="e">
        <f t="shared" si="35"/>
        <v>#DIV/0!</v>
      </c>
      <c r="CF89" s="55">
        <v>0</v>
      </c>
      <c r="CG89" s="55">
        <v>0</v>
      </c>
      <c r="CH89" s="55">
        <v>0</v>
      </c>
      <c r="CI89" s="55">
        <f t="shared" si="36"/>
        <v>0</v>
      </c>
      <c r="CJ89" s="55">
        <v>730</v>
      </c>
      <c r="CK89" s="55">
        <v>0</v>
      </c>
      <c r="CL89" s="55">
        <f t="shared" si="37"/>
        <v>730</v>
      </c>
      <c r="CM89" s="55">
        <f t="shared" si="38"/>
        <v>0</v>
      </c>
      <c r="CN89" s="55" t="e">
        <f t="shared" si="39"/>
        <v>#DIV/0!</v>
      </c>
      <c r="CO89" s="56">
        <v>0</v>
      </c>
      <c r="CP89" s="56">
        <v>0</v>
      </c>
      <c r="CQ89" s="56">
        <v>0</v>
      </c>
      <c r="CR89" s="56">
        <f t="shared" si="40"/>
        <v>0</v>
      </c>
      <c r="CS89" s="56">
        <v>730</v>
      </c>
      <c r="CT89" s="56">
        <v>0</v>
      </c>
      <c r="CU89" s="56">
        <f t="shared" si="41"/>
        <v>730</v>
      </c>
      <c r="CV89" s="56">
        <f t="shared" si="42"/>
        <v>0</v>
      </c>
      <c r="CW89" s="56" t="e">
        <f t="shared" si="43"/>
        <v>#DIV/0!</v>
      </c>
      <c r="CX89" s="57">
        <v>0</v>
      </c>
      <c r="CY89" s="57">
        <v>0</v>
      </c>
      <c r="CZ89" s="57">
        <v>0</v>
      </c>
      <c r="DA89" s="57">
        <f t="shared" si="44"/>
        <v>0</v>
      </c>
      <c r="DB89" s="57">
        <v>600</v>
      </c>
      <c r="DC89" s="57">
        <v>0</v>
      </c>
      <c r="DD89" s="57">
        <f t="shared" si="45"/>
        <v>600</v>
      </c>
      <c r="DE89" s="57">
        <f t="shared" si="46"/>
        <v>0</v>
      </c>
      <c r="DF89" s="57" t="e">
        <f t="shared" si="47"/>
        <v>#DIV/0!</v>
      </c>
    </row>
    <row r="90" spans="1:110" ht="14.25" customHeight="1">
      <c r="A90" s="59"/>
      <c r="B90" s="29"/>
      <c r="C90" s="45">
        <v>0</v>
      </c>
      <c r="D90" s="45">
        <v>0</v>
      </c>
      <c r="E90" s="45">
        <v>0</v>
      </c>
      <c r="F90" s="45">
        <f t="shared" si="0"/>
        <v>0</v>
      </c>
      <c r="G90" s="45">
        <v>900</v>
      </c>
      <c r="H90" s="45">
        <v>0</v>
      </c>
      <c r="I90" s="45">
        <f t="shared" si="1"/>
        <v>900</v>
      </c>
      <c r="J90" s="45">
        <f t="shared" si="2"/>
        <v>0</v>
      </c>
      <c r="K90" s="45" t="e">
        <f t="shared" si="3"/>
        <v>#DIV/0!</v>
      </c>
      <c r="L90" s="47">
        <v>0</v>
      </c>
      <c r="M90" s="47">
        <v>0</v>
      </c>
      <c r="N90" s="47">
        <v>0</v>
      </c>
      <c r="O90" s="47">
        <f t="shared" si="4"/>
        <v>0</v>
      </c>
      <c r="P90" s="47">
        <v>1800</v>
      </c>
      <c r="Q90" s="47">
        <v>0</v>
      </c>
      <c r="R90" s="47">
        <f t="shared" si="5"/>
        <v>1800</v>
      </c>
      <c r="S90" s="47">
        <f t="shared" si="6"/>
        <v>0</v>
      </c>
      <c r="T90" s="47" t="e">
        <f t="shared" si="7"/>
        <v>#DIV/0!</v>
      </c>
      <c r="U90" s="48">
        <v>0</v>
      </c>
      <c r="V90" s="48">
        <v>0</v>
      </c>
      <c r="W90" s="48">
        <v>0</v>
      </c>
      <c r="X90" s="48">
        <f t="shared" si="8"/>
        <v>0</v>
      </c>
      <c r="Y90" s="48">
        <v>910</v>
      </c>
      <c r="Z90" s="48">
        <v>0</v>
      </c>
      <c r="AA90" s="48">
        <f t="shared" si="9"/>
        <v>910</v>
      </c>
      <c r="AB90" s="48">
        <f t="shared" si="10"/>
        <v>0</v>
      </c>
      <c r="AC90" s="48" t="e">
        <f t="shared" si="11"/>
        <v>#DIV/0!</v>
      </c>
      <c r="AD90" s="49">
        <v>0</v>
      </c>
      <c r="AE90" s="49">
        <v>0</v>
      </c>
      <c r="AF90" s="49">
        <v>0</v>
      </c>
      <c r="AG90" s="49">
        <f t="shared" si="48"/>
        <v>0</v>
      </c>
      <c r="AH90" s="49">
        <v>1200</v>
      </c>
      <c r="AI90" s="49">
        <v>0</v>
      </c>
      <c r="AJ90" s="49">
        <f t="shared" si="13"/>
        <v>1200</v>
      </c>
      <c r="AK90" s="49">
        <f t="shared" si="14"/>
        <v>0</v>
      </c>
      <c r="AL90" s="49" t="e">
        <f t="shared" si="15"/>
        <v>#DIV/0!</v>
      </c>
      <c r="AM90" s="50">
        <v>0</v>
      </c>
      <c r="AN90" s="50">
        <v>0</v>
      </c>
      <c r="AO90" s="50">
        <v>0</v>
      </c>
      <c r="AP90" s="50">
        <f t="shared" si="16"/>
        <v>0</v>
      </c>
      <c r="AQ90" s="50">
        <v>600</v>
      </c>
      <c r="AR90" s="50">
        <v>0</v>
      </c>
      <c r="AS90" s="50">
        <f t="shared" si="17"/>
        <v>600</v>
      </c>
      <c r="AT90" s="50">
        <f t="shared" si="18"/>
        <v>0</v>
      </c>
      <c r="AU90" s="50" t="e">
        <f t="shared" si="19"/>
        <v>#DIV/0!</v>
      </c>
      <c r="AV90" s="51">
        <v>0</v>
      </c>
      <c r="AW90" s="51">
        <v>0</v>
      </c>
      <c r="AX90" s="51">
        <v>0</v>
      </c>
      <c r="AY90" s="51">
        <f t="shared" si="20"/>
        <v>0</v>
      </c>
      <c r="AZ90" s="51">
        <v>1500</v>
      </c>
      <c r="BA90" s="51">
        <v>0</v>
      </c>
      <c r="BB90" s="51">
        <f t="shared" si="21"/>
        <v>1500</v>
      </c>
      <c r="BC90" s="51">
        <f t="shared" si="22"/>
        <v>0</v>
      </c>
      <c r="BD90" s="51" t="e">
        <f t="shared" si="23"/>
        <v>#DIV/0!</v>
      </c>
      <c r="BE90" s="52">
        <v>0</v>
      </c>
      <c r="BF90" s="52">
        <v>0</v>
      </c>
      <c r="BG90" s="52">
        <v>0</v>
      </c>
      <c r="BH90" s="52">
        <f t="shared" si="24"/>
        <v>0</v>
      </c>
      <c r="BI90" s="52">
        <v>750</v>
      </c>
      <c r="BJ90" s="52">
        <v>0</v>
      </c>
      <c r="BK90" s="52">
        <f t="shared" si="25"/>
        <v>750</v>
      </c>
      <c r="BL90" s="52">
        <f t="shared" si="26"/>
        <v>0</v>
      </c>
      <c r="BM90" s="52" t="e">
        <f t="shared" si="27"/>
        <v>#DIV/0!</v>
      </c>
      <c r="BN90" s="53">
        <v>0</v>
      </c>
      <c r="BO90" s="53">
        <v>0</v>
      </c>
      <c r="BP90" s="53">
        <v>0</v>
      </c>
      <c r="BQ90" s="53">
        <f t="shared" si="28"/>
        <v>0</v>
      </c>
      <c r="BR90" s="53">
        <v>2450</v>
      </c>
      <c r="BS90" s="53">
        <v>0</v>
      </c>
      <c r="BT90" s="53">
        <f t="shared" si="29"/>
        <v>2450</v>
      </c>
      <c r="BU90" s="53">
        <f t="shared" si="30"/>
        <v>0</v>
      </c>
      <c r="BV90" s="53" t="e">
        <f t="shared" si="31"/>
        <v>#DIV/0!</v>
      </c>
      <c r="BW90" s="54">
        <v>0</v>
      </c>
      <c r="BX90" s="54">
        <v>0</v>
      </c>
      <c r="BY90" s="54">
        <v>0</v>
      </c>
      <c r="BZ90" s="54">
        <f t="shared" si="32"/>
        <v>0</v>
      </c>
      <c r="CA90" s="54">
        <v>750</v>
      </c>
      <c r="CB90" s="54">
        <v>0</v>
      </c>
      <c r="CC90" s="54">
        <f t="shared" si="33"/>
        <v>750</v>
      </c>
      <c r="CD90" s="54">
        <f t="shared" si="34"/>
        <v>0</v>
      </c>
      <c r="CE90" s="54" t="e">
        <f t="shared" si="35"/>
        <v>#DIV/0!</v>
      </c>
      <c r="CF90" s="55">
        <v>0</v>
      </c>
      <c r="CG90" s="55">
        <v>0</v>
      </c>
      <c r="CH90" s="55">
        <v>0</v>
      </c>
      <c r="CI90" s="55">
        <f t="shared" si="36"/>
        <v>0</v>
      </c>
      <c r="CJ90" s="55">
        <v>730</v>
      </c>
      <c r="CK90" s="55">
        <v>0</v>
      </c>
      <c r="CL90" s="55">
        <f t="shared" si="37"/>
        <v>730</v>
      </c>
      <c r="CM90" s="55">
        <f t="shared" si="38"/>
        <v>0</v>
      </c>
      <c r="CN90" s="55" t="e">
        <f t="shared" si="39"/>
        <v>#DIV/0!</v>
      </c>
      <c r="CO90" s="56">
        <v>0</v>
      </c>
      <c r="CP90" s="56">
        <v>0</v>
      </c>
      <c r="CQ90" s="56">
        <v>0</v>
      </c>
      <c r="CR90" s="56">
        <f t="shared" si="40"/>
        <v>0</v>
      </c>
      <c r="CS90" s="56">
        <v>730</v>
      </c>
      <c r="CT90" s="56">
        <v>0</v>
      </c>
      <c r="CU90" s="56">
        <f t="shared" si="41"/>
        <v>730</v>
      </c>
      <c r="CV90" s="56">
        <f t="shared" si="42"/>
        <v>0</v>
      </c>
      <c r="CW90" s="56" t="e">
        <f t="shared" si="43"/>
        <v>#DIV/0!</v>
      </c>
      <c r="CX90" s="57">
        <v>0</v>
      </c>
      <c r="CY90" s="57">
        <v>0</v>
      </c>
      <c r="CZ90" s="57">
        <v>0</v>
      </c>
      <c r="DA90" s="57">
        <f t="shared" si="44"/>
        <v>0</v>
      </c>
      <c r="DB90" s="57">
        <v>600</v>
      </c>
      <c r="DC90" s="57">
        <v>0</v>
      </c>
      <c r="DD90" s="57">
        <f t="shared" si="45"/>
        <v>600</v>
      </c>
      <c r="DE90" s="57">
        <f t="shared" si="46"/>
        <v>0</v>
      </c>
      <c r="DF90" s="57" t="e">
        <f t="shared" si="47"/>
        <v>#DIV/0!</v>
      </c>
    </row>
    <row r="91" spans="1:110" ht="14.25" customHeight="1">
      <c r="A91" s="59"/>
      <c r="B91" s="29"/>
      <c r="C91" s="45">
        <v>0</v>
      </c>
      <c r="D91" s="45">
        <v>0</v>
      </c>
      <c r="E91" s="45">
        <v>0</v>
      </c>
      <c r="F91" s="45">
        <f t="shared" si="0"/>
        <v>0</v>
      </c>
      <c r="G91" s="45">
        <v>900</v>
      </c>
      <c r="H91" s="45">
        <v>0</v>
      </c>
      <c r="I91" s="45">
        <f t="shared" si="1"/>
        <v>900</v>
      </c>
      <c r="J91" s="45">
        <f t="shared" si="2"/>
        <v>0</v>
      </c>
      <c r="K91" s="45" t="e">
        <f t="shared" si="3"/>
        <v>#DIV/0!</v>
      </c>
      <c r="L91" s="47">
        <v>0</v>
      </c>
      <c r="M91" s="47">
        <v>0</v>
      </c>
      <c r="N91" s="47">
        <v>0</v>
      </c>
      <c r="O91" s="47">
        <f t="shared" si="4"/>
        <v>0</v>
      </c>
      <c r="P91" s="47">
        <v>1800</v>
      </c>
      <c r="Q91" s="47">
        <v>0</v>
      </c>
      <c r="R91" s="47">
        <f t="shared" si="5"/>
        <v>1800</v>
      </c>
      <c r="S91" s="47">
        <f t="shared" si="6"/>
        <v>0</v>
      </c>
      <c r="T91" s="47" t="e">
        <f t="shared" si="7"/>
        <v>#DIV/0!</v>
      </c>
      <c r="U91" s="48">
        <v>0</v>
      </c>
      <c r="V91" s="48">
        <v>0</v>
      </c>
      <c r="W91" s="48">
        <v>0</v>
      </c>
      <c r="X91" s="48">
        <f t="shared" si="8"/>
        <v>0</v>
      </c>
      <c r="Y91" s="48">
        <v>910</v>
      </c>
      <c r="Z91" s="48">
        <v>0</v>
      </c>
      <c r="AA91" s="48">
        <f t="shared" si="9"/>
        <v>910</v>
      </c>
      <c r="AB91" s="48">
        <f t="shared" si="10"/>
        <v>0</v>
      </c>
      <c r="AC91" s="48" t="e">
        <f t="shared" si="11"/>
        <v>#DIV/0!</v>
      </c>
      <c r="AD91" s="49">
        <v>0</v>
      </c>
      <c r="AE91" s="49">
        <v>0</v>
      </c>
      <c r="AF91" s="49">
        <v>0</v>
      </c>
      <c r="AG91" s="49">
        <f t="shared" si="48"/>
        <v>0</v>
      </c>
      <c r="AH91" s="49">
        <v>1200</v>
      </c>
      <c r="AI91" s="49">
        <v>0</v>
      </c>
      <c r="AJ91" s="49">
        <f t="shared" si="13"/>
        <v>1200</v>
      </c>
      <c r="AK91" s="49">
        <f t="shared" si="14"/>
        <v>0</v>
      </c>
      <c r="AL91" s="49" t="e">
        <f t="shared" si="15"/>
        <v>#DIV/0!</v>
      </c>
      <c r="AM91" s="50">
        <v>0</v>
      </c>
      <c r="AN91" s="50">
        <v>0</v>
      </c>
      <c r="AO91" s="50">
        <v>0</v>
      </c>
      <c r="AP91" s="50">
        <f t="shared" si="16"/>
        <v>0</v>
      </c>
      <c r="AQ91" s="50">
        <v>600</v>
      </c>
      <c r="AR91" s="50">
        <v>0</v>
      </c>
      <c r="AS91" s="50">
        <f t="shared" si="17"/>
        <v>600</v>
      </c>
      <c r="AT91" s="50">
        <f t="shared" si="18"/>
        <v>0</v>
      </c>
      <c r="AU91" s="50" t="e">
        <f t="shared" si="19"/>
        <v>#DIV/0!</v>
      </c>
      <c r="AV91" s="51">
        <v>0</v>
      </c>
      <c r="AW91" s="51">
        <v>0</v>
      </c>
      <c r="AX91" s="51">
        <v>0</v>
      </c>
      <c r="AY91" s="51">
        <f t="shared" si="20"/>
        <v>0</v>
      </c>
      <c r="AZ91" s="51">
        <v>1500</v>
      </c>
      <c r="BA91" s="51">
        <v>0</v>
      </c>
      <c r="BB91" s="51">
        <f t="shared" si="21"/>
        <v>1500</v>
      </c>
      <c r="BC91" s="51">
        <f t="shared" si="22"/>
        <v>0</v>
      </c>
      <c r="BD91" s="51" t="e">
        <f t="shared" si="23"/>
        <v>#DIV/0!</v>
      </c>
      <c r="BE91" s="52">
        <v>0</v>
      </c>
      <c r="BF91" s="52">
        <v>0</v>
      </c>
      <c r="BG91" s="52">
        <v>0</v>
      </c>
      <c r="BH91" s="52">
        <f t="shared" si="24"/>
        <v>0</v>
      </c>
      <c r="BI91" s="52">
        <v>750</v>
      </c>
      <c r="BJ91" s="52">
        <v>0</v>
      </c>
      <c r="BK91" s="52">
        <f t="shared" si="25"/>
        <v>750</v>
      </c>
      <c r="BL91" s="52">
        <f t="shared" si="26"/>
        <v>0</v>
      </c>
      <c r="BM91" s="52" t="e">
        <f t="shared" si="27"/>
        <v>#DIV/0!</v>
      </c>
      <c r="BN91" s="53">
        <v>0</v>
      </c>
      <c r="BO91" s="53">
        <v>0</v>
      </c>
      <c r="BP91" s="53">
        <v>0</v>
      </c>
      <c r="BQ91" s="53">
        <f t="shared" si="28"/>
        <v>0</v>
      </c>
      <c r="BR91" s="53">
        <v>2450</v>
      </c>
      <c r="BS91" s="53">
        <v>0</v>
      </c>
      <c r="BT91" s="53">
        <f t="shared" si="29"/>
        <v>2450</v>
      </c>
      <c r="BU91" s="53">
        <f t="shared" si="30"/>
        <v>0</v>
      </c>
      <c r="BV91" s="53" t="e">
        <f t="shared" si="31"/>
        <v>#DIV/0!</v>
      </c>
      <c r="BW91" s="54">
        <v>0</v>
      </c>
      <c r="BX91" s="54">
        <v>0</v>
      </c>
      <c r="BY91" s="54">
        <v>0</v>
      </c>
      <c r="BZ91" s="54">
        <f t="shared" si="32"/>
        <v>0</v>
      </c>
      <c r="CA91" s="54">
        <v>750</v>
      </c>
      <c r="CB91" s="54">
        <v>0</v>
      </c>
      <c r="CC91" s="54">
        <f t="shared" si="33"/>
        <v>750</v>
      </c>
      <c r="CD91" s="54">
        <f t="shared" si="34"/>
        <v>0</v>
      </c>
      <c r="CE91" s="54" t="e">
        <f t="shared" si="35"/>
        <v>#DIV/0!</v>
      </c>
      <c r="CF91" s="55">
        <v>0</v>
      </c>
      <c r="CG91" s="55">
        <v>0</v>
      </c>
      <c r="CH91" s="55">
        <v>0</v>
      </c>
      <c r="CI91" s="55">
        <f t="shared" si="36"/>
        <v>0</v>
      </c>
      <c r="CJ91" s="55">
        <v>730</v>
      </c>
      <c r="CK91" s="55">
        <v>0</v>
      </c>
      <c r="CL91" s="55">
        <f t="shared" si="37"/>
        <v>730</v>
      </c>
      <c r="CM91" s="55">
        <f t="shared" si="38"/>
        <v>0</v>
      </c>
      <c r="CN91" s="55" t="e">
        <f t="shared" si="39"/>
        <v>#DIV/0!</v>
      </c>
      <c r="CO91" s="56">
        <v>0</v>
      </c>
      <c r="CP91" s="56">
        <v>0</v>
      </c>
      <c r="CQ91" s="56">
        <v>0</v>
      </c>
      <c r="CR91" s="56">
        <f t="shared" si="40"/>
        <v>0</v>
      </c>
      <c r="CS91" s="56">
        <v>730</v>
      </c>
      <c r="CT91" s="56">
        <v>0</v>
      </c>
      <c r="CU91" s="56">
        <f t="shared" si="41"/>
        <v>730</v>
      </c>
      <c r="CV91" s="56">
        <f t="shared" si="42"/>
        <v>0</v>
      </c>
      <c r="CW91" s="56" t="e">
        <f t="shared" si="43"/>
        <v>#DIV/0!</v>
      </c>
      <c r="CX91" s="57">
        <v>0</v>
      </c>
      <c r="CY91" s="57">
        <v>0</v>
      </c>
      <c r="CZ91" s="57">
        <v>0</v>
      </c>
      <c r="DA91" s="57">
        <f t="shared" si="44"/>
        <v>0</v>
      </c>
      <c r="DB91" s="57">
        <v>600</v>
      </c>
      <c r="DC91" s="57">
        <v>0</v>
      </c>
      <c r="DD91" s="57">
        <f t="shared" si="45"/>
        <v>600</v>
      </c>
      <c r="DE91" s="57">
        <f t="shared" si="46"/>
        <v>0</v>
      </c>
      <c r="DF91" s="57" t="e">
        <f t="shared" si="47"/>
        <v>#DIV/0!</v>
      </c>
    </row>
    <row r="92" spans="1:110" ht="14.25" customHeight="1">
      <c r="A92" s="59"/>
      <c r="B92" s="29"/>
      <c r="C92" s="45">
        <v>0</v>
      </c>
      <c r="D92" s="45">
        <v>0</v>
      </c>
      <c r="E92" s="45">
        <v>0</v>
      </c>
      <c r="F92" s="45">
        <f t="shared" si="0"/>
        <v>0</v>
      </c>
      <c r="G92" s="45">
        <v>900</v>
      </c>
      <c r="H92" s="45">
        <v>0</v>
      </c>
      <c r="I92" s="45">
        <f t="shared" si="1"/>
        <v>900</v>
      </c>
      <c r="J92" s="45">
        <f t="shared" si="2"/>
        <v>0</v>
      </c>
      <c r="K92" s="45" t="e">
        <f t="shared" si="3"/>
        <v>#DIV/0!</v>
      </c>
      <c r="L92" s="47">
        <v>0</v>
      </c>
      <c r="M92" s="47">
        <v>0</v>
      </c>
      <c r="N92" s="47">
        <v>0</v>
      </c>
      <c r="O92" s="47">
        <f t="shared" si="4"/>
        <v>0</v>
      </c>
      <c r="P92" s="47">
        <v>1800</v>
      </c>
      <c r="Q92" s="47">
        <v>0</v>
      </c>
      <c r="R92" s="47">
        <f t="shared" si="5"/>
        <v>1800</v>
      </c>
      <c r="S92" s="47">
        <f t="shared" si="6"/>
        <v>0</v>
      </c>
      <c r="T92" s="47" t="e">
        <f t="shared" si="7"/>
        <v>#DIV/0!</v>
      </c>
      <c r="U92" s="48">
        <v>0</v>
      </c>
      <c r="V92" s="48">
        <v>0</v>
      </c>
      <c r="W92" s="48">
        <v>0</v>
      </c>
      <c r="X92" s="48">
        <f t="shared" si="8"/>
        <v>0</v>
      </c>
      <c r="Y92" s="48">
        <v>910</v>
      </c>
      <c r="Z92" s="48">
        <v>0</v>
      </c>
      <c r="AA92" s="48">
        <f t="shared" si="9"/>
        <v>910</v>
      </c>
      <c r="AB92" s="48">
        <f t="shared" si="10"/>
        <v>0</v>
      </c>
      <c r="AC92" s="48" t="e">
        <f t="shared" si="11"/>
        <v>#DIV/0!</v>
      </c>
      <c r="AD92" s="49">
        <v>0</v>
      </c>
      <c r="AE92" s="49">
        <v>0</v>
      </c>
      <c r="AF92" s="49">
        <v>0</v>
      </c>
      <c r="AG92" s="49">
        <f t="shared" si="48"/>
        <v>0</v>
      </c>
      <c r="AH92" s="49">
        <v>1200</v>
      </c>
      <c r="AI92" s="49">
        <v>0</v>
      </c>
      <c r="AJ92" s="49">
        <f t="shared" si="13"/>
        <v>1200</v>
      </c>
      <c r="AK92" s="49">
        <f t="shared" si="14"/>
        <v>0</v>
      </c>
      <c r="AL92" s="49" t="e">
        <f t="shared" si="15"/>
        <v>#DIV/0!</v>
      </c>
      <c r="AM92" s="50">
        <v>0</v>
      </c>
      <c r="AN92" s="50">
        <v>0</v>
      </c>
      <c r="AO92" s="50">
        <v>0</v>
      </c>
      <c r="AP92" s="50">
        <f t="shared" si="16"/>
        <v>0</v>
      </c>
      <c r="AQ92" s="50">
        <v>600</v>
      </c>
      <c r="AR92" s="50">
        <v>0</v>
      </c>
      <c r="AS92" s="50">
        <f t="shared" si="17"/>
        <v>600</v>
      </c>
      <c r="AT92" s="50">
        <f t="shared" si="18"/>
        <v>0</v>
      </c>
      <c r="AU92" s="50" t="e">
        <f t="shared" si="19"/>
        <v>#DIV/0!</v>
      </c>
      <c r="AV92" s="51">
        <v>0</v>
      </c>
      <c r="AW92" s="51">
        <v>0</v>
      </c>
      <c r="AX92" s="51">
        <v>0</v>
      </c>
      <c r="AY92" s="51">
        <f t="shared" si="20"/>
        <v>0</v>
      </c>
      <c r="AZ92" s="51">
        <v>1500</v>
      </c>
      <c r="BA92" s="51">
        <v>0</v>
      </c>
      <c r="BB92" s="51">
        <f t="shared" si="21"/>
        <v>1500</v>
      </c>
      <c r="BC92" s="51">
        <f t="shared" si="22"/>
        <v>0</v>
      </c>
      <c r="BD92" s="51" t="e">
        <f t="shared" si="23"/>
        <v>#DIV/0!</v>
      </c>
      <c r="BE92" s="52">
        <v>0</v>
      </c>
      <c r="BF92" s="52">
        <v>0</v>
      </c>
      <c r="BG92" s="52">
        <v>0</v>
      </c>
      <c r="BH92" s="52">
        <f t="shared" si="24"/>
        <v>0</v>
      </c>
      <c r="BI92" s="52">
        <v>750</v>
      </c>
      <c r="BJ92" s="52">
        <v>0</v>
      </c>
      <c r="BK92" s="52">
        <f t="shared" si="25"/>
        <v>750</v>
      </c>
      <c r="BL92" s="52">
        <f t="shared" si="26"/>
        <v>0</v>
      </c>
      <c r="BM92" s="52" t="e">
        <f t="shared" si="27"/>
        <v>#DIV/0!</v>
      </c>
      <c r="BN92" s="53">
        <v>0</v>
      </c>
      <c r="BO92" s="53">
        <v>0</v>
      </c>
      <c r="BP92" s="53">
        <v>0</v>
      </c>
      <c r="BQ92" s="53">
        <f t="shared" si="28"/>
        <v>0</v>
      </c>
      <c r="BR92" s="53">
        <v>2450</v>
      </c>
      <c r="BS92" s="53">
        <v>0</v>
      </c>
      <c r="BT92" s="53">
        <f t="shared" si="29"/>
        <v>2450</v>
      </c>
      <c r="BU92" s="53">
        <f t="shared" si="30"/>
        <v>0</v>
      </c>
      <c r="BV92" s="53" t="e">
        <f t="shared" si="31"/>
        <v>#DIV/0!</v>
      </c>
      <c r="BW92" s="54">
        <v>0</v>
      </c>
      <c r="BX92" s="54">
        <v>0</v>
      </c>
      <c r="BY92" s="54">
        <v>0</v>
      </c>
      <c r="BZ92" s="54">
        <f t="shared" si="32"/>
        <v>0</v>
      </c>
      <c r="CA92" s="54">
        <v>750</v>
      </c>
      <c r="CB92" s="54">
        <v>0</v>
      </c>
      <c r="CC92" s="54">
        <f t="shared" si="33"/>
        <v>750</v>
      </c>
      <c r="CD92" s="54">
        <f t="shared" si="34"/>
        <v>0</v>
      </c>
      <c r="CE92" s="54" t="e">
        <f t="shared" si="35"/>
        <v>#DIV/0!</v>
      </c>
      <c r="CF92" s="55">
        <v>0</v>
      </c>
      <c r="CG92" s="55">
        <v>0</v>
      </c>
      <c r="CH92" s="55">
        <v>0</v>
      </c>
      <c r="CI92" s="55">
        <f t="shared" si="36"/>
        <v>0</v>
      </c>
      <c r="CJ92" s="55">
        <v>730</v>
      </c>
      <c r="CK92" s="55">
        <v>0</v>
      </c>
      <c r="CL92" s="55">
        <f t="shared" si="37"/>
        <v>730</v>
      </c>
      <c r="CM92" s="55">
        <f t="shared" si="38"/>
        <v>0</v>
      </c>
      <c r="CN92" s="55" t="e">
        <f t="shared" si="39"/>
        <v>#DIV/0!</v>
      </c>
      <c r="CO92" s="56">
        <v>0</v>
      </c>
      <c r="CP92" s="56">
        <v>0</v>
      </c>
      <c r="CQ92" s="56">
        <v>0</v>
      </c>
      <c r="CR92" s="56">
        <f t="shared" si="40"/>
        <v>0</v>
      </c>
      <c r="CS92" s="56">
        <v>730</v>
      </c>
      <c r="CT92" s="56">
        <v>0</v>
      </c>
      <c r="CU92" s="56">
        <f t="shared" si="41"/>
        <v>730</v>
      </c>
      <c r="CV92" s="56">
        <f t="shared" si="42"/>
        <v>0</v>
      </c>
      <c r="CW92" s="56" t="e">
        <f t="shared" si="43"/>
        <v>#DIV/0!</v>
      </c>
      <c r="CX92" s="57">
        <v>0</v>
      </c>
      <c r="CY92" s="57">
        <v>0</v>
      </c>
      <c r="CZ92" s="57">
        <v>0</v>
      </c>
      <c r="DA92" s="57">
        <f t="shared" si="44"/>
        <v>0</v>
      </c>
      <c r="DB92" s="57">
        <v>600</v>
      </c>
      <c r="DC92" s="57">
        <v>0</v>
      </c>
      <c r="DD92" s="57">
        <f t="shared" si="45"/>
        <v>600</v>
      </c>
      <c r="DE92" s="57">
        <f t="shared" si="46"/>
        <v>0</v>
      </c>
      <c r="DF92" s="57" t="e">
        <f t="shared" si="47"/>
        <v>#DIV/0!</v>
      </c>
    </row>
    <row r="93" spans="1:110" ht="14.25" customHeight="1">
      <c r="A93" s="59"/>
      <c r="B93" s="29"/>
      <c r="C93" s="45">
        <v>0</v>
      </c>
      <c r="D93" s="45">
        <v>0</v>
      </c>
      <c r="E93" s="45">
        <v>0</v>
      </c>
      <c r="F93" s="45">
        <f t="shared" si="0"/>
        <v>0</v>
      </c>
      <c r="G93" s="45">
        <v>900</v>
      </c>
      <c r="H93" s="45">
        <v>0</v>
      </c>
      <c r="I93" s="45">
        <f t="shared" si="1"/>
        <v>900</v>
      </c>
      <c r="J93" s="45">
        <f t="shared" si="2"/>
        <v>0</v>
      </c>
      <c r="K93" s="45" t="e">
        <f t="shared" si="3"/>
        <v>#DIV/0!</v>
      </c>
      <c r="L93" s="47">
        <v>0</v>
      </c>
      <c r="M93" s="47">
        <v>0</v>
      </c>
      <c r="N93" s="47">
        <v>0</v>
      </c>
      <c r="O93" s="47">
        <f t="shared" si="4"/>
        <v>0</v>
      </c>
      <c r="P93" s="47">
        <v>1800</v>
      </c>
      <c r="Q93" s="47">
        <v>0</v>
      </c>
      <c r="R93" s="47">
        <f t="shared" si="5"/>
        <v>1800</v>
      </c>
      <c r="S93" s="47">
        <f t="shared" si="6"/>
        <v>0</v>
      </c>
      <c r="T93" s="47" t="e">
        <f t="shared" si="7"/>
        <v>#DIV/0!</v>
      </c>
      <c r="U93" s="48">
        <v>0</v>
      </c>
      <c r="V93" s="48">
        <v>0</v>
      </c>
      <c r="W93" s="48">
        <v>0</v>
      </c>
      <c r="X93" s="48">
        <f t="shared" si="8"/>
        <v>0</v>
      </c>
      <c r="Y93" s="48">
        <v>910</v>
      </c>
      <c r="Z93" s="48">
        <v>0</v>
      </c>
      <c r="AA93" s="48">
        <f t="shared" si="9"/>
        <v>910</v>
      </c>
      <c r="AB93" s="48">
        <f t="shared" si="10"/>
        <v>0</v>
      </c>
      <c r="AC93" s="48" t="e">
        <f t="shared" si="11"/>
        <v>#DIV/0!</v>
      </c>
      <c r="AD93" s="49">
        <v>0</v>
      </c>
      <c r="AE93" s="49">
        <v>0</v>
      </c>
      <c r="AF93" s="49">
        <v>0</v>
      </c>
      <c r="AG93" s="49">
        <f t="shared" si="48"/>
        <v>0</v>
      </c>
      <c r="AH93" s="49">
        <v>1200</v>
      </c>
      <c r="AI93" s="49">
        <v>0</v>
      </c>
      <c r="AJ93" s="49">
        <f t="shared" si="13"/>
        <v>1200</v>
      </c>
      <c r="AK93" s="49">
        <f t="shared" si="14"/>
        <v>0</v>
      </c>
      <c r="AL93" s="49" t="e">
        <f t="shared" si="15"/>
        <v>#DIV/0!</v>
      </c>
      <c r="AM93" s="50">
        <v>0</v>
      </c>
      <c r="AN93" s="50">
        <v>0</v>
      </c>
      <c r="AO93" s="50">
        <v>0</v>
      </c>
      <c r="AP93" s="50">
        <f t="shared" si="16"/>
        <v>0</v>
      </c>
      <c r="AQ93" s="50">
        <v>600</v>
      </c>
      <c r="AR93" s="50">
        <v>0</v>
      </c>
      <c r="AS93" s="50">
        <f t="shared" si="17"/>
        <v>600</v>
      </c>
      <c r="AT93" s="50">
        <f t="shared" si="18"/>
        <v>0</v>
      </c>
      <c r="AU93" s="50" t="e">
        <f t="shared" si="19"/>
        <v>#DIV/0!</v>
      </c>
      <c r="AV93" s="51">
        <v>0</v>
      </c>
      <c r="AW93" s="51">
        <v>0</v>
      </c>
      <c r="AX93" s="51">
        <v>0</v>
      </c>
      <c r="AY93" s="51">
        <f t="shared" si="20"/>
        <v>0</v>
      </c>
      <c r="AZ93" s="51">
        <v>1500</v>
      </c>
      <c r="BA93" s="51">
        <v>0</v>
      </c>
      <c r="BB93" s="51">
        <f t="shared" si="21"/>
        <v>1500</v>
      </c>
      <c r="BC93" s="51">
        <f t="shared" si="22"/>
        <v>0</v>
      </c>
      <c r="BD93" s="51" t="e">
        <f t="shared" si="23"/>
        <v>#DIV/0!</v>
      </c>
      <c r="BE93" s="52">
        <v>0</v>
      </c>
      <c r="BF93" s="52">
        <v>0</v>
      </c>
      <c r="BG93" s="52">
        <v>0</v>
      </c>
      <c r="BH93" s="52">
        <f t="shared" si="24"/>
        <v>0</v>
      </c>
      <c r="BI93" s="52">
        <v>750</v>
      </c>
      <c r="BJ93" s="52">
        <v>0</v>
      </c>
      <c r="BK93" s="52">
        <f t="shared" si="25"/>
        <v>750</v>
      </c>
      <c r="BL93" s="52">
        <f t="shared" si="26"/>
        <v>0</v>
      </c>
      <c r="BM93" s="52" t="e">
        <f t="shared" si="27"/>
        <v>#DIV/0!</v>
      </c>
      <c r="BN93" s="53">
        <v>0</v>
      </c>
      <c r="BO93" s="53">
        <v>0</v>
      </c>
      <c r="BP93" s="53">
        <v>0</v>
      </c>
      <c r="BQ93" s="53">
        <f t="shared" si="28"/>
        <v>0</v>
      </c>
      <c r="BR93" s="53">
        <v>2450</v>
      </c>
      <c r="BS93" s="53">
        <v>0</v>
      </c>
      <c r="BT93" s="53">
        <f t="shared" si="29"/>
        <v>2450</v>
      </c>
      <c r="BU93" s="53">
        <f t="shared" si="30"/>
        <v>0</v>
      </c>
      <c r="BV93" s="53" t="e">
        <f t="shared" si="31"/>
        <v>#DIV/0!</v>
      </c>
      <c r="BW93" s="54">
        <v>0</v>
      </c>
      <c r="BX93" s="54">
        <v>0</v>
      </c>
      <c r="BY93" s="54">
        <v>0</v>
      </c>
      <c r="BZ93" s="54">
        <f t="shared" si="32"/>
        <v>0</v>
      </c>
      <c r="CA93" s="54">
        <v>750</v>
      </c>
      <c r="CB93" s="54">
        <v>0</v>
      </c>
      <c r="CC93" s="54">
        <f t="shared" si="33"/>
        <v>750</v>
      </c>
      <c r="CD93" s="54">
        <f t="shared" si="34"/>
        <v>0</v>
      </c>
      <c r="CE93" s="54" t="e">
        <f t="shared" si="35"/>
        <v>#DIV/0!</v>
      </c>
      <c r="CF93" s="55">
        <v>0</v>
      </c>
      <c r="CG93" s="55">
        <v>0</v>
      </c>
      <c r="CH93" s="55">
        <v>0</v>
      </c>
      <c r="CI93" s="55">
        <f t="shared" si="36"/>
        <v>0</v>
      </c>
      <c r="CJ93" s="55">
        <v>730</v>
      </c>
      <c r="CK93" s="55">
        <v>0</v>
      </c>
      <c r="CL93" s="55">
        <f t="shared" si="37"/>
        <v>730</v>
      </c>
      <c r="CM93" s="55">
        <f t="shared" si="38"/>
        <v>0</v>
      </c>
      <c r="CN93" s="55" t="e">
        <f t="shared" si="39"/>
        <v>#DIV/0!</v>
      </c>
      <c r="CO93" s="56">
        <v>0</v>
      </c>
      <c r="CP93" s="56">
        <v>0</v>
      </c>
      <c r="CQ93" s="56">
        <v>0</v>
      </c>
      <c r="CR93" s="56">
        <f t="shared" si="40"/>
        <v>0</v>
      </c>
      <c r="CS93" s="56">
        <v>730</v>
      </c>
      <c r="CT93" s="56">
        <v>0</v>
      </c>
      <c r="CU93" s="56">
        <f t="shared" si="41"/>
        <v>730</v>
      </c>
      <c r="CV93" s="56">
        <f t="shared" si="42"/>
        <v>0</v>
      </c>
      <c r="CW93" s="56" t="e">
        <f t="shared" si="43"/>
        <v>#DIV/0!</v>
      </c>
      <c r="CX93" s="57">
        <v>0</v>
      </c>
      <c r="CY93" s="57">
        <v>0</v>
      </c>
      <c r="CZ93" s="57">
        <v>0</v>
      </c>
      <c r="DA93" s="57">
        <f t="shared" si="44"/>
        <v>0</v>
      </c>
      <c r="DB93" s="57">
        <v>600</v>
      </c>
      <c r="DC93" s="57">
        <v>0</v>
      </c>
      <c r="DD93" s="57">
        <f t="shared" si="45"/>
        <v>600</v>
      </c>
      <c r="DE93" s="57">
        <f t="shared" si="46"/>
        <v>0</v>
      </c>
      <c r="DF93" s="57" t="e">
        <f t="shared" si="47"/>
        <v>#DIV/0!</v>
      </c>
    </row>
    <row r="94" spans="1:110" ht="14.25" customHeight="1">
      <c r="A94" s="59"/>
      <c r="B94" s="29"/>
      <c r="C94" s="45">
        <v>0</v>
      </c>
      <c r="D94" s="45">
        <v>0</v>
      </c>
      <c r="E94" s="45">
        <v>0</v>
      </c>
      <c r="F94" s="45">
        <f t="shared" si="0"/>
        <v>0</v>
      </c>
      <c r="G94" s="45">
        <v>900</v>
      </c>
      <c r="H94" s="45">
        <v>0</v>
      </c>
      <c r="I94" s="45">
        <f t="shared" si="1"/>
        <v>900</v>
      </c>
      <c r="J94" s="45">
        <f t="shared" si="2"/>
        <v>0</v>
      </c>
      <c r="K94" s="45" t="e">
        <f t="shared" si="3"/>
        <v>#DIV/0!</v>
      </c>
      <c r="L94" s="47">
        <v>0</v>
      </c>
      <c r="M94" s="47">
        <v>0</v>
      </c>
      <c r="N94" s="47">
        <v>0</v>
      </c>
      <c r="O94" s="47">
        <f t="shared" si="4"/>
        <v>0</v>
      </c>
      <c r="P94" s="47">
        <v>1800</v>
      </c>
      <c r="Q94" s="47">
        <v>0</v>
      </c>
      <c r="R94" s="47">
        <f t="shared" si="5"/>
        <v>1800</v>
      </c>
      <c r="S94" s="47">
        <f t="shared" si="6"/>
        <v>0</v>
      </c>
      <c r="T94" s="47" t="e">
        <f t="shared" si="7"/>
        <v>#DIV/0!</v>
      </c>
      <c r="U94" s="48">
        <v>0</v>
      </c>
      <c r="V94" s="48">
        <v>0</v>
      </c>
      <c r="W94" s="48">
        <v>0</v>
      </c>
      <c r="X94" s="48">
        <f t="shared" si="8"/>
        <v>0</v>
      </c>
      <c r="Y94" s="48">
        <v>910</v>
      </c>
      <c r="Z94" s="48">
        <v>0</v>
      </c>
      <c r="AA94" s="48">
        <f t="shared" si="9"/>
        <v>910</v>
      </c>
      <c r="AB94" s="48">
        <f t="shared" si="10"/>
        <v>0</v>
      </c>
      <c r="AC94" s="48" t="e">
        <f t="shared" si="11"/>
        <v>#DIV/0!</v>
      </c>
      <c r="AD94" s="49">
        <v>0</v>
      </c>
      <c r="AE94" s="49">
        <v>0</v>
      </c>
      <c r="AF94" s="49">
        <v>0</v>
      </c>
      <c r="AG94" s="49">
        <f t="shared" si="48"/>
        <v>0</v>
      </c>
      <c r="AH94" s="49">
        <v>1200</v>
      </c>
      <c r="AI94" s="49">
        <v>0</v>
      </c>
      <c r="AJ94" s="49">
        <f t="shared" si="13"/>
        <v>1200</v>
      </c>
      <c r="AK94" s="49">
        <f t="shared" si="14"/>
        <v>0</v>
      </c>
      <c r="AL94" s="49" t="e">
        <f t="shared" si="15"/>
        <v>#DIV/0!</v>
      </c>
      <c r="AM94" s="50">
        <v>0</v>
      </c>
      <c r="AN94" s="50">
        <v>0</v>
      </c>
      <c r="AO94" s="50">
        <v>0</v>
      </c>
      <c r="AP94" s="50">
        <f t="shared" si="16"/>
        <v>0</v>
      </c>
      <c r="AQ94" s="50">
        <v>600</v>
      </c>
      <c r="AR94" s="50">
        <v>0</v>
      </c>
      <c r="AS94" s="50">
        <f t="shared" si="17"/>
        <v>600</v>
      </c>
      <c r="AT94" s="50">
        <f t="shared" si="18"/>
        <v>0</v>
      </c>
      <c r="AU94" s="50" t="e">
        <f t="shared" si="19"/>
        <v>#DIV/0!</v>
      </c>
      <c r="AV94" s="51">
        <v>0</v>
      </c>
      <c r="AW94" s="51">
        <v>0</v>
      </c>
      <c r="AX94" s="51">
        <v>0</v>
      </c>
      <c r="AY94" s="51">
        <f t="shared" si="20"/>
        <v>0</v>
      </c>
      <c r="AZ94" s="51">
        <v>1500</v>
      </c>
      <c r="BA94" s="51">
        <v>0</v>
      </c>
      <c r="BB94" s="51">
        <f t="shared" si="21"/>
        <v>1500</v>
      </c>
      <c r="BC94" s="51">
        <f t="shared" si="22"/>
        <v>0</v>
      </c>
      <c r="BD94" s="51" t="e">
        <f t="shared" si="23"/>
        <v>#DIV/0!</v>
      </c>
      <c r="BE94" s="52">
        <v>0</v>
      </c>
      <c r="BF94" s="52">
        <v>0</v>
      </c>
      <c r="BG94" s="52">
        <v>0</v>
      </c>
      <c r="BH94" s="52">
        <f t="shared" si="24"/>
        <v>0</v>
      </c>
      <c r="BI94" s="52">
        <v>750</v>
      </c>
      <c r="BJ94" s="52">
        <v>0</v>
      </c>
      <c r="BK94" s="52">
        <f t="shared" si="25"/>
        <v>750</v>
      </c>
      <c r="BL94" s="52">
        <f t="shared" si="26"/>
        <v>0</v>
      </c>
      <c r="BM94" s="52" t="e">
        <f t="shared" si="27"/>
        <v>#DIV/0!</v>
      </c>
      <c r="BN94" s="53">
        <v>0</v>
      </c>
      <c r="BO94" s="53">
        <v>0</v>
      </c>
      <c r="BP94" s="53">
        <v>0</v>
      </c>
      <c r="BQ94" s="53">
        <f t="shared" si="28"/>
        <v>0</v>
      </c>
      <c r="BR94" s="53">
        <v>2450</v>
      </c>
      <c r="BS94" s="53">
        <v>0</v>
      </c>
      <c r="BT94" s="53">
        <f t="shared" si="29"/>
        <v>2450</v>
      </c>
      <c r="BU94" s="53">
        <f t="shared" si="30"/>
        <v>0</v>
      </c>
      <c r="BV94" s="53" t="e">
        <f t="shared" si="31"/>
        <v>#DIV/0!</v>
      </c>
      <c r="BW94" s="54">
        <v>0</v>
      </c>
      <c r="BX94" s="54">
        <v>0</v>
      </c>
      <c r="BY94" s="54">
        <v>0</v>
      </c>
      <c r="BZ94" s="54">
        <f t="shared" si="32"/>
        <v>0</v>
      </c>
      <c r="CA94" s="54">
        <v>750</v>
      </c>
      <c r="CB94" s="54">
        <v>0</v>
      </c>
      <c r="CC94" s="54">
        <f t="shared" si="33"/>
        <v>750</v>
      </c>
      <c r="CD94" s="54">
        <f t="shared" si="34"/>
        <v>0</v>
      </c>
      <c r="CE94" s="54" t="e">
        <f t="shared" si="35"/>
        <v>#DIV/0!</v>
      </c>
      <c r="CF94" s="55">
        <v>0</v>
      </c>
      <c r="CG94" s="55">
        <v>0</v>
      </c>
      <c r="CH94" s="55">
        <v>0</v>
      </c>
      <c r="CI94" s="55">
        <f t="shared" si="36"/>
        <v>0</v>
      </c>
      <c r="CJ94" s="55">
        <v>730</v>
      </c>
      <c r="CK94" s="55">
        <v>0</v>
      </c>
      <c r="CL94" s="55">
        <f t="shared" si="37"/>
        <v>730</v>
      </c>
      <c r="CM94" s="55">
        <f t="shared" si="38"/>
        <v>0</v>
      </c>
      <c r="CN94" s="55" t="e">
        <f t="shared" si="39"/>
        <v>#DIV/0!</v>
      </c>
      <c r="CO94" s="56">
        <v>0</v>
      </c>
      <c r="CP94" s="56">
        <v>0</v>
      </c>
      <c r="CQ94" s="56">
        <v>0</v>
      </c>
      <c r="CR94" s="56">
        <f t="shared" si="40"/>
        <v>0</v>
      </c>
      <c r="CS94" s="56">
        <v>730</v>
      </c>
      <c r="CT94" s="56">
        <v>0</v>
      </c>
      <c r="CU94" s="56">
        <f t="shared" si="41"/>
        <v>730</v>
      </c>
      <c r="CV94" s="56">
        <f t="shared" si="42"/>
        <v>0</v>
      </c>
      <c r="CW94" s="56" t="e">
        <f t="shared" si="43"/>
        <v>#DIV/0!</v>
      </c>
      <c r="CX94" s="57">
        <v>0</v>
      </c>
      <c r="CY94" s="57">
        <v>0</v>
      </c>
      <c r="CZ94" s="57">
        <v>0</v>
      </c>
      <c r="DA94" s="57">
        <f t="shared" si="44"/>
        <v>0</v>
      </c>
      <c r="DB94" s="57">
        <v>600</v>
      </c>
      <c r="DC94" s="57">
        <v>0</v>
      </c>
      <c r="DD94" s="57">
        <f t="shared" si="45"/>
        <v>600</v>
      </c>
      <c r="DE94" s="57">
        <f t="shared" si="46"/>
        <v>0</v>
      </c>
      <c r="DF94" s="57" t="e">
        <f t="shared" si="47"/>
        <v>#DIV/0!</v>
      </c>
    </row>
    <row r="95" spans="1:110" ht="14.25" customHeight="1">
      <c r="A95" s="59"/>
      <c r="B95" s="29"/>
      <c r="C95" s="45">
        <v>0</v>
      </c>
      <c r="D95" s="45">
        <v>0</v>
      </c>
      <c r="E95" s="45">
        <v>0</v>
      </c>
      <c r="F95" s="45">
        <f t="shared" si="0"/>
        <v>0</v>
      </c>
      <c r="G95" s="45">
        <v>900</v>
      </c>
      <c r="H95" s="45">
        <v>0</v>
      </c>
      <c r="I95" s="45">
        <f t="shared" si="1"/>
        <v>900</v>
      </c>
      <c r="J95" s="45">
        <f t="shared" si="2"/>
        <v>0</v>
      </c>
      <c r="K95" s="45" t="e">
        <f t="shared" si="3"/>
        <v>#DIV/0!</v>
      </c>
      <c r="L95" s="47">
        <v>0</v>
      </c>
      <c r="M95" s="47">
        <v>0</v>
      </c>
      <c r="N95" s="47">
        <v>0</v>
      </c>
      <c r="O95" s="47">
        <f t="shared" si="4"/>
        <v>0</v>
      </c>
      <c r="P95" s="47">
        <v>1800</v>
      </c>
      <c r="Q95" s="47">
        <v>0</v>
      </c>
      <c r="R95" s="47">
        <f t="shared" si="5"/>
        <v>1800</v>
      </c>
      <c r="S95" s="47">
        <f t="shared" si="6"/>
        <v>0</v>
      </c>
      <c r="T95" s="47" t="e">
        <f t="shared" si="7"/>
        <v>#DIV/0!</v>
      </c>
      <c r="U95" s="48">
        <v>0</v>
      </c>
      <c r="V95" s="48">
        <v>0</v>
      </c>
      <c r="W95" s="48">
        <v>0</v>
      </c>
      <c r="X95" s="48">
        <f t="shared" si="8"/>
        <v>0</v>
      </c>
      <c r="Y95" s="48">
        <v>910</v>
      </c>
      <c r="Z95" s="48">
        <v>0</v>
      </c>
      <c r="AA95" s="48">
        <f t="shared" si="9"/>
        <v>910</v>
      </c>
      <c r="AB95" s="48">
        <f t="shared" si="10"/>
        <v>0</v>
      </c>
      <c r="AC95" s="48" t="e">
        <f t="shared" si="11"/>
        <v>#DIV/0!</v>
      </c>
      <c r="AD95" s="49">
        <v>0</v>
      </c>
      <c r="AE95" s="49">
        <v>0</v>
      </c>
      <c r="AF95" s="49">
        <v>0</v>
      </c>
      <c r="AG95" s="49">
        <f t="shared" si="48"/>
        <v>0</v>
      </c>
      <c r="AH95" s="49">
        <v>1200</v>
      </c>
      <c r="AI95" s="49">
        <v>0</v>
      </c>
      <c r="AJ95" s="49">
        <f t="shared" si="13"/>
        <v>1200</v>
      </c>
      <c r="AK95" s="49">
        <f t="shared" si="14"/>
        <v>0</v>
      </c>
      <c r="AL95" s="49" t="e">
        <f t="shared" si="15"/>
        <v>#DIV/0!</v>
      </c>
      <c r="AM95" s="50">
        <v>0</v>
      </c>
      <c r="AN95" s="50">
        <v>0</v>
      </c>
      <c r="AO95" s="50">
        <v>0</v>
      </c>
      <c r="AP95" s="50">
        <f t="shared" si="16"/>
        <v>0</v>
      </c>
      <c r="AQ95" s="50">
        <v>600</v>
      </c>
      <c r="AR95" s="50">
        <v>0</v>
      </c>
      <c r="AS95" s="50">
        <f t="shared" si="17"/>
        <v>600</v>
      </c>
      <c r="AT95" s="50">
        <f t="shared" si="18"/>
        <v>0</v>
      </c>
      <c r="AU95" s="50" t="e">
        <f t="shared" si="19"/>
        <v>#DIV/0!</v>
      </c>
      <c r="AV95" s="51">
        <v>0</v>
      </c>
      <c r="AW95" s="51">
        <v>0</v>
      </c>
      <c r="AX95" s="51">
        <v>0</v>
      </c>
      <c r="AY95" s="51">
        <f t="shared" si="20"/>
        <v>0</v>
      </c>
      <c r="AZ95" s="51">
        <v>1500</v>
      </c>
      <c r="BA95" s="51">
        <v>0</v>
      </c>
      <c r="BB95" s="51">
        <f t="shared" si="21"/>
        <v>1500</v>
      </c>
      <c r="BC95" s="51">
        <f t="shared" si="22"/>
        <v>0</v>
      </c>
      <c r="BD95" s="51" t="e">
        <f t="shared" si="23"/>
        <v>#DIV/0!</v>
      </c>
      <c r="BE95" s="52">
        <v>0</v>
      </c>
      <c r="BF95" s="52">
        <v>0</v>
      </c>
      <c r="BG95" s="52">
        <v>0</v>
      </c>
      <c r="BH95" s="52">
        <f t="shared" si="24"/>
        <v>0</v>
      </c>
      <c r="BI95" s="52">
        <v>750</v>
      </c>
      <c r="BJ95" s="52">
        <v>0</v>
      </c>
      <c r="BK95" s="52">
        <f t="shared" si="25"/>
        <v>750</v>
      </c>
      <c r="BL95" s="52">
        <f t="shared" si="26"/>
        <v>0</v>
      </c>
      <c r="BM95" s="52" t="e">
        <f t="shared" si="27"/>
        <v>#DIV/0!</v>
      </c>
      <c r="BN95" s="53">
        <v>0</v>
      </c>
      <c r="BO95" s="53">
        <v>0</v>
      </c>
      <c r="BP95" s="53">
        <v>0</v>
      </c>
      <c r="BQ95" s="53">
        <f t="shared" si="28"/>
        <v>0</v>
      </c>
      <c r="BR95" s="53">
        <v>2450</v>
      </c>
      <c r="BS95" s="53">
        <v>0</v>
      </c>
      <c r="BT95" s="53">
        <f t="shared" si="29"/>
        <v>2450</v>
      </c>
      <c r="BU95" s="53">
        <f t="shared" si="30"/>
        <v>0</v>
      </c>
      <c r="BV95" s="53" t="e">
        <f t="shared" si="31"/>
        <v>#DIV/0!</v>
      </c>
      <c r="BW95" s="54">
        <v>0</v>
      </c>
      <c r="BX95" s="54">
        <v>0</v>
      </c>
      <c r="BY95" s="54">
        <v>0</v>
      </c>
      <c r="BZ95" s="54">
        <f t="shared" si="32"/>
        <v>0</v>
      </c>
      <c r="CA95" s="54">
        <v>750</v>
      </c>
      <c r="CB95" s="54">
        <v>0</v>
      </c>
      <c r="CC95" s="54">
        <f t="shared" si="33"/>
        <v>750</v>
      </c>
      <c r="CD95" s="54">
        <f t="shared" si="34"/>
        <v>0</v>
      </c>
      <c r="CE95" s="54" t="e">
        <f t="shared" si="35"/>
        <v>#DIV/0!</v>
      </c>
      <c r="CF95" s="55">
        <v>0</v>
      </c>
      <c r="CG95" s="55">
        <v>0</v>
      </c>
      <c r="CH95" s="55">
        <v>0</v>
      </c>
      <c r="CI95" s="55">
        <f t="shared" si="36"/>
        <v>0</v>
      </c>
      <c r="CJ95" s="55">
        <v>730</v>
      </c>
      <c r="CK95" s="55">
        <v>0</v>
      </c>
      <c r="CL95" s="55">
        <f t="shared" si="37"/>
        <v>730</v>
      </c>
      <c r="CM95" s="55">
        <f t="shared" si="38"/>
        <v>0</v>
      </c>
      <c r="CN95" s="55" t="e">
        <f t="shared" si="39"/>
        <v>#DIV/0!</v>
      </c>
      <c r="CO95" s="56">
        <v>0</v>
      </c>
      <c r="CP95" s="56">
        <v>0</v>
      </c>
      <c r="CQ95" s="56">
        <v>0</v>
      </c>
      <c r="CR95" s="56">
        <f t="shared" si="40"/>
        <v>0</v>
      </c>
      <c r="CS95" s="56">
        <v>730</v>
      </c>
      <c r="CT95" s="56">
        <v>0</v>
      </c>
      <c r="CU95" s="56">
        <f t="shared" si="41"/>
        <v>730</v>
      </c>
      <c r="CV95" s="56">
        <f t="shared" si="42"/>
        <v>0</v>
      </c>
      <c r="CW95" s="56" t="e">
        <f t="shared" si="43"/>
        <v>#DIV/0!</v>
      </c>
      <c r="CX95" s="57">
        <v>0</v>
      </c>
      <c r="CY95" s="57">
        <v>0</v>
      </c>
      <c r="CZ95" s="57">
        <v>0</v>
      </c>
      <c r="DA95" s="57">
        <f t="shared" si="44"/>
        <v>0</v>
      </c>
      <c r="DB95" s="57">
        <v>600</v>
      </c>
      <c r="DC95" s="57">
        <v>0</v>
      </c>
      <c r="DD95" s="57">
        <f t="shared" si="45"/>
        <v>600</v>
      </c>
      <c r="DE95" s="57">
        <f t="shared" si="46"/>
        <v>0</v>
      </c>
      <c r="DF95" s="57" t="e">
        <f t="shared" si="47"/>
        <v>#DIV/0!</v>
      </c>
    </row>
    <row r="96" spans="1:110" ht="14.25" customHeight="1">
      <c r="A96" s="59"/>
      <c r="B96" s="29"/>
      <c r="C96" s="45">
        <v>0</v>
      </c>
      <c r="D96" s="45">
        <v>0</v>
      </c>
      <c r="E96" s="45">
        <v>0</v>
      </c>
      <c r="F96" s="45">
        <f t="shared" si="0"/>
        <v>0</v>
      </c>
      <c r="G96" s="45">
        <v>900</v>
      </c>
      <c r="H96" s="45">
        <v>0</v>
      </c>
      <c r="I96" s="45">
        <f t="shared" si="1"/>
        <v>900</v>
      </c>
      <c r="J96" s="45">
        <f t="shared" si="2"/>
        <v>0</v>
      </c>
      <c r="K96" s="45" t="e">
        <f t="shared" si="3"/>
        <v>#DIV/0!</v>
      </c>
      <c r="L96" s="47">
        <v>0</v>
      </c>
      <c r="M96" s="47">
        <v>0</v>
      </c>
      <c r="N96" s="47">
        <v>0</v>
      </c>
      <c r="O96" s="47">
        <f t="shared" si="4"/>
        <v>0</v>
      </c>
      <c r="P96" s="47">
        <v>1800</v>
      </c>
      <c r="Q96" s="47">
        <v>0</v>
      </c>
      <c r="R96" s="47">
        <f t="shared" si="5"/>
        <v>1800</v>
      </c>
      <c r="S96" s="47">
        <f t="shared" si="6"/>
        <v>0</v>
      </c>
      <c r="T96" s="47" t="e">
        <f t="shared" si="7"/>
        <v>#DIV/0!</v>
      </c>
      <c r="U96" s="48">
        <v>0</v>
      </c>
      <c r="V96" s="48">
        <v>0</v>
      </c>
      <c r="W96" s="48">
        <v>0</v>
      </c>
      <c r="X96" s="48">
        <f t="shared" si="8"/>
        <v>0</v>
      </c>
      <c r="Y96" s="48">
        <v>910</v>
      </c>
      <c r="Z96" s="48">
        <v>0</v>
      </c>
      <c r="AA96" s="48">
        <f t="shared" si="9"/>
        <v>910</v>
      </c>
      <c r="AB96" s="48">
        <f t="shared" si="10"/>
        <v>0</v>
      </c>
      <c r="AC96" s="48" t="e">
        <f t="shared" si="11"/>
        <v>#DIV/0!</v>
      </c>
      <c r="AD96" s="49">
        <v>0</v>
      </c>
      <c r="AE96" s="49">
        <v>0</v>
      </c>
      <c r="AF96" s="49">
        <v>0</v>
      </c>
      <c r="AG96" s="49">
        <f t="shared" si="48"/>
        <v>0</v>
      </c>
      <c r="AH96" s="49">
        <v>1200</v>
      </c>
      <c r="AI96" s="49">
        <v>0</v>
      </c>
      <c r="AJ96" s="49">
        <f t="shared" si="13"/>
        <v>1200</v>
      </c>
      <c r="AK96" s="49">
        <f t="shared" si="14"/>
        <v>0</v>
      </c>
      <c r="AL96" s="49" t="e">
        <f t="shared" si="15"/>
        <v>#DIV/0!</v>
      </c>
      <c r="AM96" s="50">
        <v>0</v>
      </c>
      <c r="AN96" s="50">
        <v>0</v>
      </c>
      <c r="AO96" s="50">
        <v>0</v>
      </c>
      <c r="AP96" s="50">
        <f t="shared" si="16"/>
        <v>0</v>
      </c>
      <c r="AQ96" s="50">
        <v>600</v>
      </c>
      <c r="AR96" s="50">
        <v>0</v>
      </c>
      <c r="AS96" s="50">
        <f t="shared" si="17"/>
        <v>600</v>
      </c>
      <c r="AT96" s="50">
        <f t="shared" si="18"/>
        <v>0</v>
      </c>
      <c r="AU96" s="50" t="e">
        <f t="shared" si="19"/>
        <v>#DIV/0!</v>
      </c>
      <c r="AV96" s="51">
        <v>0</v>
      </c>
      <c r="AW96" s="51">
        <v>0</v>
      </c>
      <c r="AX96" s="51">
        <v>0</v>
      </c>
      <c r="AY96" s="51">
        <f t="shared" si="20"/>
        <v>0</v>
      </c>
      <c r="AZ96" s="51">
        <v>1500</v>
      </c>
      <c r="BA96" s="51">
        <v>0</v>
      </c>
      <c r="BB96" s="51">
        <f t="shared" si="21"/>
        <v>1500</v>
      </c>
      <c r="BC96" s="51">
        <f t="shared" si="22"/>
        <v>0</v>
      </c>
      <c r="BD96" s="51" t="e">
        <f t="shared" si="23"/>
        <v>#DIV/0!</v>
      </c>
      <c r="BE96" s="52">
        <v>0</v>
      </c>
      <c r="BF96" s="52">
        <v>0</v>
      </c>
      <c r="BG96" s="52">
        <v>0</v>
      </c>
      <c r="BH96" s="52">
        <f t="shared" si="24"/>
        <v>0</v>
      </c>
      <c r="BI96" s="52">
        <v>750</v>
      </c>
      <c r="BJ96" s="52">
        <v>0</v>
      </c>
      <c r="BK96" s="52">
        <f t="shared" si="25"/>
        <v>750</v>
      </c>
      <c r="BL96" s="52">
        <f t="shared" si="26"/>
        <v>0</v>
      </c>
      <c r="BM96" s="52" t="e">
        <f t="shared" si="27"/>
        <v>#DIV/0!</v>
      </c>
      <c r="BN96" s="53">
        <v>0</v>
      </c>
      <c r="BO96" s="53">
        <v>0</v>
      </c>
      <c r="BP96" s="53">
        <v>0</v>
      </c>
      <c r="BQ96" s="53">
        <f t="shared" si="28"/>
        <v>0</v>
      </c>
      <c r="BR96" s="53">
        <v>2450</v>
      </c>
      <c r="BS96" s="53">
        <v>0</v>
      </c>
      <c r="BT96" s="53">
        <f t="shared" si="29"/>
        <v>2450</v>
      </c>
      <c r="BU96" s="53">
        <f t="shared" si="30"/>
        <v>0</v>
      </c>
      <c r="BV96" s="53" t="e">
        <f t="shared" si="31"/>
        <v>#DIV/0!</v>
      </c>
      <c r="BW96" s="54">
        <v>0</v>
      </c>
      <c r="BX96" s="54">
        <v>0</v>
      </c>
      <c r="BY96" s="54">
        <v>0</v>
      </c>
      <c r="BZ96" s="54">
        <f t="shared" si="32"/>
        <v>0</v>
      </c>
      <c r="CA96" s="54">
        <v>750</v>
      </c>
      <c r="CB96" s="54">
        <v>0</v>
      </c>
      <c r="CC96" s="54">
        <f t="shared" si="33"/>
        <v>750</v>
      </c>
      <c r="CD96" s="54">
        <f t="shared" si="34"/>
        <v>0</v>
      </c>
      <c r="CE96" s="54" t="e">
        <f t="shared" si="35"/>
        <v>#DIV/0!</v>
      </c>
      <c r="CF96" s="55">
        <v>0</v>
      </c>
      <c r="CG96" s="55">
        <v>0</v>
      </c>
      <c r="CH96" s="55">
        <v>0</v>
      </c>
      <c r="CI96" s="55">
        <f t="shared" si="36"/>
        <v>0</v>
      </c>
      <c r="CJ96" s="55">
        <v>730</v>
      </c>
      <c r="CK96" s="55">
        <v>0</v>
      </c>
      <c r="CL96" s="55">
        <f t="shared" si="37"/>
        <v>730</v>
      </c>
      <c r="CM96" s="55">
        <f t="shared" si="38"/>
        <v>0</v>
      </c>
      <c r="CN96" s="55" t="e">
        <f t="shared" si="39"/>
        <v>#DIV/0!</v>
      </c>
      <c r="CO96" s="56">
        <v>0</v>
      </c>
      <c r="CP96" s="56">
        <v>0</v>
      </c>
      <c r="CQ96" s="56">
        <v>0</v>
      </c>
      <c r="CR96" s="56">
        <f t="shared" si="40"/>
        <v>0</v>
      </c>
      <c r="CS96" s="56">
        <v>730</v>
      </c>
      <c r="CT96" s="56">
        <v>0</v>
      </c>
      <c r="CU96" s="56">
        <f t="shared" si="41"/>
        <v>730</v>
      </c>
      <c r="CV96" s="56">
        <f t="shared" si="42"/>
        <v>0</v>
      </c>
      <c r="CW96" s="56" t="e">
        <f t="shared" si="43"/>
        <v>#DIV/0!</v>
      </c>
      <c r="CX96" s="57">
        <v>0</v>
      </c>
      <c r="CY96" s="57">
        <v>0</v>
      </c>
      <c r="CZ96" s="57">
        <v>0</v>
      </c>
      <c r="DA96" s="57">
        <f t="shared" si="44"/>
        <v>0</v>
      </c>
      <c r="DB96" s="57">
        <v>600</v>
      </c>
      <c r="DC96" s="57">
        <v>0</v>
      </c>
      <c r="DD96" s="57">
        <f t="shared" si="45"/>
        <v>600</v>
      </c>
      <c r="DE96" s="57">
        <f t="shared" si="46"/>
        <v>0</v>
      </c>
      <c r="DF96" s="57" t="e">
        <f t="shared" si="47"/>
        <v>#DIV/0!</v>
      </c>
    </row>
    <row r="97" spans="1:110" ht="14.25" customHeight="1">
      <c r="A97" s="59"/>
      <c r="B97" s="29"/>
      <c r="C97" s="45">
        <v>0</v>
      </c>
      <c r="D97" s="45">
        <v>0</v>
      </c>
      <c r="E97" s="45">
        <v>0</v>
      </c>
      <c r="F97" s="45">
        <f t="shared" si="0"/>
        <v>0</v>
      </c>
      <c r="G97" s="45">
        <v>900</v>
      </c>
      <c r="H97" s="45">
        <v>0</v>
      </c>
      <c r="I97" s="45">
        <f t="shared" si="1"/>
        <v>900</v>
      </c>
      <c r="J97" s="45">
        <f t="shared" si="2"/>
        <v>0</v>
      </c>
      <c r="K97" s="45" t="e">
        <f t="shared" si="3"/>
        <v>#DIV/0!</v>
      </c>
      <c r="L97" s="47">
        <v>0</v>
      </c>
      <c r="M97" s="47">
        <v>0</v>
      </c>
      <c r="N97" s="47">
        <v>0</v>
      </c>
      <c r="O97" s="47">
        <f t="shared" si="4"/>
        <v>0</v>
      </c>
      <c r="P97" s="47">
        <v>1800</v>
      </c>
      <c r="Q97" s="47">
        <v>0</v>
      </c>
      <c r="R97" s="47">
        <f t="shared" si="5"/>
        <v>1800</v>
      </c>
      <c r="S97" s="47">
        <f t="shared" si="6"/>
        <v>0</v>
      </c>
      <c r="T97" s="47" t="e">
        <f t="shared" si="7"/>
        <v>#DIV/0!</v>
      </c>
      <c r="U97" s="48">
        <v>0</v>
      </c>
      <c r="V97" s="48">
        <v>0</v>
      </c>
      <c r="W97" s="48">
        <v>0</v>
      </c>
      <c r="X97" s="48">
        <f t="shared" si="8"/>
        <v>0</v>
      </c>
      <c r="Y97" s="48">
        <v>910</v>
      </c>
      <c r="Z97" s="48">
        <v>0</v>
      </c>
      <c r="AA97" s="48">
        <f t="shared" si="9"/>
        <v>910</v>
      </c>
      <c r="AB97" s="48">
        <f t="shared" si="10"/>
        <v>0</v>
      </c>
      <c r="AC97" s="48" t="e">
        <f t="shared" si="11"/>
        <v>#DIV/0!</v>
      </c>
      <c r="AD97" s="49">
        <v>0</v>
      </c>
      <c r="AE97" s="49">
        <v>0</v>
      </c>
      <c r="AF97" s="49">
        <v>0</v>
      </c>
      <c r="AG97" s="49">
        <f t="shared" si="48"/>
        <v>0</v>
      </c>
      <c r="AH97" s="49">
        <v>1200</v>
      </c>
      <c r="AI97" s="49">
        <v>0</v>
      </c>
      <c r="AJ97" s="49">
        <f t="shared" si="13"/>
        <v>1200</v>
      </c>
      <c r="AK97" s="49">
        <f t="shared" si="14"/>
        <v>0</v>
      </c>
      <c r="AL97" s="49" t="e">
        <f t="shared" si="15"/>
        <v>#DIV/0!</v>
      </c>
      <c r="AM97" s="50">
        <v>0</v>
      </c>
      <c r="AN97" s="50">
        <v>0</v>
      </c>
      <c r="AO97" s="50">
        <v>0</v>
      </c>
      <c r="AP97" s="50">
        <f t="shared" si="16"/>
        <v>0</v>
      </c>
      <c r="AQ97" s="50">
        <v>600</v>
      </c>
      <c r="AR97" s="50">
        <v>0</v>
      </c>
      <c r="AS97" s="50">
        <f t="shared" si="17"/>
        <v>600</v>
      </c>
      <c r="AT97" s="50">
        <f t="shared" si="18"/>
        <v>0</v>
      </c>
      <c r="AU97" s="50" t="e">
        <f t="shared" si="19"/>
        <v>#DIV/0!</v>
      </c>
      <c r="AV97" s="51">
        <v>0</v>
      </c>
      <c r="AW97" s="51">
        <v>0</v>
      </c>
      <c r="AX97" s="51">
        <v>0</v>
      </c>
      <c r="AY97" s="51">
        <f t="shared" si="20"/>
        <v>0</v>
      </c>
      <c r="AZ97" s="51">
        <v>1500</v>
      </c>
      <c r="BA97" s="51">
        <v>0</v>
      </c>
      <c r="BB97" s="51">
        <f t="shared" si="21"/>
        <v>1500</v>
      </c>
      <c r="BC97" s="51">
        <f t="shared" si="22"/>
        <v>0</v>
      </c>
      <c r="BD97" s="51" t="e">
        <f t="shared" si="23"/>
        <v>#DIV/0!</v>
      </c>
      <c r="BE97" s="52">
        <v>0</v>
      </c>
      <c r="BF97" s="52">
        <v>0</v>
      </c>
      <c r="BG97" s="52">
        <v>0</v>
      </c>
      <c r="BH97" s="52">
        <f t="shared" si="24"/>
        <v>0</v>
      </c>
      <c r="BI97" s="52">
        <v>750</v>
      </c>
      <c r="BJ97" s="52">
        <v>0</v>
      </c>
      <c r="BK97" s="52">
        <f t="shared" si="25"/>
        <v>750</v>
      </c>
      <c r="BL97" s="52">
        <f t="shared" si="26"/>
        <v>0</v>
      </c>
      <c r="BM97" s="52" t="e">
        <f t="shared" si="27"/>
        <v>#DIV/0!</v>
      </c>
      <c r="BN97" s="53">
        <v>0</v>
      </c>
      <c r="BO97" s="53">
        <v>0</v>
      </c>
      <c r="BP97" s="53">
        <v>0</v>
      </c>
      <c r="BQ97" s="53">
        <f t="shared" si="28"/>
        <v>0</v>
      </c>
      <c r="BR97" s="53">
        <v>2450</v>
      </c>
      <c r="BS97" s="53">
        <v>0</v>
      </c>
      <c r="BT97" s="53">
        <f t="shared" si="29"/>
        <v>2450</v>
      </c>
      <c r="BU97" s="53">
        <f t="shared" si="30"/>
        <v>0</v>
      </c>
      <c r="BV97" s="53" t="e">
        <f t="shared" si="31"/>
        <v>#DIV/0!</v>
      </c>
      <c r="BW97" s="54">
        <v>0</v>
      </c>
      <c r="BX97" s="54">
        <v>0</v>
      </c>
      <c r="BY97" s="54">
        <v>0</v>
      </c>
      <c r="BZ97" s="54">
        <f t="shared" si="32"/>
        <v>0</v>
      </c>
      <c r="CA97" s="54">
        <v>750</v>
      </c>
      <c r="CB97" s="54">
        <v>0</v>
      </c>
      <c r="CC97" s="54">
        <f t="shared" si="33"/>
        <v>750</v>
      </c>
      <c r="CD97" s="54">
        <f t="shared" si="34"/>
        <v>0</v>
      </c>
      <c r="CE97" s="54" t="e">
        <f t="shared" si="35"/>
        <v>#DIV/0!</v>
      </c>
      <c r="CF97" s="55">
        <v>0</v>
      </c>
      <c r="CG97" s="55">
        <v>0</v>
      </c>
      <c r="CH97" s="55">
        <v>0</v>
      </c>
      <c r="CI97" s="55">
        <f t="shared" si="36"/>
        <v>0</v>
      </c>
      <c r="CJ97" s="55">
        <v>730</v>
      </c>
      <c r="CK97" s="55">
        <v>0</v>
      </c>
      <c r="CL97" s="55">
        <f t="shared" si="37"/>
        <v>730</v>
      </c>
      <c r="CM97" s="55">
        <f t="shared" si="38"/>
        <v>0</v>
      </c>
      <c r="CN97" s="55" t="e">
        <f t="shared" si="39"/>
        <v>#DIV/0!</v>
      </c>
      <c r="CO97" s="56">
        <v>0</v>
      </c>
      <c r="CP97" s="56">
        <v>0</v>
      </c>
      <c r="CQ97" s="56">
        <v>0</v>
      </c>
      <c r="CR97" s="56">
        <f t="shared" si="40"/>
        <v>0</v>
      </c>
      <c r="CS97" s="56">
        <v>730</v>
      </c>
      <c r="CT97" s="56">
        <v>0</v>
      </c>
      <c r="CU97" s="56">
        <f t="shared" si="41"/>
        <v>730</v>
      </c>
      <c r="CV97" s="56">
        <f t="shared" si="42"/>
        <v>0</v>
      </c>
      <c r="CW97" s="56" t="e">
        <f t="shared" si="43"/>
        <v>#DIV/0!</v>
      </c>
      <c r="CX97" s="57">
        <v>0</v>
      </c>
      <c r="CY97" s="57">
        <v>0</v>
      </c>
      <c r="CZ97" s="57">
        <v>0</v>
      </c>
      <c r="DA97" s="57">
        <f t="shared" si="44"/>
        <v>0</v>
      </c>
      <c r="DB97" s="57">
        <v>600</v>
      </c>
      <c r="DC97" s="57">
        <v>0</v>
      </c>
      <c r="DD97" s="57">
        <f t="shared" si="45"/>
        <v>600</v>
      </c>
      <c r="DE97" s="57">
        <f t="shared" si="46"/>
        <v>0</v>
      </c>
      <c r="DF97" s="57" t="e">
        <f t="shared" si="47"/>
        <v>#DIV/0!</v>
      </c>
    </row>
    <row r="98" spans="1:110" ht="14.25" customHeight="1">
      <c r="A98" s="59"/>
      <c r="B98" s="29"/>
      <c r="C98" s="45">
        <v>0</v>
      </c>
      <c r="D98" s="45">
        <v>0</v>
      </c>
      <c r="E98" s="45">
        <v>0</v>
      </c>
      <c r="F98" s="45">
        <f t="shared" si="0"/>
        <v>0</v>
      </c>
      <c r="G98" s="45">
        <v>900</v>
      </c>
      <c r="H98" s="45">
        <v>0</v>
      </c>
      <c r="I98" s="45">
        <f t="shared" si="1"/>
        <v>900</v>
      </c>
      <c r="J98" s="45">
        <f t="shared" si="2"/>
        <v>0</v>
      </c>
      <c r="K98" s="45" t="e">
        <f t="shared" si="3"/>
        <v>#DIV/0!</v>
      </c>
      <c r="L98" s="47">
        <v>0</v>
      </c>
      <c r="M98" s="47">
        <v>0</v>
      </c>
      <c r="N98" s="47">
        <v>0</v>
      </c>
      <c r="O98" s="47">
        <f t="shared" si="4"/>
        <v>0</v>
      </c>
      <c r="P98" s="47">
        <v>1800</v>
      </c>
      <c r="Q98" s="47">
        <v>0</v>
      </c>
      <c r="R98" s="47">
        <f t="shared" si="5"/>
        <v>1800</v>
      </c>
      <c r="S98" s="47">
        <f t="shared" si="6"/>
        <v>0</v>
      </c>
      <c r="T98" s="47" t="e">
        <f t="shared" si="7"/>
        <v>#DIV/0!</v>
      </c>
      <c r="U98" s="48">
        <v>0</v>
      </c>
      <c r="V98" s="48">
        <v>0</v>
      </c>
      <c r="W98" s="48">
        <v>0</v>
      </c>
      <c r="X98" s="48">
        <f t="shared" si="8"/>
        <v>0</v>
      </c>
      <c r="Y98" s="48">
        <v>910</v>
      </c>
      <c r="Z98" s="48">
        <v>0</v>
      </c>
      <c r="AA98" s="48">
        <f t="shared" si="9"/>
        <v>910</v>
      </c>
      <c r="AB98" s="48">
        <f t="shared" si="10"/>
        <v>0</v>
      </c>
      <c r="AC98" s="48" t="e">
        <f t="shared" si="11"/>
        <v>#DIV/0!</v>
      </c>
      <c r="AD98" s="49">
        <v>0</v>
      </c>
      <c r="AE98" s="49">
        <v>0</v>
      </c>
      <c r="AF98" s="49">
        <v>0</v>
      </c>
      <c r="AG98" s="49">
        <f t="shared" si="48"/>
        <v>0</v>
      </c>
      <c r="AH98" s="49">
        <v>1200</v>
      </c>
      <c r="AI98" s="49">
        <v>0</v>
      </c>
      <c r="AJ98" s="49">
        <f t="shared" si="13"/>
        <v>1200</v>
      </c>
      <c r="AK98" s="49">
        <f t="shared" si="14"/>
        <v>0</v>
      </c>
      <c r="AL98" s="49" t="e">
        <f t="shared" si="15"/>
        <v>#DIV/0!</v>
      </c>
      <c r="AM98" s="50">
        <v>0</v>
      </c>
      <c r="AN98" s="50">
        <v>0</v>
      </c>
      <c r="AO98" s="50">
        <v>0</v>
      </c>
      <c r="AP98" s="50">
        <f t="shared" si="16"/>
        <v>0</v>
      </c>
      <c r="AQ98" s="50">
        <v>600</v>
      </c>
      <c r="AR98" s="50">
        <v>0</v>
      </c>
      <c r="AS98" s="50">
        <f t="shared" si="17"/>
        <v>600</v>
      </c>
      <c r="AT98" s="50">
        <f t="shared" si="18"/>
        <v>0</v>
      </c>
      <c r="AU98" s="50" t="e">
        <f t="shared" si="19"/>
        <v>#DIV/0!</v>
      </c>
      <c r="AV98" s="51">
        <v>0</v>
      </c>
      <c r="AW98" s="51">
        <v>0</v>
      </c>
      <c r="AX98" s="51">
        <v>0</v>
      </c>
      <c r="AY98" s="51">
        <f t="shared" si="20"/>
        <v>0</v>
      </c>
      <c r="AZ98" s="51">
        <v>1500</v>
      </c>
      <c r="BA98" s="51">
        <v>0</v>
      </c>
      <c r="BB98" s="51">
        <f t="shared" si="21"/>
        <v>1500</v>
      </c>
      <c r="BC98" s="51">
        <f t="shared" si="22"/>
        <v>0</v>
      </c>
      <c r="BD98" s="51" t="e">
        <f t="shared" si="23"/>
        <v>#DIV/0!</v>
      </c>
      <c r="BE98" s="52">
        <v>0</v>
      </c>
      <c r="BF98" s="52">
        <v>0</v>
      </c>
      <c r="BG98" s="52">
        <v>0</v>
      </c>
      <c r="BH98" s="52">
        <f t="shared" si="24"/>
        <v>0</v>
      </c>
      <c r="BI98" s="52">
        <v>750</v>
      </c>
      <c r="BJ98" s="52">
        <v>0</v>
      </c>
      <c r="BK98" s="52">
        <f t="shared" si="25"/>
        <v>750</v>
      </c>
      <c r="BL98" s="52">
        <f t="shared" si="26"/>
        <v>0</v>
      </c>
      <c r="BM98" s="52" t="e">
        <f t="shared" si="27"/>
        <v>#DIV/0!</v>
      </c>
      <c r="BN98" s="53">
        <v>0</v>
      </c>
      <c r="BO98" s="53">
        <v>0</v>
      </c>
      <c r="BP98" s="53">
        <v>0</v>
      </c>
      <c r="BQ98" s="53">
        <f t="shared" si="28"/>
        <v>0</v>
      </c>
      <c r="BR98" s="53">
        <v>2450</v>
      </c>
      <c r="BS98" s="53">
        <v>0</v>
      </c>
      <c r="BT98" s="53">
        <f t="shared" si="29"/>
        <v>2450</v>
      </c>
      <c r="BU98" s="53">
        <f t="shared" si="30"/>
        <v>0</v>
      </c>
      <c r="BV98" s="53" t="e">
        <f t="shared" si="31"/>
        <v>#DIV/0!</v>
      </c>
      <c r="BW98" s="54">
        <v>0</v>
      </c>
      <c r="BX98" s="54">
        <v>0</v>
      </c>
      <c r="BY98" s="54">
        <v>0</v>
      </c>
      <c r="BZ98" s="54">
        <f t="shared" si="32"/>
        <v>0</v>
      </c>
      <c r="CA98" s="54">
        <v>750</v>
      </c>
      <c r="CB98" s="54">
        <v>0</v>
      </c>
      <c r="CC98" s="54">
        <f t="shared" si="33"/>
        <v>750</v>
      </c>
      <c r="CD98" s="54">
        <f t="shared" si="34"/>
        <v>0</v>
      </c>
      <c r="CE98" s="54" t="e">
        <f t="shared" si="35"/>
        <v>#DIV/0!</v>
      </c>
      <c r="CF98" s="55">
        <v>0</v>
      </c>
      <c r="CG98" s="55">
        <v>0</v>
      </c>
      <c r="CH98" s="55">
        <v>0</v>
      </c>
      <c r="CI98" s="55">
        <f t="shared" si="36"/>
        <v>0</v>
      </c>
      <c r="CJ98" s="55">
        <v>730</v>
      </c>
      <c r="CK98" s="55">
        <v>0</v>
      </c>
      <c r="CL98" s="55">
        <f t="shared" si="37"/>
        <v>730</v>
      </c>
      <c r="CM98" s="55">
        <f t="shared" si="38"/>
        <v>0</v>
      </c>
      <c r="CN98" s="55" t="e">
        <f t="shared" si="39"/>
        <v>#DIV/0!</v>
      </c>
      <c r="CO98" s="56">
        <v>0</v>
      </c>
      <c r="CP98" s="56">
        <v>0</v>
      </c>
      <c r="CQ98" s="56">
        <v>0</v>
      </c>
      <c r="CR98" s="56">
        <f t="shared" si="40"/>
        <v>0</v>
      </c>
      <c r="CS98" s="56">
        <v>730</v>
      </c>
      <c r="CT98" s="56">
        <v>0</v>
      </c>
      <c r="CU98" s="56">
        <f t="shared" si="41"/>
        <v>730</v>
      </c>
      <c r="CV98" s="56">
        <f t="shared" si="42"/>
        <v>0</v>
      </c>
      <c r="CW98" s="56" t="e">
        <f t="shared" si="43"/>
        <v>#DIV/0!</v>
      </c>
      <c r="CX98" s="57">
        <v>0</v>
      </c>
      <c r="CY98" s="57">
        <v>0</v>
      </c>
      <c r="CZ98" s="57">
        <v>0</v>
      </c>
      <c r="DA98" s="57">
        <f t="shared" si="44"/>
        <v>0</v>
      </c>
      <c r="DB98" s="57">
        <v>600</v>
      </c>
      <c r="DC98" s="57">
        <v>0</v>
      </c>
      <c r="DD98" s="57">
        <f t="shared" si="45"/>
        <v>600</v>
      </c>
      <c r="DE98" s="57">
        <f t="shared" si="46"/>
        <v>0</v>
      </c>
      <c r="DF98" s="57" t="e">
        <f t="shared" si="47"/>
        <v>#DIV/0!</v>
      </c>
    </row>
    <row r="99" spans="1:110" ht="14.25" customHeight="1">
      <c r="A99" s="59"/>
      <c r="B99" s="29"/>
      <c r="C99" s="45">
        <v>0</v>
      </c>
      <c r="D99" s="45">
        <v>12</v>
      </c>
      <c r="E99" s="45">
        <v>0</v>
      </c>
      <c r="F99" s="45">
        <f t="shared" si="0"/>
        <v>12</v>
      </c>
      <c r="G99" s="45">
        <v>900</v>
      </c>
      <c r="H99" s="45">
        <v>60</v>
      </c>
      <c r="I99" s="45">
        <f t="shared" si="1"/>
        <v>840</v>
      </c>
      <c r="J99" s="45">
        <f t="shared" si="2"/>
        <v>10080</v>
      </c>
      <c r="K99" s="45">
        <f t="shared" si="3"/>
        <v>0</v>
      </c>
      <c r="L99" s="47">
        <v>0</v>
      </c>
      <c r="M99" s="47">
        <v>24</v>
      </c>
      <c r="N99" s="47">
        <v>9</v>
      </c>
      <c r="O99" s="47">
        <f t="shared" si="4"/>
        <v>15</v>
      </c>
      <c r="P99" s="47">
        <v>1800</v>
      </c>
      <c r="Q99" s="47">
        <v>120</v>
      </c>
      <c r="R99" s="47">
        <f t="shared" si="5"/>
        <v>1680</v>
      </c>
      <c r="S99" s="47">
        <f t="shared" si="6"/>
        <v>25200</v>
      </c>
      <c r="T99" s="47">
        <f t="shared" si="7"/>
        <v>37.5</v>
      </c>
      <c r="U99" s="48">
        <v>0</v>
      </c>
      <c r="V99" s="48">
        <v>0</v>
      </c>
      <c r="W99" s="48">
        <v>0</v>
      </c>
      <c r="X99" s="48">
        <f t="shared" si="8"/>
        <v>0</v>
      </c>
      <c r="Y99" s="48">
        <v>910</v>
      </c>
      <c r="Z99" s="48">
        <v>0</v>
      </c>
      <c r="AA99" s="48">
        <f t="shared" si="9"/>
        <v>910</v>
      </c>
      <c r="AB99" s="48">
        <f t="shared" si="10"/>
        <v>0</v>
      </c>
      <c r="AC99" s="48" t="e">
        <f t="shared" si="11"/>
        <v>#DIV/0!</v>
      </c>
      <c r="AD99" s="49">
        <v>0</v>
      </c>
      <c r="AE99" s="49">
        <v>0</v>
      </c>
      <c r="AF99" s="49">
        <v>0</v>
      </c>
      <c r="AG99" s="49">
        <f t="shared" si="48"/>
        <v>0</v>
      </c>
      <c r="AH99" s="49">
        <v>1200</v>
      </c>
      <c r="AI99" s="49">
        <v>0</v>
      </c>
      <c r="AJ99" s="49">
        <f t="shared" si="13"/>
        <v>1200</v>
      </c>
      <c r="AK99" s="49">
        <f t="shared" si="14"/>
        <v>0</v>
      </c>
      <c r="AL99" s="49" t="e">
        <f t="shared" si="15"/>
        <v>#DIV/0!</v>
      </c>
      <c r="AM99" s="50">
        <v>0</v>
      </c>
      <c r="AN99" s="50">
        <v>0</v>
      </c>
      <c r="AO99" s="50">
        <v>0</v>
      </c>
      <c r="AP99" s="50">
        <f t="shared" si="16"/>
        <v>0</v>
      </c>
      <c r="AQ99" s="50">
        <v>600</v>
      </c>
      <c r="AR99" s="50">
        <v>0</v>
      </c>
      <c r="AS99" s="50">
        <f t="shared" si="17"/>
        <v>600</v>
      </c>
      <c r="AT99" s="50">
        <f t="shared" si="18"/>
        <v>0</v>
      </c>
      <c r="AU99" s="50" t="e">
        <f t="shared" si="19"/>
        <v>#DIV/0!</v>
      </c>
      <c r="AV99" s="51">
        <v>0</v>
      </c>
      <c r="AW99" s="51">
        <v>0</v>
      </c>
      <c r="AX99" s="51">
        <v>0</v>
      </c>
      <c r="AY99" s="51">
        <f t="shared" si="20"/>
        <v>0</v>
      </c>
      <c r="AZ99" s="51">
        <v>1500</v>
      </c>
      <c r="BA99" s="51">
        <v>0</v>
      </c>
      <c r="BB99" s="51">
        <f t="shared" si="21"/>
        <v>1500</v>
      </c>
      <c r="BC99" s="51">
        <f t="shared" si="22"/>
        <v>0</v>
      </c>
      <c r="BD99" s="51" t="e">
        <f t="shared" si="23"/>
        <v>#DIV/0!</v>
      </c>
      <c r="BE99" s="52">
        <v>0</v>
      </c>
      <c r="BF99" s="52">
        <v>0</v>
      </c>
      <c r="BG99" s="52">
        <v>0</v>
      </c>
      <c r="BH99" s="52">
        <f t="shared" si="24"/>
        <v>0</v>
      </c>
      <c r="BI99" s="52">
        <v>750</v>
      </c>
      <c r="BJ99" s="52">
        <v>0</v>
      </c>
      <c r="BK99" s="52">
        <f t="shared" si="25"/>
        <v>750</v>
      </c>
      <c r="BL99" s="52">
        <f t="shared" si="26"/>
        <v>0</v>
      </c>
      <c r="BM99" s="52" t="e">
        <f t="shared" si="27"/>
        <v>#DIV/0!</v>
      </c>
      <c r="BN99" s="53">
        <v>0</v>
      </c>
      <c r="BO99" s="53">
        <v>360</v>
      </c>
      <c r="BP99" s="53">
        <v>10</v>
      </c>
      <c r="BQ99" s="53">
        <f t="shared" si="28"/>
        <v>350</v>
      </c>
      <c r="BR99" s="53">
        <v>2450</v>
      </c>
      <c r="BS99" s="53">
        <v>400</v>
      </c>
      <c r="BT99" s="53">
        <f t="shared" si="29"/>
        <v>2050</v>
      </c>
      <c r="BU99" s="53">
        <f t="shared" si="30"/>
        <v>717500</v>
      </c>
      <c r="BV99" s="53">
        <f t="shared" si="31"/>
        <v>2.7777777777777777</v>
      </c>
      <c r="BW99" s="54">
        <v>0</v>
      </c>
      <c r="BX99" s="54">
        <v>400</v>
      </c>
      <c r="BY99" s="54">
        <f>400-214</f>
        <v>186</v>
      </c>
      <c r="BZ99" s="54">
        <f t="shared" si="32"/>
        <v>214</v>
      </c>
      <c r="CA99" s="54">
        <v>750</v>
      </c>
      <c r="CB99" s="54">
        <v>80</v>
      </c>
      <c r="CC99" s="54">
        <f t="shared" si="33"/>
        <v>670</v>
      </c>
      <c r="CD99" s="54">
        <f t="shared" si="34"/>
        <v>143380</v>
      </c>
      <c r="CE99" s="54">
        <f t="shared" si="35"/>
        <v>46.5</v>
      </c>
      <c r="CF99" s="55">
        <v>0</v>
      </c>
      <c r="CG99" s="55">
        <v>180</v>
      </c>
      <c r="CH99" s="55">
        <f>180-25</f>
        <v>155</v>
      </c>
      <c r="CI99" s="55">
        <f t="shared" si="36"/>
        <v>25</v>
      </c>
      <c r="CJ99" s="55">
        <v>730</v>
      </c>
      <c r="CK99" s="55">
        <v>60</v>
      </c>
      <c r="CL99" s="55">
        <f t="shared" si="37"/>
        <v>670</v>
      </c>
      <c r="CM99" s="55">
        <f t="shared" si="38"/>
        <v>16750</v>
      </c>
      <c r="CN99" s="55">
        <f t="shared" si="39"/>
        <v>86.111111111111114</v>
      </c>
      <c r="CO99" s="56">
        <v>0</v>
      </c>
      <c r="CP99" s="56">
        <v>0</v>
      </c>
      <c r="CQ99" s="56">
        <v>0</v>
      </c>
      <c r="CR99" s="56">
        <f t="shared" si="40"/>
        <v>0</v>
      </c>
      <c r="CS99" s="56">
        <v>730</v>
      </c>
      <c r="CT99" s="56">
        <v>0</v>
      </c>
      <c r="CU99" s="56">
        <f t="shared" si="41"/>
        <v>730</v>
      </c>
      <c r="CV99" s="56">
        <f t="shared" si="42"/>
        <v>0</v>
      </c>
      <c r="CW99" s="56" t="e">
        <f t="shared" si="43"/>
        <v>#DIV/0!</v>
      </c>
      <c r="CX99" s="57">
        <v>0</v>
      </c>
      <c r="CY99" s="57">
        <v>0</v>
      </c>
      <c r="CZ99" s="57">
        <v>0</v>
      </c>
      <c r="DA99" s="57">
        <f t="shared" si="44"/>
        <v>0</v>
      </c>
      <c r="DB99" s="57">
        <v>600</v>
      </c>
      <c r="DC99" s="57">
        <v>0</v>
      </c>
      <c r="DD99" s="57">
        <f t="shared" si="45"/>
        <v>600</v>
      </c>
      <c r="DE99" s="57">
        <f t="shared" si="46"/>
        <v>0</v>
      </c>
      <c r="DF99" s="57" t="e">
        <f t="shared" si="47"/>
        <v>#DIV/0!</v>
      </c>
    </row>
    <row r="100" spans="1:110" ht="14.25" customHeight="1">
      <c r="A100" s="59"/>
      <c r="B100" s="29"/>
      <c r="C100" s="45">
        <v>0</v>
      </c>
      <c r="D100" s="45">
        <v>0</v>
      </c>
      <c r="E100" s="45">
        <v>0</v>
      </c>
      <c r="F100" s="45">
        <f t="shared" si="0"/>
        <v>0</v>
      </c>
      <c r="G100" s="45">
        <v>900</v>
      </c>
      <c r="H100" s="45">
        <v>0</v>
      </c>
      <c r="I100" s="45">
        <f t="shared" si="1"/>
        <v>900</v>
      </c>
      <c r="J100" s="45">
        <f t="shared" si="2"/>
        <v>0</v>
      </c>
      <c r="K100" s="45" t="e">
        <f t="shared" si="3"/>
        <v>#DIV/0!</v>
      </c>
      <c r="L100" s="47">
        <v>0</v>
      </c>
      <c r="M100" s="47">
        <v>0</v>
      </c>
      <c r="N100" s="47">
        <v>0</v>
      </c>
      <c r="O100" s="47">
        <f t="shared" si="4"/>
        <v>0</v>
      </c>
      <c r="P100" s="47">
        <v>1800</v>
      </c>
      <c r="Q100" s="47">
        <v>0</v>
      </c>
      <c r="R100" s="47">
        <f t="shared" si="5"/>
        <v>1800</v>
      </c>
      <c r="S100" s="47">
        <f t="shared" si="6"/>
        <v>0</v>
      </c>
      <c r="T100" s="47" t="e">
        <f t="shared" si="7"/>
        <v>#DIV/0!</v>
      </c>
      <c r="U100" s="48">
        <v>0</v>
      </c>
      <c r="V100" s="48">
        <v>0</v>
      </c>
      <c r="W100" s="48">
        <v>0</v>
      </c>
      <c r="X100" s="48">
        <f t="shared" si="8"/>
        <v>0</v>
      </c>
      <c r="Y100" s="48">
        <v>910</v>
      </c>
      <c r="Z100" s="48">
        <v>0</v>
      </c>
      <c r="AA100" s="48">
        <f t="shared" si="9"/>
        <v>910</v>
      </c>
      <c r="AB100" s="48">
        <f t="shared" si="10"/>
        <v>0</v>
      </c>
      <c r="AC100" s="48" t="e">
        <f t="shared" si="11"/>
        <v>#DIV/0!</v>
      </c>
      <c r="AD100" s="49">
        <v>0</v>
      </c>
      <c r="AE100" s="49">
        <v>0</v>
      </c>
      <c r="AF100" s="49">
        <v>0</v>
      </c>
      <c r="AG100" s="49">
        <f t="shared" si="48"/>
        <v>0</v>
      </c>
      <c r="AH100" s="49">
        <v>1200</v>
      </c>
      <c r="AI100" s="49">
        <v>0</v>
      </c>
      <c r="AJ100" s="49">
        <f t="shared" si="13"/>
        <v>1200</v>
      </c>
      <c r="AK100" s="49">
        <f t="shared" si="14"/>
        <v>0</v>
      </c>
      <c r="AL100" s="49" t="e">
        <f t="shared" si="15"/>
        <v>#DIV/0!</v>
      </c>
      <c r="AM100" s="50">
        <v>0</v>
      </c>
      <c r="AN100" s="50">
        <v>0</v>
      </c>
      <c r="AO100" s="50">
        <v>0</v>
      </c>
      <c r="AP100" s="50">
        <f t="shared" si="16"/>
        <v>0</v>
      </c>
      <c r="AQ100" s="50">
        <v>600</v>
      </c>
      <c r="AR100" s="50">
        <v>0</v>
      </c>
      <c r="AS100" s="50">
        <f t="shared" si="17"/>
        <v>600</v>
      </c>
      <c r="AT100" s="50">
        <f t="shared" si="18"/>
        <v>0</v>
      </c>
      <c r="AU100" s="50" t="e">
        <f t="shared" si="19"/>
        <v>#DIV/0!</v>
      </c>
      <c r="AV100" s="51">
        <v>0</v>
      </c>
      <c r="AW100" s="51">
        <v>0</v>
      </c>
      <c r="AX100" s="51">
        <v>0</v>
      </c>
      <c r="AY100" s="51">
        <f t="shared" si="20"/>
        <v>0</v>
      </c>
      <c r="AZ100" s="51">
        <v>1500</v>
      </c>
      <c r="BA100" s="51">
        <v>0</v>
      </c>
      <c r="BB100" s="51">
        <f t="shared" si="21"/>
        <v>1500</v>
      </c>
      <c r="BC100" s="51">
        <f t="shared" si="22"/>
        <v>0</v>
      </c>
      <c r="BD100" s="51" t="e">
        <f t="shared" si="23"/>
        <v>#DIV/0!</v>
      </c>
      <c r="BE100" s="52">
        <v>0</v>
      </c>
      <c r="BF100" s="52">
        <v>0</v>
      </c>
      <c r="BG100" s="52">
        <v>0</v>
      </c>
      <c r="BH100" s="52">
        <f t="shared" si="24"/>
        <v>0</v>
      </c>
      <c r="BI100" s="52">
        <v>750</v>
      </c>
      <c r="BJ100" s="52">
        <v>0</v>
      </c>
      <c r="BK100" s="52">
        <f t="shared" si="25"/>
        <v>750</v>
      </c>
      <c r="BL100" s="52">
        <f t="shared" si="26"/>
        <v>0</v>
      </c>
      <c r="BM100" s="52" t="e">
        <f t="shared" si="27"/>
        <v>#DIV/0!</v>
      </c>
      <c r="BN100" s="53">
        <v>0</v>
      </c>
      <c r="BO100" s="53">
        <v>0</v>
      </c>
      <c r="BP100" s="53">
        <v>0</v>
      </c>
      <c r="BQ100" s="53">
        <f t="shared" si="28"/>
        <v>0</v>
      </c>
      <c r="BR100" s="53">
        <v>2450</v>
      </c>
      <c r="BS100" s="53">
        <v>0</v>
      </c>
      <c r="BT100" s="53">
        <f t="shared" si="29"/>
        <v>2450</v>
      </c>
      <c r="BU100" s="53">
        <f t="shared" si="30"/>
        <v>0</v>
      </c>
      <c r="BV100" s="53" t="e">
        <f t="shared" si="31"/>
        <v>#DIV/0!</v>
      </c>
      <c r="BW100" s="54">
        <v>0</v>
      </c>
      <c r="BX100" s="54">
        <v>0</v>
      </c>
      <c r="BY100" s="54">
        <v>0</v>
      </c>
      <c r="BZ100" s="54">
        <f t="shared" si="32"/>
        <v>0</v>
      </c>
      <c r="CA100" s="54">
        <v>750</v>
      </c>
      <c r="CB100" s="54">
        <v>0</v>
      </c>
      <c r="CC100" s="54">
        <f t="shared" si="33"/>
        <v>750</v>
      </c>
      <c r="CD100" s="54">
        <f t="shared" si="34"/>
        <v>0</v>
      </c>
      <c r="CE100" s="54" t="e">
        <f t="shared" si="35"/>
        <v>#DIV/0!</v>
      </c>
      <c r="CF100" s="55">
        <v>0</v>
      </c>
      <c r="CG100" s="55">
        <v>0</v>
      </c>
      <c r="CH100" s="55">
        <v>0</v>
      </c>
      <c r="CI100" s="55">
        <f t="shared" si="36"/>
        <v>0</v>
      </c>
      <c r="CJ100" s="55">
        <v>730</v>
      </c>
      <c r="CK100" s="55">
        <v>0</v>
      </c>
      <c r="CL100" s="55">
        <f t="shared" si="37"/>
        <v>730</v>
      </c>
      <c r="CM100" s="55">
        <f t="shared" si="38"/>
        <v>0</v>
      </c>
      <c r="CN100" s="55" t="e">
        <f t="shared" si="39"/>
        <v>#DIV/0!</v>
      </c>
      <c r="CO100" s="56">
        <v>0</v>
      </c>
      <c r="CP100" s="56">
        <v>0</v>
      </c>
      <c r="CQ100" s="56">
        <v>0</v>
      </c>
      <c r="CR100" s="56">
        <f t="shared" si="40"/>
        <v>0</v>
      </c>
      <c r="CS100" s="56">
        <v>730</v>
      </c>
      <c r="CT100" s="56">
        <v>0</v>
      </c>
      <c r="CU100" s="56">
        <f t="shared" si="41"/>
        <v>730</v>
      </c>
      <c r="CV100" s="56">
        <f t="shared" si="42"/>
        <v>0</v>
      </c>
      <c r="CW100" s="56" t="e">
        <f t="shared" si="43"/>
        <v>#DIV/0!</v>
      </c>
      <c r="CX100" s="57">
        <v>0</v>
      </c>
      <c r="CY100" s="57">
        <v>0</v>
      </c>
      <c r="CZ100" s="57">
        <v>0</v>
      </c>
      <c r="DA100" s="57">
        <f t="shared" si="44"/>
        <v>0</v>
      </c>
      <c r="DB100" s="57">
        <v>600</v>
      </c>
      <c r="DC100" s="57">
        <v>0</v>
      </c>
      <c r="DD100" s="57">
        <f t="shared" si="45"/>
        <v>600</v>
      </c>
      <c r="DE100" s="57">
        <f t="shared" si="46"/>
        <v>0</v>
      </c>
      <c r="DF100" s="57" t="e">
        <f t="shared" si="47"/>
        <v>#DIV/0!</v>
      </c>
    </row>
    <row r="101" spans="1:110" ht="14.25" customHeight="1">
      <c r="A101" s="59"/>
      <c r="B101" s="29"/>
      <c r="C101" s="45">
        <v>0</v>
      </c>
      <c r="D101" s="45">
        <v>0</v>
      </c>
      <c r="E101" s="45">
        <v>0</v>
      </c>
      <c r="F101" s="45">
        <f t="shared" si="0"/>
        <v>0</v>
      </c>
      <c r="G101" s="45">
        <v>900</v>
      </c>
      <c r="H101" s="45">
        <v>0</v>
      </c>
      <c r="I101" s="45">
        <f t="shared" si="1"/>
        <v>900</v>
      </c>
      <c r="J101" s="45">
        <f t="shared" si="2"/>
        <v>0</v>
      </c>
      <c r="K101" s="45" t="e">
        <f t="shared" si="3"/>
        <v>#DIV/0!</v>
      </c>
      <c r="L101" s="47">
        <v>0</v>
      </c>
      <c r="M101" s="47">
        <v>0</v>
      </c>
      <c r="N101" s="47">
        <v>0</v>
      </c>
      <c r="O101" s="47">
        <f t="shared" si="4"/>
        <v>0</v>
      </c>
      <c r="P101" s="47">
        <v>1800</v>
      </c>
      <c r="Q101" s="47">
        <v>0</v>
      </c>
      <c r="R101" s="47">
        <f t="shared" si="5"/>
        <v>1800</v>
      </c>
      <c r="S101" s="47">
        <f t="shared" si="6"/>
        <v>0</v>
      </c>
      <c r="T101" s="47" t="e">
        <f t="shared" si="7"/>
        <v>#DIV/0!</v>
      </c>
      <c r="U101" s="48">
        <v>0</v>
      </c>
      <c r="V101" s="48">
        <v>0</v>
      </c>
      <c r="W101" s="48">
        <v>0</v>
      </c>
      <c r="X101" s="48">
        <f t="shared" si="8"/>
        <v>0</v>
      </c>
      <c r="Y101" s="48">
        <v>910</v>
      </c>
      <c r="Z101" s="48">
        <v>0</v>
      </c>
      <c r="AA101" s="48">
        <f t="shared" si="9"/>
        <v>910</v>
      </c>
      <c r="AB101" s="48">
        <f t="shared" si="10"/>
        <v>0</v>
      </c>
      <c r="AC101" s="48" t="e">
        <f t="shared" si="11"/>
        <v>#DIV/0!</v>
      </c>
      <c r="AD101" s="49">
        <v>0</v>
      </c>
      <c r="AE101" s="49">
        <v>0</v>
      </c>
      <c r="AF101" s="49">
        <v>0</v>
      </c>
      <c r="AG101" s="49">
        <f t="shared" si="48"/>
        <v>0</v>
      </c>
      <c r="AH101" s="49">
        <v>1200</v>
      </c>
      <c r="AI101" s="49">
        <v>0</v>
      </c>
      <c r="AJ101" s="49">
        <f t="shared" si="13"/>
        <v>1200</v>
      </c>
      <c r="AK101" s="49">
        <f t="shared" si="14"/>
        <v>0</v>
      </c>
      <c r="AL101" s="49" t="e">
        <f t="shared" si="15"/>
        <v>#DIV/0!</v>
      </c>
      <c r="AM101" s="50">
        <v>0</v>
      </c>
      <c r="AN101" s="50">
        <v>0</v>
      </c>
      <c r="AO101" s="50">
        <v>0</v>
      </c>
      <c r="AP101" s="50">
        <f t="shared" si="16"/>
        <v>0</v>
      </c>
      <c r="AQ101" s="50">
        <v>600</v>
      </c>
      <c r="AR101" s="50">
        <v>0</v>
      </c>
      <c r="AS101" s="50">
        <f t="shared" si="17"/>
        <v>600</v>
      </c>
      <c r="AT101" s="50">
        <f t="shared" si="18"/>
        <v>0</v>
      </c>
      <c r="AU101" s="50" t="e">
        <f t="shared" si="19"/>
        <v>#DIV/0!</v>
      </c>
      <c r="AV101" s="51">
        <v>0</v>
      </c>
      <c r="AW101" s="51">
        <v>0</v>
      </c>
      <c r="AX101" s="51">
        <v>0</v>
      </c>
      <c r="AY101" s="51">
        <f t="shared" si="20"/>
        <v>0</v>
      </c>
      <c r="AZ101" s="51">
        <v>1500</v>
      </c>
      <c r="BA101" s="51">
        <v>0</v>
      </c>
      <c r="BB101" s="51">
        <f t="shared" si="21"/>
        <v>1500</v>
      </c>
      <c r="BC101" s="51">
        <f t="shared" si="22"/>
        <v>0</v>
      </c>
      <c r="BD101" s="51" t="e">
        <f t="shared" si="23"/>
        <v>#DIV/0!</v>
      </c>
      <c r="BE101" s="52">
        <v>0</v>
      </c>
      <c r="BF101" s="52">
        <v>0</v>
      </c>
      <c r="BG101" s="52">
        <v>0</v>
      </c>
      <c r="BH101" s="52">
        <f t="shared" si="24"/>
        <v>0</v>
      </c>
      <c r="BI101" s="52">
        <v>750</v>
      </c>
      <c r="BJ101" s="52">
        <v>0</v>
      </c>
      <c r="BK101" s="52">
        <f t="shared" si="25"/>
        <v>750</v>
      </c>
      <c r="BL101" s="52">
        <f t="shared" si="26"/>
        <v>0</v>
      </c>
      <c r="BM101" s="52" t="e">
        <f t="shared" si="27"/>
        <v>#DIV/0!</v>
      </c>
      <c r="BN101" s="53">
        <v>0</v>
      </c>
      <c r="BO101" s="53">
        <v>0</v>
      </c>
      <c r="BP101" s="53">
        <v>0</v>
      </c>
      <c r="BQ101" s="53">
        <f t="shared" si="28"/>
        <v>0</v>
      </c>
      <c r="BR101" s="53">
        <v>2450</v>
      </c>
      <c r="BS101" s="53">
        <v>0</v>
      </c>
      <c r="BT101" s="53">
        <f t="shared" si="29"/>
        <v>2450</v>
      </c>
      <c r="BU101" s="53">
        <f t="shared" si="30"/>
        <v>0</v>
      </c>
      <c r="BV101" s="53" t="e">
        <f t="shared" si="31"/>
        <v>#DIV/0!</v>
      </c>
      <c r="BW101" s="54">
        <v>0</v>
      </c>
      <c r="BX101" s="54">
        <v>0</v>
      </c>
      <c r="BY101" s="54">
        <v>0</v>
      </c>
      <c r="BZ101" s="54">
        <f t="shared" si="32"/>
        <v>0</v>
      </c>
      <c r="CA101" s="54">
        <v>750</v>
      </c>
      <c r="CB101" s="54">
        <v>0</v>
      </c>
      <c r="CC101" s="54">
        <f t="shared" si="33"/>
        <v>750</v>
      </c>
      <c r="CD101" s="54">
        <f t="shared" si="34"/>
        <v>0</v>
      </c>
      <c r="CE101" s="54" t="e">
        <f t="shared" si="35"/>
        <v>#DIV/0!</v>
      </c>
      <c r="CF101" s="55">
        <v>0</v>
      </c>
      <c r="CG101" s="55">
        <v>0</v>
      </c>
      <c r="CH101" s="55">
        <v>0</v>
      </c>
      <c r="CI101" s="55">
        <f t="shared" si="36"/>
        <v>0</v>
      </c>
      <c r="CJ101" s="55">
        <v>730</v>
      </c>
      <c r="CK101" s="55">
        <v>0</v>
      </c>
      <c r="CL101" s="55">
        <f t="shared" si="37"/>
        <v>730</v>
      </c>
      <c r="CM101" s="55">
        <f t="shared" si="38"/>
        <v>0</v>
      </c>
      <c r="CN101" s="55" t="e">
        <f t="shared" si="39"/>
        <v>#DIV/0!</v>
      </c>
      <c r="CO101" s="56">
        <v>0</v>
      </c>
      <c r="CP101" s="56">
        <v>0</v>
      </c>
      <c r="CQ101" s="56">
        <v>0</v>
      </c>
      <c r="CR101" s="56">
        <f t="shared" si="40"/>
        <v>0</v>
      </c>
      <c r="CS101" s="56">
        <v>730</v>
      </c>
      <c r="CT101" s="56">
        <v>0</v>
      </c>
      <c r="CU101" s="56">
        <f t="shared" si="41"/>
        <v>730</v>
      </c>
      <c r="CV101" s="56">
        <f t="shared" si="42"/>
        <v>0</v>
      </c>
      <c r="CW101" s="56" t="e">
        <f t="shared" si="43"/>
        <v>#DIV/0!</v>
      </c>
      <c r="CX101" s="57">
        <v>0</v>
      </c>
      <c r="CY101" s="57">
        <v>0</v>
      </c>
      <c r="CZ101" s="57">
        <v>0</v>
      </c>
      <c r="DA101" s="57">
        <f t="shared" si="44"/>
        <v>0</v>
      </c>
      <c r="DB101" s="57">
        <v>600</v>
      </c>
      <c r="DC101" s="57">
        <v>0</v>
      </c>
      <c r="DD101" s="57">
        <f t="shared" si="45"/>
        <v>600</v>
      </c>
      <c r="DE101" s="57">
        <f t="shared" si="46"/>
        <v>0</v>
      </c>
      <c r="DF101" s="57" t="e">
        <f t="shared" si="47"/>
        <v>#DIV/0!</v>
      </c>
    </row>
    <row r="102" spans="1:110" ht="14.25" customHeight="1">
      <c r="A102" s="59"/>
      <c r="B102" s="29"/>
      <c r="C102" s="45">
        <v>0</v>
      </c>
      <c r="D102" s="45">
        <v>0</v>
      </c>
      <c r="E102" s="45">
        <v>0</v>
      </c>
      <c r="F102" s="45">
        <f t="shared" si="0"/>
        <v>0</v>
      </c>
      <c r="G102" s="45">
        <v>900</v>
      </c>
      <c r="H102" s="45">
        <v>0</v>
      </c>
      <c r="I102" s="45">
        <f t="shared" si="1"/>
        <v>900</v>
      </c>
      <c r="J102" s="45">
        <f t="shared" si="2"/>
        <v>0</v>
      </c>
      <c r="K102" s="45" t="e">
        <f t="shared" si="3"/>
        <v>#DIV/0!</v>
      </c>
      <c r="L102" s="47">
        <v>0</v>
      </c>
      <c r="M102" s="47">
        <v>0</v>
      </c>
      <c r="N102" s="47">
        <v>0</v>
      </c>
      <c r="O102" s="47">
        <f t="shared" si="4"/>
        <v>0</v>
      </c>
      <c r="P102" s="47">
        <v>1800</v>
      </c>
      <c r="Q102" s="47">
        <v>0</v>
      </c>
      <c r="R102" s="47">
        <f t="shared" si="5"/>
        <v>1800</v>
      </c>
      <c r="S102" s="47">
        <f t="shared" si="6"/>
        <v>0</v>
      </c>
      <c r="T102" s="47" t="e">
        <f t="shared" si="7"/>
        <v>#DIV/0!</v>
      </c>
      <c r="U102" s="48">
        <v>0</v>
      </c>
      <c r="V102" s="48">
        <v>0</v>
      </c>
      <c r="W102" s="48">
        <v>0</v>
      </c>
      <c r="X102" s="48">
        <f t="shared" si="8"/>
        <v>0</v>
      </c>
      <c r="Y102" s="48">
        <v>910</v>
      </c>
      <c r="Z102" s="48">
        <v>0</v>
      </c>
      <c r="AA102" s="48">
        <f t="shared" si="9"/>
        <v>910</v>
      </c>
      <c r="AB102" s="48">
        <f t="shared" si="10"/>
        <v>0</v>
      </c>
      <c r="AC102" s="48" t="e">
        <f t="shared" si="11"/>
        <v>#DIV/0!</v>
      </c>
      <c r="AD102" s="49">
        <v>0</v>
      </c>
      <c r="AE102" s="49">
        <v>0</v>
      </c>
      <c r="AF102" s="49">
        <v>0</v>
      </c>
      <c r="AG102" s="49">
        <f t="shared" si="48"/>
        <v>0</v>
      </c>
      <c r="AH102" s="49">
        <v>1200</v>
      </c>
      <c r="AI102" s="49">
        <v>0</v>
      </c>
      <c r="AJ102" s="49">
        <f t="shared" si="13"/>
        <v>1200</v>
      </c>
      <c r="AK102" s="49">
        <f t="shared" si="14"/>
        <v>0</v>
      </c>
      <c r="AL102" s="49" t="e">
        <f t="shared" si="15"/>
        <v>#DIV/0!</v>
      </c>
      <c r="AM102" s="50">
        <v>0</v>
      </c>
      <c r="AN102" s="50">
        <v>0</v>
      </c>
      <c r="AO102" s="50">
        <v>0</v>
      </c>
      <c r="AP102" s="50">
        <f t="shared" si="16"/>
        <v>0</v>
      </c>
      <c r="AQ102" s="50">
        <v>600</v>
      </c>
      <c r="AR102" s="50">
        <v>0</v>
      </c>
      <c r="AS102" s="50">
        <f t="shared" si="17"/>
        <v>600</v>
      </c>
      <c r="AT102" s="50">
        <f t="shared" si="18"/>
        <v>0</v>
      </c>
      <c r="AU102" s="50" t="e">
        <f t="shared" si="19"/>
        <v>#DIV/0!</v>
      </c>
      <c r="AV102" s="51">
        <v>0</v>
      </c>
      <c r="AW102" s="51">
        <v>0</v>
      </c>
      <c r="AX102" s="51">
        <v>0</v>
      </c>
      <c r="AY102" s="51">
        <f t="shared" si="20"/>
        <v>0</v>
      </c>
      <c r="AZ102" s="51">
        <v>1500</v>
      </c>
      <c r="BA102" s="51">
        <v>0</v>
      </c>
      <c r="BB102" s="51">
        <f t="shared" si="21"/>
        <v>1500</v>
      </c>
      <c r="BC102" s="51">
        <f t="shared" si="22"/>
        <v>0</v>
      </c>
      <c r="BD102" s="51" t="e">
        <f t="shared" si="23"/>
        <v>#DIV/0!</v>
      </c>
      <c r="BE102" s="52">
        <v>0</v>
      </c>
      <c r="BF102" s="52">
        <v>0</v>
      </c>
      <c r="BG102" s="52">
        <v>0</v>
      </c>
      <c r="BH102" s="52">
        <f t="shared" si="24"/>
        <v>0</v>
      </c>
      <c r="BI102" s="52">
        <v>750</v>
      </c>
      <c r="BJ102" s="52">
        <v>0</v>
      </c>
      <c r="BK102" s="52">
        <f t="shared" si="25"/>
        <v>750</v>
      </c>
      <c r="BL102" s="52">
        <f t="shared" si="26"/>
        <v>0</v>
      </c>
      <c r="BM102" s="52" t="e">
        <f t="shared" si="27"/>
        <v>#DIV/0!</v>
      </c>
      <c r="BN102" s="53">
        <v>0</v>
      </c>
      <c r="BO102" s="53">
        <v>0</v>
      </c>
      <c r="BP102" s="53">
        <v>0</v>
      </c>
      <c r="BQ102" s="53">
        <f t="shared" si="28"/>
        <v>0</v>
      </c>
      <c r="BR102" s="53">
        <v>2450</v>
      </c>
      <c r="BS102" s="53">
        <v>0</v>
      </c>
      <c r="BT102" s="53">
        <f t="shared" si="29"/>
        <v>2450</v>
      </c>
      <c r="BU102" s="53">
        <f t="shared" si="30"/>
        <v>0</v>
      </c>
      <c r="BV102" s="53" t="e">
        <f t="shared" si="31"/>
        <v>#DIV/0!</v>
      </c>
      <c r="BW102" s="54">
        <v>0</v>
      </c>
      <c r="BX102" s="54">
        <v>0</v>
      </c>
      <c r="BY102" s="54">
        <v>0</v>
      </c>
      <c r="BZ102" s="54">
        <f t="shared" si="32"/>
        <v>0</v>
      </c>
      <c r="CA102" s="54">
        <v>750</v>
      </c>
      <c r="CB102" s="54">
        <v>0</v>
      </c>
      <c r="CC102" s="54">
        <f t="shared" si="33"/>
        <v>750</v>
      </c>
      <c r="CD102" s="54">
        <f t="shared" si="34"/>
        <v>0</v>
      </c>
      <c r="CE102" s="54" t="e">
        <f t="shared" si="35"/>
        <v>#DIV/0!</v>
      </c>
      <c r="CF102" s="55">
        <v>0</v>
      </c>
      <c r="CG102" s="55">
        <v>0</v>
      </c>
      <c r="CH102" s="55">
        <v>0</v>
      </c>
      <c r="CI102" s="55">
        <f t="shared" si="36"/>
        <v>0</v>
      </c>
      <c r="CJ102" s="55">
        <v>730</v>
      </c>
      <c r="CK102" s="55">
        <v>0</v>
      </c>
      <c r="CL102" s="55">
        <f t="shared" si="37"/>
        <v>730</v>
      </c>
      <c r="CM102" s="55">
        <f t="shared" si="38"/>
        <v>0</v>
      </c>
      <c r="CN102" s="55" t="e">
        <f t="shared" si="39"/>
        <v>#DIV/0!</v>
      </c>
      <c r="CO102" s="56">
        <v>0</v>
      </c>
      <c r="CP102" s="56">
        <v>0</v>
      </c>
      <c r="CQ102" s="56">
        <v>0</v>
      </c>
      <c r="CR102" s="56">
        <f t="shared" si="40"/>
        <v>0</v>
      </c>
      <c r="CS102" s="56">
        <v>730</v>
      </c>
      <c r="CT102" s="56">
        <v>0</v>
      </c>
      <c r="CU102" s="56">
        <f t="shared" si="41"/>
        <v>730</v>
      </c>
      <c r="CV102" s="56">
        <f t="shared" si="42"/>
        <v>0</v>
      </c>
      <c r="CW102" s="56" t="e">
        <f t="shared" si="43"/>
        <v>#DIV/0!</v>
      </c>
      <c r="CX102" s="57">
        <v>0</v>
      </c>
      <c r="CY102" s="57">
        <v>0</v>
      </c>
      <c r="CZ102" s="57">
        <v>0</v>
      </c>
      <c r="DA102" s="57">
        <f t="shared" si="44"/>
        <v>0</v>
      </c>
      <c r="DB102" s="57">
        <v>600</v>
      </c>
      <c r="DC102" s="57">
        <v>0</v>
      </c>
      <c r="DD102" s="57">
        <f t="shared" si="45"/>
        <v>600</v>
      </c>
      <c r="DE102" s="57">
        <f t="shared" si="46"/>
        <v>0</v>
      </c>
      <c r="DF102" s="57" t="e">
        <f t="shared" si="47"/>
        <v>#DIV/0!</v>
      </c>
    </row>
    <row r="103" spans="1:110" ht="14.25" customHeight="1">
      <c r="A103" s="59"/>
      <c r="B103" s="29"/>
      <c r="C103" s="45">
        <v>0</v>
      </c>
      <c r="D103" s="45">
        <v>0</v>
      </c>
      <c r="E103" s="45">
        <v>0</v>
      </c>
      <c r="F103" s="45">
        <f t="shared" si="0"/>
        <v>0</v>
      </c>
      <c r="G103" s="45">
        <v>900</v>
      </c>
      <c r="H103" s="45">
        <v>0</v>
      </c>
      <c r="I103" s="45">
        <f t="shared" si="1"/>
        <v>900</v>
      </c>
      <c r="J103" s="45">
        <f t="shared" si="2"/>
        <v>0</v>
      </c>
      <c r="K103" s="45" t="e">
        <f t="shared" si="3"/>
        <v>#DIV/0!</v>
      </c>
      <c r="L103" s="47">
        <v>0</v>
      </c>
      <c r="M103" s="47">
        <v>0</v>
      </c>
      <c r="N103" s="47">
        <v>0</v>
      </c>
      <c r="O103" s="47">
        <f t="shared" si="4"/>
        <v>0</v>
      </c>
      <c r="P103" s="47">
        <v>1800</v>
      </c>
      <c r="Q103" s="47">
        <v>0</v>
      </c>
      <c r="R103" s="47">
        <f t="shared" si="5"/>
        <v>1800</v>
      </c>
      <c r="S103" s="47">
        <f t="shared" si="6"/>
        <v>0</v>
      </c>
      <c r="T103" s="47" t="e">
        <f t="shared" si="7"/>
        <v>#DIV/0!</v>
      </c>
      <c r="U103" s="48">
        <v>0</v>
      </c>
      <c r="V103" s="48">
        <v>0</v>
      </c>
      <c r="W103" s="48">
        <v>0</v>
      </c>
      <c r="X103" s="48">
        <f t="shared" si="8"/>
        <v>0</v>
      </c>
      <c r="Y103" s="48">
        <v>910</v>
      </c>
      <c r="Z103" s="48">
        <v>0</v>
      </c>
      <c r="AA103" s="48">
        <f t="shared" si="9"/>
        <v>910</v>
      </c>
      <c r="AB103" s="48">
        <f t="shared" si="10"/>
        <v>0</v>
      </c>
      <c r="AC103" s="48" t="e">
        <f t="shared" si="11"/>
        <v>#DIV/0!</v>
      </c>
      <c r="AD103" s="49">
        <v>0</v>
      </c>
      <c r="AE103" s="49">
        <v>0</v>
      </c>
      <c r="AF103" s="49">
        <v>0</v>
      </c>
      <c r="AG103" s="49">
        <f t="shared" si="48"/>
        <v>0</v>
      </c>
      <c r="AH103" s="49">
        <v>1200</v>
      </c>
      <c r="AI103" s="49">
        <v>0</v>
      </c>
      <c r="AJ103" s="49">
        <f t="shared" si="13"/>
        <v>1200</v>
      </c>
      <c r="AK103" s="49">
        <f t="shared" si="14"/>
        <v>0</v>
      </c>
      <c r="AL103" s="49" t="e">
        <f t="shared" si="15"/>
        <v>#DIV/0!</v>
      </c>
      <c r="AM103" s="50">
        <v>0</v>
      </c>
      <c r="AN103" s="50">
        <v>0</v>
      </c>
      <c r="AO103" s="50">
        <v>0</v>
      </c>
      <c r="AP103" s="50">
        <f t="shared" si="16"/>
        <v>0</v>
      </c>
      <c r="AQ103" s="50">
        <v>600</v>
      </c>
      <c r="AR103" s="50">
        <v>0</v>
      </c>
      <c r="AS103" s="50">
        <f t="shared" si="17"/>
        <v>600</v>
      </c>
      <c r="AT103" s="50">
        <f t="shared" si="18"/>
        <v>0</v>
      </c>
      <c r="AU103" s="50" t="e">
        <f t="shared" si="19"/>
        <v>#DIV/0!</v>
      </c>
      <c r="AV103" s="51">
        <v>0</v>
      </c>
      <c r="AW103" s="51">
        <v>0</v>
      </c>
      <c r="AX103" s="51">
        <v>0</v>
      </c>
      <c r="AY103" s="51">
        <f t="shared" si="20"/>
        <v>0</v>
      </c>
      <c r="AZ103" s="51">
        <v>1500</v>
      </c>
      <c r="BA103" s="51">
        <v>0</v>
      </c>
      <c r="BB103" s="51">
        <f t="shared" si="21"/>
        <v>1500</v>
      </c>
      <c r="BC103" s="51">
        <f t="shared" si="22"/>
        <v>0</v>
      </c>
      <c r="BD103" s="51" t="e">
        <f t="shared" si="23"/>
        <v>#DIV/0!</v>
      </c>
      <c r="BE103" s="52">
        <v>0</v>
      </c>
      <c r="BF103" s="52">
        <v>0</v>
      </c>
      <c r="BG103" s="52">
        <v>0</v>
      </c>
      <c r="BH103" s="52">
        <f t="shared" si="24"/>
        <v>0</v>
      </c>
      <c r="BI103" s="52">
        <v>750</v>
      </c>
      <c r="BJ103" s="52">
        <v>0</v>
      </c>
      <c r="BK103" s="52">
        <f t="shared" si="25"/>
        <v>750</v>
      </c>
      <c r="BL103" s="52">
        <f t="shared" si="26"/>
        <v>0</v>
      </c>
      <c r="BM103" s="52" t="e">
        <f t="shared" si="27"/>
        <v>#DIV/0!</v>
      </c>
      <c r="BN103" s="53">
        <v>0</v>
      </c>
      <c r="BO103" s="53">
        <v>20</v>
      </c>
      <c r="BP103" s="53">
        <v>0</v>
      </c>
      <c r="BQ103" s="53">
        <f t="shared" si="28"/>
        <v>20</v>
      </c>
      <c r="BR103" s="53">
        <v>2450</v>
      </c>
      <c r="BS103" s="53">
        <v>350</v>
      </c>
      <c r="BT103" s="53">
        <f t="shared" si="29"/>
        <v>2100</v>
      </c>
      <c r="BU103" s="53">
        <f t="shared" si="30"/>
        <v>42000</v>
      </c>
      <c r="BV103" s="53">
        <f t="shared" si="31"/>
        <v>0</v>
      </c>
      <c r="BW103" s="54">
        <v>0</v>
      </c>
      <c r="BX103" s="54">
        <v>0</v>
      </c>
      <c r="BY103" s="54">
        <v>0</v>
      </c>
      <c r="BZ103" s="54">
        <f t="shared" si="32"/>
        <v>0</v>
      </c>
      <c r="CA103" s="54">
        <v>750</v>
      </c>
      <c r="CB103" s="54">
        <v>0</v>
      </c>
      <c r="CC103" s="54">
        <f t="shared" si="33"/>
        <v>750</v>
      </c>
      <c r="CD103" s="54">
        <f t="shared" si="34"/>
        <v>0</v>
      </c>
      <c r="CE103" s="54" t="e">
        <f t="shared" si="35"/>
        <v>#DIV/0!</v>
      </c>
      <c r="CF103" s="55">
        <v>0</v>
      </c>
      <c r="CG103" s="55">
        <v>0</v>
      </c>
      <c r="CH103" s="55">
        <v>0</v>
      </c>
      <c r="CI103" s="55">
        <f t="shared" si="36"/>
        <v>0</v>
      </c>
      <c r="CJ103" s="55">
        <v>730</v>
      </c>
      <c r="CK103" s="55">
        <v>0</v>
      </c>
      <c r="CL103" s="55">
        <f t="shared" si="37"/>
        <v>730</v>
      </c>
      <c r="CM103" s="55">
        <f t="shared" si="38"/>
        <v>0</v>
      </c>
      <c r="CN103" s="55" t="e">
        <f t="shared" si="39"/>
        <v>#DIV/0!</v>
      </c>
      <c r="CO103" s="56">
        <v>0</v>
      </c>
      <c r="CP103" s="56">
        <v>0</v>
      </c>
      <c r="CQ103" s="56">
        <v>0</v>
      </c>
      <c r="CR103" s="56">
        <f t="shared" si="40"/>
        <v>0</v>
      </c>
      <c r="CS103" s="56">
        <v>730</v>
      </c>
      <c r="CT103" s="56">
        <v>0</v>
      </c>
      <c r="CU103" s="56">
        <f t="shared" si="41"/>
        <v>730</v>
      </c>
      <c r="CV103" s="56">
        <f t="shared" si="42"/>
        <v>0</v>
      </c>
      <c r="CW103" s="56" t="e">
        <f t="shared" si="43"/>
        <v>#DIV/0!</v>
      </c>
      <c r="CX103" s="57">
        <v>0</v>
      </c>
      <c r="CY103" s="57">
        <v>0</v>
      </c>
      <c r="CZ103" s="57">
        <v>0</v>
      </c>
      <c r="DA103" s="57">
        <f t="shared" si="44"/>
        <v>0</v>
      </c>
      <c r="DB103" s="57">
        <v>600</v>
      </c>
      <c r="DC103" s="57">
        <v>0</v>
      </c>
      <c r="DD103" s="57">
        <f t="shared" si="45"/>
        <v>600</v>
      </c>
      <c r="DE103" s="57">
        <f t="shared" si="46"/>
        <v>0</v>
      </c>
      <c r="DF103" s="57" t="e">
        <f t="shared" si="47"/>
        <v>#DIV/0!</v>
      </c>
    </row>
    <row r="104" spans="1:110" ht="14.25" customHeight="1">
      <c r="A104" s="59"/>
      <c r="B104" s="29"/>
      <c r="C104" s="45">
        <v>0</v>
      </c>
      <c r="D104" s="45">
        <v>0</v>
      </c>
      <c r="E104" s="45">
        <v>0</v>
      </c>
      <c r="F104" s="45">
        <f t="shared" si="0"/>
        <v>0</v>
      </c>
      <c r="G104" s="45">
        <v>900</v>
      </c>
      <c r="H104" s="45">
        <v>0</v>
      </c>
      <c r="I104" s="45">
        <f t="shared" si="1"/>
        <v>900</v>
      </c>
      <c r="J104" s="45">
        <f t="shared" si="2"/>
        <v>0</v>
      </c>
      <c r="K104" s="45" t="e">
        <f t="shared" si="3"/>
        <v>#DIV/0!</v>
      </c>
      <c r="L104" s="47">
        <v>0</v>
      </c>
      <c r="M104" s="47">
        <v>0</v>
      </c>
      <c r="N104" s="47">
        <v>0</v>
      </c>
      <c r="O104" s="47">
        <f t="shared" si="4"/>
        <v>0</v>
      </c>
      <c r="P104" s="47">
        <v>1800</v>
      </c>
      <c r="Q104" s="47">
        <v>0</v>
      </c>
      <c r="R104" s="47">
        <f t="shared" si="5"/>
        <v>1800</v>
      </c>
      <c r="S104" s="47">
        <f t="shared" si="6"/>
        <v>0</v>
      </c>
      <c r="T104" s="47" t="e">
        <f t="shared" si="7"/>
        <v>#DIV/0!</v>
      </c>
      <c r="U104" s="48">
        <v>0</v>
      </c>
      <c r="V104" s="48">
        <v>0</v>
      </c>
      <c r="W104" s="48">
        <v>0</v>
      </c>
      <c r="X104" s="48">
        <f t="shared" si="8"/>
        <v>0</v>
      </c>
      <c r="Y104" s="48">
        <v>910</v>
      </c>
      <c r="Z104" s="48">
        <v>0</v>
      </c>
      <c r="AA104" s="48">
        <f t="shared" si="9"/>
        <v>910</v>
      </c>
      <c r="AB104" s="48">
        <f t="shared" si="10"/>
        <v>0</v>
      </c>
      <c r="AC104" s="48" t="e">
        <f t="shared" si="11"/>
        <v>#DIV/0!</v>
      </c>
      <c r="AD104" s="49">
        <v>0</v>
      </c>
      <c r="AE104" s="49">
        <v>0</v>
      </c>
      <c r="AF104" s="49">
        <v>0</v>
      </c>
      <c r="AG104" s="49">
        <f t="shared" si="48"/>
        <v>0</v>
      </c>
      <c r="AH104" s="49">
        <v>1200</v>
      </c>
      <c r="AI104" s="49">
        <v>0</v>
      </c>
      <c r="AJ104" s="49">
        <f t="shared" si="13"/>
        <v>1200</v>
      </c>
      <c r="AK104" s="49">
        <f t="shared" si="14"/>
        <v>0</v>
      </c>
      <c r="AL104" s="49" t="e">
        <f t="shared" si="15"/>
        <v>#DIV/0!</v>
      </c>
      <c r="AM104" s="50">
        <v>0</v>
      </c>
      <c r="AN104" s="50">
        <v>0</v>
      </c>
      <c r="AO104" s="50">
        <v>0</v>
      </c>
      <c r="AP104" s="50">
        <f t="shared" si="16"/>
        <v>0</v>
      </c>
      <c r="AQ104" s="50">
        <v>600</v>
      </c>
      <c r="AR104" s="50">
        <v>0</v>
      </c>
      <c r="AS104" s="50">
        <f t="shared" si="17"/>
        <v>600</v>
      </c>
      <c r="AT104" s="50">
        <f t="shared" si="18"/>
        <v>0</v>
      </c>
      <c r="AU104" s="50" t="e">
        <f t="shared" si="19"/>
        <v>#DIV/0!</v>
      </c>
      <c r="AV104" s="51">
        <v>0</v>
      </c>
      <c r="AW104" s="51">
        <v>0</v>
      </c>
      <c r="AX104" s="51">
        <v>0</v>
      </c>
      <c r="AY104" s="51">
        <f t="shared" si="20"/>
        <v>0</v>
      </c>
      <c r="AZ104" s="51">
        <v>1500</v>
      </c>
      <c r="BA104" s="51">
        <v>0</v>
      </c>
      <c r="BB104" s="51">
        <f t="shared" si="21"/>
        <v>1500</v>
      </c>
      <c r="BC104" s="51">
        <f t="shared" si="22"/>
        <v>0</v>
      </c>
      <c r="BD104" s="51" t="e">
        <f t="shared" si="23"/>
        <v>#DIV/0!</v>
      </c>
      <c r="BE104" s="52">
        <v>0</v>
      </c>
      <c r="BF104" s="52">
        <v>0</v>
      </c>
      <c r="BG104" s="52">
        <v>0</v>
      </c>
      <c r="BH104" s="52">
        <f t="shared" si="24"/>
        <v>0</v>
      </c>
      <c r="BI104" s="52">
        <v>750</v>
      </c>
      <c r="BJ104" s="52">
        <v>0</v>
      </c>
      <c r="BK104" s="52">
        <f t="shared" si="25"/>
        <v>750</v>
      </c>
      <c r="BL104" s="52">
        <f t="shared" si="26"/>
        <v>0</v>
      </c>
      <c r="BM104" s="52" t="e">
        <f t="shared" si="27"/>
        <v>#DIV/0!</v>
      </c>
      <c r="BN104" s="53">
        <v>0</v>
      </c>
      <c r="BO104" s="53">
        <v>0</v>
      </c>
      <c r="BP104" s="53">
        <v>0</v>
      </c>
      <c r="BQ104" s="53">
        <f t="shared" si="28"/>
        <v>0</v>
      </c>
      <c r="BR104" s="53">
        <v>2450</v>
      </c>
      <c r="BS104" s="53">
        <v>0</v>
      </c>
      <c r="BT104" s="53">
        <f t="shared" si="29"/>
        <v>2450</v>
      </c>
      <c r="BU104" s="53">
        <f t="shared" si="30"/>
        <v>0</v>
      </c>
      <c r="BV104" s="53" t="e">
        <f t="shared" si="31"/>
        <v>#DIV/0!</v>
      </c>
      <c r="BW104" s="54">
        <v>0</v>
      </c>
      <c r="BX104" s="54">
        <v>0</v>
      </c>
      <c r="BY104" s="54">
        <v>0</v>
      </c>
      <c r="BZ104" s="54">
        <f t="shared" si="32"/>
        <v>0</v>
      </c>
      <c r="CA104" s="54">
        <v>750</v>
      </c>
      <c r="CB104" s="54">
        <v>0</v>
      </c>
      <c r="CC104" s="54">
        <f t="shared" si="33"/>
        <v>750</v>
      </c>
      <c r="CD104" s="54">
        <f t="shared" si="34"/>
        <v>0</v>
      </c>
      <c r="CE104" s="54" t="e">
        <f t="shared" si="35"/>
        <v>#DIV/0!</v>
      </c>
      <c r="CF104" s="55">
        <v>0</v>
      </c>
      <c r="CG104" s="55">
        <v>0</v>
      </c>
      <c r="CH104" s="55">
        <v>0</v>
      </c>
      <c r="CI104" s="55">
        <f t="shared" si="36"/>
        <v>0</v>
      </c>
      <c r="CJ104" s="55">
        <v>730</v>
      </c>
      <c r="CK104" s="55">
        <v>0</v>
      </c>
      <c r="CL104" s="55">
        <f t="shared" si="37"/>
        <v>730</v>
      </c>
      <c r="CM104" s="55">
        <f t="shared" si="38"/>
        <v>0</v>
      </c>
      <c r="CN104" s="55" t="e">
        <f t="shared" si="39"/>
        <v>#DIV/0!</v>
      </c>
      <c r="CO104" s="56">
        <v>0</v>
      </c>
      <c r="CP104" s="56">
        <v>0</v>
      </c>
      <c r="CQ104" s="56">
        <v>0</v>
      </c>
      <c r="CR104" s="56">
        <f t="shared" si="40"/>
        <v>0</v>
      </c>
      <c r="CS104" s="56">
        <v>730</v>
      </c>
      <c r="CT104" s="56">
        <v>0</v>
      </c>
      <c r="CU104" s="56">
        <f t="shared" si="41"/>
        <v>730</v>
      </c>
      <c r="CV104" s="56">
        <f t="shared" si="42"/>
        <v>0</v>
      </c>
      <c r="CW104" s="56" t="e">
        <f t="shared" si="43"/>
        <v>#DIV/0!</v>
      </c>
      <c r="CX104" s="57">
        <v>0</v>
      </c>
      <c r="CY104" s="57">
        <v>0</v>
      </c>
      <c r="CZ104" s="57">
        <v>0</v>
      </c>
      <c r="DA104" s="57">
        <f t="shared" si="44"/>
        <v>0</v>
      </c>
      <c r="DB104" s="57">
        <v>600</v>
      </c>
      <c r="DC104" s="57">
        <v>0</v>
      </c>
      <c r="DD104" s="57">
        <f t="shared" si="45"/>
        <v>600</v>
      </c>
      <c r="DE104" s="57">
        <f t="shared" si="46"/>
        <v>0</v>
      </c>
      <c r="DF104" s="57" t="e">
        <f t="shared" si="47"/>
        <v>#DIV/0!</v>
      </c>
    </row>
    <row r="105" spans="1:110" ht="14.25" customHeight="1">
      <c r="A105" s="59"/>
      <c r="B105" s="29"/>
      <c r="C105" s="45">
        <v>0</v>
      </c>
      <c r="D105" s="45">
        <v>0</v>
      </c>
      <c r="E105" s="45">
        <v>0</v>
      </c>
      <c r="F105" s="45">
        <f t="shared" si="0"/>
        <v>0</v>
      </c>
      <c r="G105" s="45">
        <v>900</v>
      </c>
      <c r="H105" s="45">
        <v>0</v>
      </c>
      <c r="I105" s="45">
        <f t="shared" si="1"/>
        <v>900</v>
      </c>
      <c r="J105" s="45">
        <f t="shared" si="2"/>
        <v>0</v>
      </c>
      <c r="K105" s="45" t="e">
        <f t="shared" si="3"/>
        <v>#DIV/0!</v>
      </c>
      <c r="L105" s="47">
        <v>0</v>
      </c>
      <c r="M105" s="47">
        <v>0</v>
      </c>
      <c r="N105" s="47">
        <v>0</v>
      </c>
      <c r="O105" s="47">
        <f t="shared" si="4"/>
        <v>0</v>
      </c>
      <c r="P105" s="47">
        <v>1800</v>
      </c>
      <c r="Q105" s="47">
        <v>0</v>
      </c>
      <c r="R105" s="47">
        <f t="shared" si="5"/>
        <v>1800</v>
      </c>
      <c r="S105" s="47">
        <f t="shared" si="6"/>
        <v>0</v>
      </c>
      <c r="T105" s="47" t="e">
        <f t="shared" si="7"/>
        <v>#DIV/0!</v>
      </c>
      <c r="U105" s="48">
        <v>0</v>
      </c>
      <c r="V105" s="48">
        <v>0</v>
      </c>
      <c r="W105" s="48">
        <v>0</v>
      </c>
      <c r="X105" s="48">
        <f t="shared" si="8"/>
        <v>0</v>
      </c>
      <c r="Y105" s="48">
        <v>910</v>
      </c>
      <c r="Z105" s="48">
        <v>0</v>
      </c>
      <c r="AA105" s="48">
        <f t="shared" si="9"/>
        <v>910</v>
      </c>
      <c r="AB105" s="48">
        <f t="shared" si="10"/>
        <v>0</v>
      </c>
      <c r="AC105" s="48" t="e">
        <f t="shared" si="11"/>
        <v>#DIV/0!</v>
      </c>
      <c r="AD105" s="49">
        <v>0</v>
      </c>
      <c r="AE105" s="49">
        <v>0</v>
      </c>
      <c r="AF105" s="49">
        <v>0</v>
      </c>
      <c r="AG105" s="49">
        <f t="shared" si="48"/>
        <v>0</v>
      </c>
      <c r="AH105" s="49">
        <v>1200</v>
      </c>
      <c r="AI105" s="49">
        <v>0</v>
      </c>
      <c r="AJ105" s="49">
        <f t="shared" si="13"/>
        <v>1200</v>
      </c>
      <c r="AK105" s="49">
        <f t="shared" si="14"/>
        <v>0</v>
      </c>
      <c r="AL105" s="49" t="e">
        <f t="shared" si="15"/>
        <v>#DIV/0!</v>
      </c>
      <c r="AM105" s="50">
        <v>0</v>
      </c>
      <c r="AN105" s="50">
        <v>0</v>
      </c>
      <c r="AO105" s="50">
        <v>0</v>
      </c>
      <c r="AP105" s="50">
        <f t="shared" si="16"/>
        <v>0</v>
      </c>
      <c r="AQ105" s="50">
        <v>600</v>
      </c>
      <c r="AR105" s="50">
        <v>0</v>
      </c>
      <c r="AS105" s="50">
        <f t="shared" si="17"/>
        <v>600</v>
      </c>
      <c r="AT105" s="50">
        <f t="shared" si="18"/>
        <v>0</v>
      </c>
      <c r="AU105" s="50" t="e">
        <f t="shared" si="19"/>
        <v>#DIV/0!</v>
      </c>
      <c r="AV105" s="51">
        <v>0</v>
      </c>
      <c r="AW105" s="51">
        <v>0</v>
      </c>
      <c r="AX105" s="51">
        <v>0</v>
      </c>
      <c r="AY105" s="51">
        <f t="shared" si="20"/>
        <v>0</v>
      </c>
      <c r="AZ105" s="51">
        <v>1500</v>
      </c>
      <c r="BA105" s="51">
        <v>0</v>
      </c>
      <c r="BB105" s="51">
        <f t="shared" si="21"/>
        <v>1500</v>
      </c>
      <c r="BC105" s="51">
        <f t="shared" si="22"/>
        <v>0</v>
      </c>
      <c r="BD105" s="51" t="e">
        <f t="shared" si="23"/>
        <v>#DIV/0!</v>
      </c>
      <c r="BE105" s="52">
        <v>0</v>
      </c>
      <c r="BF105" s="52">
        <v>0</v>
      </c>
      <c r="BG105" s="52">
        <v>0</v>
      </c>
      <c r="BH105" s="52">
        <f t="shared" si="24"/>
        <v>0</v>
      </c>
      <c r="BI105" s="52">
        <v>750</v>
      </c>
      <c r="BJ105" s="52">
        <v>0</v>
      </c>
      <c r="BK105" s="52">
        <f t="shared" si="25"/>
        <v>750</v>
      </c>
      <c r="BL105" s="52">
        <f t="shared" si="26"/>
        <v>0</v>
      </c>
      <c r="BM105" s="52" t="e">
        <f t="shared" si="27"/>
        <v>#DIV/0!</v>
      </c>
      <c r="BN105" s="53">
        <v>0</v>
      </c>
      <c r="BO105" s="53">
        <v>0</v>
      </c>
      <c r="BP105" s="53">
        <v>0</v>
      </c>
      <c r="BQ105" s="53">
        <f t="shared" si="28"/>
        <v>0</v>
      </c>
      <c r="BR105" s="53">
        <v>2450</v>
      </c>
      <c r="BS105" s="53">
        <v>0</v>
      </c>
      <c r="BT105" s="53">
        <f t="shared" si="29"/>
        <v>2450</v>
      </c>
      <c r="BU105" s="53">
        <f t="shared" si="30"/>
        <v>0</v>
      </c>
      <c r="BV105" s="53" t="e">
        <f t="shared" si="31"/>
        <v>#DIV/0!</v>
      </c>
      <c r="BW105" s="54">
        <v>0</v>
      </c>
      <c r="BX105" s="54">
        <v>0</v>
      </c>
      <c r="BY105" s="54">
        <v>0</v>
      </c>
      <c r="BZ105" s="54">
        <f t="shared" si="32"/>
        <v>0</v>
      </c>
      <c r="CA105" s="54">
        <v>750</v>
      </c>
      <c r="CB105" s="54">
        <v>0</v>
      </c>
      <c r="CC105" s="54">
        <f t="shared" si="33"/>
        <v>750</v>
      </c>
      <c r="CD105" s="54">
        <f t="shared" si="34"/>
        <v>0</v>
      </c>
      <c r="CE105" s="54" t="e">
        <f t="shared" si="35"/>
        <v>#DIV/0!</v>
      </c>
      <c r="CF105" s="55">
        <v>0</v>
      </c>
      <c r="CG105" s="55">
        <v>0</v>
      </c>
      <c r="CH105" s="55">
        <v>0</v>
      </c>
      <c r="CI105" s="55">
        <f t="shared" si="36"/>
        <v>0</v>
      </c>
      <c r="CJ105" s="55">
        <v>730</v>
      </c>
      <c r="CK105" s="55">
        <v>0</v>
      </c>
      <c r="CL105" s="55">
        <f t="shared" si="37"/>
        <v>730</v>
      </c>
      <c r="CM105" s="55">
        <f t="shared" si="38"/>
        <v>0</v>
      </c>
      <c r="CN105" s="55" t="e">
        <f t="shared" si="39"/>
        <v>#DIV/0!</v>
      </c>
      <c r="CO105" s="56">
        <v>0</v>
      </c>
      <c r="CP105" s="56">
        <v>0</v>
      </c>
      <c r="CQ105" s="56">
        <v>0</v>
      </c>
      <c r="CR105" s="56">
        <f t="shared" si="40"/>
        <v>0</v>
      </c>
      <c r="CS105" s="56">
        <v>730</v>
      </c>
      <c r="CT105" s="56">
        <v>0</v>
      </c>
      <c r="CU105" s="56">
        <f t="shared" si="41"/>
        <v>730</v>
      </c>
      <c r="CV105" s="56">
        <f t="shared" si="42"/>
        <v>0</v>
      </c>
      <c r="CW105" s="56" t="e">
        <f t="shared" si="43"/>
        <v>#DIV/0!</v>
      </c>
      <c r="CX105" s="57">
        <v>0</v>
      </c>
      <c r="CY105" s="57">
        <v>0</v>
      </c>
      <c r="CZ105" s="57">
        <v>0</v>
      </c>
      <c r="DA105" s="57">
        <f t="shared" si="44"/>
        <v>0</v>
      </c>
      <c r="DB105" s="57">
        <v>600</v>
      </c>
      <c r="DC105" s="57">
        <v>0</v>
      </c>
      <c r="DD105" s="57">
        <f t="shared" si="45"/>
        <v>600</v>
      </c>
      <c r="DE105" s="57">
        <f t="shared" si="46"/>
        <v>0</v>
      </c>
      <c r="DF105" s="57" t="e">
        <f t="shared" si="47"/>
        <v>#DIV/0!</v>
      </c>
    </row>
    <row r="106" spans="1:110" ht="14.25" customHeight="1">
      <c r="A106" s="59"/>
      <c r="B106" s="29"/>
      <c r="C106" s="45">
        <v>0</v>
      </c>
      <c r="D106" s="45">
        <v>0</v>
      </c>
      <c r="E106" s="45">
        <v>0</v>
      </c>
      <c r="F106" s="45">
        <f t="shared" si="0"/>
        <v>0</v>
      </c>
      <c r="G106" s="45">
        <v>900</v>
      </c>
      <c r="H106" s="45">
        <v>0</v>
      </c>
      <c r="I106" s="45">
        <f t="shared" si="1"/>
        <v>900</v>
      </c>
      <c r="J106" s="45">
        <f t="shared" si="2"/>
        <v>0</v>
      </c>
      <c r="K106" s="45" t="e">
        <f t="shared" si="3"/>
        <v>#DIV/0!</v>
      </c>
      <c r="L106" s="47">
        <v>0</v>
      </c>
      <c r="M106" s="47">
        <v>0</v>
      </c>
      <c r="N106" s="47">
        <v>0</v>
      </c>
      <c r="O106" s="47">
        <f t="shared" si="4"/>
        <v>0</v>
      </c>
      <c r="P106" s="47">
        <v>1800</v>
      </c>
      <c r="Q106" s="47">
        <v>0</v>
      </c>
      <c r="R106" s="47">
        <f t="shared" si="5"/>
        <v>1800</v>
      </c>
      <c r="S106" s="47">
        <f t="shared" si="6"/>
        <v>0</v>
      </c>
      <c r="T106" s="47" t="e">
        <f t="shared" si="7"/>
        <v>#DIV/0!</v>
      </c>
      <c r="U106" s="48">
        <v>0</v>
      </c>
      <c r="V106" s="48">
        <v>0</v>
      </c>
      <c r="W106" s="48">
        <v>0</v>
      </c>
      <c r="X106" s="48">
        <f t="shared" si="8"/>
        <v>0</v>
      </c>
      <c r="Y106" s="48">
        <v>910</v>
      </c>
      <c r="Z106" s="48">
        <v>0</v>
      </c>
      <c r="AA106" s="48">
        <f t="shared" si="9"/>
        <v>910</v>
      </c>
      <c r="AB106" s="48">
        <f t="shared" si="10"/>
        <v>0</v>
      </c>
      <c r="AC106" s="48" t="e">
        <f t="shared" si="11"/>
        <v>#DIV/0!</v>
      </c>
      <c r="AD106" s="49">
        <v>0</v>
      </c>
      <c r="AE106" s="49">
        <v>0</v>
      </c>
      <c r="AF106" s="49">
        <v>0</v>
      </c>
      <c r="AG106" s="49">
        <f t="shared" si="48"/>
        <v>0</v>
      </c>
      <c r="AH106" s="49">
        <v>1200</v>
      </c>
      <c r="AI106" s="49">
        <v>0</v>
      </c>
      <c r="AJ106" s="49">
        <f t="shared" si="13"/>
        <v>1200</v>
      </c>
      <c r="AK106" s="49">
        <f t="shared" si="14"/>
        <v>0</v>
      </c>
      <c r="AL106" s="49" t="e">
        <f t="shared" si="15"/>
        <v>#DIV/0!</v>
      </c>
      <c r="AM106" s="50">
        <v>0</v>
      </c>
      <c r="AN106" s="50">
        <v>0</v>
      </c>
      <c r="AO106" s="50">
        <v>0</v>
      </c>
      <c r="AP106" s="50">
        <f t="shared" si="16"/>
        <v>0</v>
      </c>
      <c r="AQ106" s="50">
        <v>600</v>
      </c>
      <c r="AR106" s="50">
        <v>0</v>
      </c>
      <c r="AS106" s="50">
        <f t="shared" si="17"/>
        <v>600</v>
      </c>
      <c r="AT106" s="50">
        <f t="shared" si="18"/>
        <v>0</v>
      </c>
      <c r="AU106" s="50" t="e">
        <f t="shared" si="19"/>
        <v>#DIV/0!</v>
      </c>
      <c r="AV106" s="51">
        <v>0</v>
      </c>
      <c r="AW106" s="51">
        <v>0</v>
      </c>
      <c r="AX106" s="51">
        <v>0</v>
      </c>
      <c r="AY106" s="51">
        <f t="shared" si="20"/>
        <v>0</v>
      </c>
      <c r="AZ106" s="51">
        <v>1500</v>
      </c>
      <c r="BA106" s="51">
        <v>0</v>
      </c>
      <c r="BB106" s="51">
        <f t="shared" si="21"/>
        <v>1500</v>
      </c>
      <c r="BC106" s="51">
        <f t="shared" si="22"/>
        <v>0</v>
      </c>
      <c r="BD106" s="51" t="e">
        <f t="shared" si="23"/>
        <v>#DIV/0!</v>
      </c>
      <c r="BE106" s="52">
        <v>0</v>
      </c>
      <c r="BF106" s="52">
        <v>0</v>
      </c>
      <c r="BG106" s="52">
        <v>0</v>
      </c>
      <c r="BH106" s="52">
        <f t="shared" si="24"/>
        <v>0</v>
      </c>
      <c r="BI106" s="52">
        <v>750</v>
      </c>
      <c r="BJ106" s="52">
        <v>0</v>
      </c>
      <c r="BK106" s="52">
        <f t="shared" si="25"/>
        <v>750</v>
      </c>
      <c r="BL106" s="52">
        <f t="shared" si="26"/>
        <v>0</v>
      </c>
      <c r="BM106" s="52" t="e">
        <f t="shared" si="27"/>
        <v>#DIV/0!</v>
      </c>
      <c r="BN106" s="53">
        <v>0</v>
      </c>
      <c r="BO106" s="53">
        <v>0</v>
      </c>
      <c r="BP106" s="53">
        <v>0</v>
      </c>
      <c r="BQ106" s="53">
        <f t="shared" si="28"/>
        <v>0</v>
      </c>
      <c r="BR106" s="53">
        <v>2450</v>
      </c>
      <c r="BS106" s="53">
        <v>0</v>
      </c>
      <c r="BT106" s="53">
        <f t="shared" si="29"/>
        <v>2450</v>
      </c>
      <c r="BU106" s="53">
        <f t="shared" si="30"/>
        <v>0</v>
      </c>
      <c r="BV106" s="53" t="e">
        <f t="shared" si="31"/>
        <v>#DIV/0!</v>
      </c>
      <c r="BW106" s="54">
        <v>0</v>
      </c>
      <c r="BX106" s="54">
        <v>0</v>
      </c>
      <c r="BY106" s="54">
        <v>0</v>
      </c>
      <c r="BZ106" s="54">
        <f t="shared" si="32"/>
        <v>0</v>
      </c>
      <c r="CA106" s="54">
        <v>750</v>
      </c>
      <c r="CB106" s="54">
        <v>0</v>
      </c>
      <c r="CC106" s="54">
        <f t="shared" si="33"/>
        <v>750</v>
      </c>
      <c r="CD106" s="54">
        <f t="shared" si="34"/>
        <v>0</v>
      </c>
      <c r="CE106" s="54" t="e">
        <f t="shared" si="35"/>
        <v>#DIV/0!</v>
      </c>
      <c r="CF106" s="55">
        <v>0</v>
      </c>
      <c r="CG106" s="55">
        <v>0</v>
      </c>
      <c r="CH106" s="55">
        <v>0</v>
      </c>
      <c r="CI106" s="55">
        <f t="shared" si="36"/>
        <v>0</v>
      </c>
      <c r="CJ106" s="55">
        <v>730</v>
      </c>
      <c r="CK106" s="55">
        <v>0</v>
      </c>
      <c r="CL106" s="55">
        <f t="shared" si="37"/>
        <v>730</v>
      </c>
      <c r="CM106" s="55">
        <f t="shared" si="38"/>
        <v>0</v>
      </c>
      <c r="CN106" s="55" t="e">
        <f t="shared" si="39"/>
        <v>#DIV/0!</v>
      </c>
      <c r="CO106" s="56">
        <v>0</v>
      </c>
      <c r="CP106" s="56">
        <v>0</v>
      </c>
      <c r="CQ106" s="56">
        <v>0</v>
      </c>
      <c r="CR106" s="56">
        <f t="shared" si="40"/>
        <v>0</v>
      </c>
      <c r="CS106" s="56">
        <v>730</v>
      </c>
      <c r="CT106" s="56">
        <v>0</v>
      </c>
      <c r="CU106" s="56">
        <f t="shared" si="41"/>
        <v>730</v>
      </c>
      <c r="CV106" s="56">
        <f t="shared" si="42"/>
        <v>0</v>
      </c>
      <c r="CW106" s="56" t="e">
        <f t="shared" si="43"/>
        <v>#DIV/0!</v>
      </c>
      <c r="CX106" s="57">
        <v>0</v>
      </c>
      <c r="CY106" s="57">
        <v>0</v>
      </c>
      <c r="CZ106" s="57">
        <v>0</v>
      </c>
      <c r="DA106" s="57">
        <f t="shared" si="44"/>
        <v>0</v>
      </c>
      <c r="DB106" s="57">
        <v>600</v>
      </c>
      <c r="DC106" s="57">
        <v>0</v>
      </c>
      <c r="DD106" s="57">
        <f t="shared" si="45"/>
        <v>600</v>
      </c>
      <c r="DE106" s="57">
        <f t="shared" si="46"/>
        <v>0</v>
      </c>
      <c r="DF106" s="57" t="e">
        <f t="shared" si="47"/>
        <v>#DIV/0!</v>
      </c>
    </row>
    <row r="107" spans="1:110" ht="14.25" customHeight="1">
      <c r="A107" s="59"/>
      <c r="B107" s="29"/>
      <c r="C107" s="45">
        <v>0</v>
      </c>
      <c r="D107" s="45">
        <v>0</v>
      </c>
      <c r="E107" s="45">
        <v>0</v>
      </c>
      <c r="F107" s="45">
        <f t="shared" si="0"/>
        <v>0</v>
      </c>
      <c r="G107" s="45">
        <v>900</v>
      </c>
      <c r="H107" s="45">
        <v>0</v>
      </c>
      <c r="I107" s="45">
        <f t="shared" si="1"/>
        <v>900</v>
      </c>
      <c r="J107" s="45">
        <f t="shared" si="2"/>
        <v>0</v>
      </c>
      <c r="K107" s="45" t="e">
        <f t="shared" si="3"/>
        <v>#DIV/0!</v>
      </c>
      <c r="L107" s="47">
        <v>0</v>
      </c>
      <c r="M107" s="47">
        <v>0</v>
      </c>
      <c r="N107" s="47">
        <v>0</v>
      </c>
      <c r="O107" s="47">
        <f t="shared" si="4"/>
        <v>0</v>
      </c>
      <c r="P107" s="47">
        <v>1800</v>
      </c>
      <c r="Q107" s="47">
        <v>0</v>
      </c>
      <c r="R107" s="47">
        <f t="shared" si="5"/>
        <v>1800</v>
      </c>
      <c r="S107" s="47">
        <f t="shared" si="6"/>
        <v>0</v>
      </c>
      <c r="T107" s="47" t="e">
        <f t="shared" si="7"/>
        <v>#DIV/0!</v>
      </c>
      <c r="U107" s="48">
        <v>0</v>
      </c>
      <c r="V107" s="48">
        <v>0</v>
      </c>
      <c r="W107" s="48">
        <v>0</v>
      </c>
      <c r="X107" s="48">
        <f t="shared" si="8"/>
        <v>0</v>
      </c>
      <c r="Y107" s="48">
        <v>910</v>
      </c>
      <c r="Z107" s="48">
        <v>0</v>
      </c>
      <c r="AA107" s="48">
        <f t="shared" si="9"/>
        <v>910</v>
      </c>
      <c r="AB107" s="48">
        <f t="shared" si="10"/>
        <v>0</v>
      </c>
      <c r="AC107" s="48" t="e">
        <f t="shared" si="11"/>
        <v>#DIV/0!</v>
      </c>
      <c r="AD107" s="49">
        <v>0</v>
      </c>
      <c r="AE107" s="49">
        <v>0</v>
      </c>
      <c r="AF107" s="49">
        <v>0</v>
      </c>
      <c r="AG107" s="49">
        <f t="shared" si="48"/>
        <v>0</v>
      </c>
      <c r="AH107" s="49">
        <v>1200</v>
      </c>
      <c r="AI107" s="49">
        <v>0</v>
      </c>
      <c r="AJ107" s="49">
        <f t="shared" si="13"/>
        <v>1200</v>
      </c>
      <c r="AK107" s="49">
        <f t="shared" si="14"/>
        <v>0</v>
      </c>
      <c r="AL107" s="49" t="e">
        <f t="shared" si="15"/>
        <v>#DIV/0!</v>
      </c>
      <c r="AM107" s="50">
        <v>0</v>
      </c>
      <c r="AN107" s="50">
        <v>0</v>
      </c>
      <c r="AO107" s="50">
        <v>0</v>
      </c>
      <c r="AP107" s="50">
        <f t="shared" si="16"/>
        <v>0</v>
      </c>
      <c r="AQ107" s="50">
        <v>600</v>
      </c>
      <c r="AR107" s="50">
        <v>0</v>
      </c>
      <c r="AS107" s="50">
        <f t="shared" si="17"/>
        <v>600</v>
      </c>
      <c r="AT107" s="50">
        <f t="shared" si="18"/>
        <v>0</v>
      </c>
      <c r="AU107" s="50" t="e">
        <f t="shared" si="19"/>
        <v>#DIV/0!</v>
      </c>
      <c r="AV107" s="51">
        <v>0</v>
      </c>
      <c r="AW107" s="51">
        <v>0</v>
      </c>
      <c r="AX107" s="51">
        <v>0</v>
      </c>
      <c r="AY107" s="51">
        <f t="shared" si="20"/>
        <v>0</v>
      </c>
      <c r="AZ107" s="51">
        <v>1500</v>
      </c>
      <c r="BA107" s="51">
        <v>0</v>
      </c>
      <c r="BB107" s="51">
        <f t="shared" si="21"/>
        <v>1500</v>
      </c>
      <c r="BC107" s="51">
        <f t="shared" si="22"/>
        <v>0</v>
      </c>
      <c r="BD107" s="51" t="e">
        <f t="shared" si="23"/>
        <v>#DIV/0!</v>
      </c>
      <c r="BE107" s="52">
        <v>0</v>
      </c>
      <c r="BF107" s="52">
        <v>0</v>
      </c>
      <c r="BG107" s="52">
        <v>0</v>
      </c>
      <c r="BH107" s="52">
        <f t="shared" si="24"/>
        <v>0</v>
      </c>
      <c r="BI107" s="52">
        <v>750</v>
      </c>
      <c r="BJ107" s="52">
        <v>0</v>
      </c>
      <c r="BK107" s="52">
        <f t="shared" si="25"/>
        <v>750</v>
      </c>
      <c r="BL107" s="52">
        <f t="shared" si="26"/>
        <v>0</v>
      </c>
      <c r="BM107" s="52" t="e">
        <f t="shared" si="27"/>
        <v>#DIV/0!</v>
      </c>
      <c r="BN107" s="53">
        <v>0</v>
      </c>
      <c r="BO107" s="53">
        <v>0</v>
      </c>
      <c r="BP107" s="53">
        <v>0</v>
      </c>
      <c r="BQ107" s="53">
        <f t="shared" si="28"/>
        <v>0</v>
      </c>
      <c r="BR107" s="53">
        <v>2450</v>
      </c>
      <c r="BS107" s="53">
        <v>0</v>
      </c>
      <c r="BT107" s="53">
        <f t="shared" si="29"/>
        <v>2450</v>
      </c>
      <c r="BU107" s="53">
        <f t="shared" si="30"/>
        <v>0</v>
      </c>
      <c r="BV107" s="53" t="e">
        <f t="shared" si="31"/>
        <v>#DIV/0!</v>
      </c>
      <c r="BW107" s="54">
        <v>0</v>
      </c>
      <c r="BX107" s="54">
        <v>0</v>
      </c>
      <c r="BY107" s="54">
        <v>0</v>
      </c>
      <c r="BZ107" s="54">
        <f t="shared" si="32"/>
        <v>0</v>
      </c>
      <c r="CA107" s="54">
        <v>750</v>
      </c>
      <c r="CB107" s="54">
        <v>0</v>
      </c>
      <c r="CC107" s="54">
        <f t="shared" si="33"/>
        <v>750</v>
      </c>
      <c r="CD107" s="54">
        <f t="shared" si="34"/>
        <v>0</v>
      </c>
      <c r="CE107" s="54" t="e">
        <f t="shared" si="35"/>
        <v>#DIV/0!</v>
      </c>
      <c r="CF107" s="55">
        <v>0</v>
      </c>
      <c r="CG107" s="55">
        <v>0</v>
      </c>
      <c r="CH107" s="55">
        <v>0</v>
      </c>
      <c r="CI107" s="55">
        <f t="shared" si="36"/>
        <v>0</v>
      </c>
      <c r="CJ107" s="55">
        <v>730</v>
      </c>
      <c r="CK107" s="55">
        <v>0</v>
      </c>
      <c r="CL107" s="55">
        <f t="shared" si="37"/>
        <v>730</v>
      </c>
      <c r="CM107" s="55">
        <f t="shared" si="38"/>
        <v>0</v>
      </c>
      <c r="CN107" s="55" t="e">
        <f t="shared" si="39"/>
        <v>#DIV/0!</v>
      </c>
      <c r="CO107" s="56">
        <v>0</v>
      </c>
      <c r="CP107" s="56">
        <v>0</v>
      </c>
      <c r="CQ107" s="56">
        <v>0</v>
      </c>
      <c r="CR107" s="56">
        <f t="shared" si="40"/>
        <v>0</v>
      </c>
      <c r="CS107" s="56">
        <v>730</v>
      </c>
      <c r="CT107" s="56">
        <v>0</v>
      </c>
      <c r="CU107" s="56">
        <f t="shared" si="41"/>
        <v>730</v>
      </c>
      <c r="CV107" s="56">
        <f t="shared" si="42"/>
        <v>0</v>
      </c>
      <c r="CW107" s="56" t="e">
        <f t="shared" si="43"/>
        <v>#DIV/0!</v>
      </c>
      <c r="CX107" s="57">
        <v>0</v>
      </c>
      <c r="CY107" s="57">
        <v>0</v>
      </c>
      <c r="CZ107" s="57">
        <v>0</v>
      </c>
      <c r="DA107" s="57">
        <f t="shared" si="44"/>
        <v>0</v>
      </c>
      <c r="DB107" s="57">
        <v>600</v>
      </c>
      <c r="DC107" s="57">
        <v>0</v>
      </c>
      <c r="DD107" s="57">
        <f t="shared" si="45"/>
        <v>600</v>
      </c>
      <c r="DE107" s="57">
        <f t="shared" si="46"/>
        <v>0</v>
      </c>
      <c r="DF107" s="57" t="e">
        <f t="shared" si="47"/>
        <v>#DIV/0!</v>
      </c>
    </row>
    <row r="108" spans="1:110" ht="14.25" customHeight="1">
      <c r="A108" s="59"/>
      <c r="B108" s="29"/>
      <c r="C108" s="45">
        <v>0</v>
      </c>
      <c r="D108" s="45">
        <v>0</v>
      </c>
      <c r="E108" s="45">
        <v>0</v>
      </c>
      <c r="F108" s="45">
        <f t="shared" si="0"/>
        <v>0</v>
      </c>
      <c r="G108" s="45">
        <v>900</v>
      </c>
      <c r="H108" s="45">
        <v>0</v>
      </c>
      <c r="I108" s="45">
        <f t="shared" si="1"/>
        <v>900</v>
      </c>
      <c r="J108" s="45">
        <f t="shared" si="2"/>
        <v>0</v>
      </c>
      <c r="K108" s="45" t="e">
        <f t="shared" si="3"/>
        <v>#DIV/0!</v>
      </c>
      <c r="L108" s="47">
        <v>0</v>
      </c>
      <c r="M108" s="47">
        <v>0</v>
      </c>
      <c r="N108" s="47">
        <v>0</v>
      </c>
      <c r="O108" s="47">
        <f t="shared" si="4"/>
        <v>0</v>
      </c>
      <c r="P108" s="47">
        <v>1800</v>
      </c>
      <c r="Q108" s="47">
        <v>0</v>
      </c>
      <c r="R108" s="47">
        <f t="shared" si="5"/>
        <v>1800</v>
      </c>
      <c r="S108" s="47">
        <f t="shared" si="6"/>
        <v>0</v>
      </c>
      <c r="T108" s="47" t="e">
        <f t="shared" si="7"/>
        <v>#DIV/0!</v>
      </c>
      <c r="U108" s="48">
        <v>0</v>
      </c>
      <c r="V108" s="48">
        <v>0</v>
      </c>
      <c r="W108" s="48">
        <v>0</v>
      </c>
      <c r="X108" s="48">
        <f t="shared" si="8"/>
        <v>0</v>
      </c>
      <c r="Y108" s="48">
        <v>910</v>
      </c>
      <c r="Z108" s="48">
        <v>0</v>
      </c>
      <c r="AA108" s="48">
        <f t="shared" si="9"/>
        <v>910</v>
      </c>
      <c r="AB108" s="48">
        <f t="shared" si="10"/>
        <v>0</v>
      </c>
      <c r="AC108" s="48" t="e">
        <f t="shared" si="11"/>
        <v>#DIV/0!</v>
      </c>
      <c r="AD108" s="49">
        <v>0</v>
      </c>
      <c r="AE108" s="49">
        <v>18</v>
      </c>
      <c r="AF108" s="49">
        <v>3</v>
      </c>
      <c r="AG108" s="49">
        <f t="shared" si="48"/>
        <v>15</v>
      </c>
      <c r="AH108" s="49">
        <v>1200</v>
      </c>
      <c r="AI108" s="49">
        <v>100</v>
      </c>
      <c r="AJ108" s="49">
        <f t="shared" si="13"/>
        <v>1100</v>
      </c>
      <c r="AK108" s="49">
        <f t="shared" si="14"/>
        <v>16500</v>
      </c>
      <c r="AL108" s="49">
        <f t="shared" si="15"/>
        <v>16.666666666666664</v>
      </c>
      <c r="AM108" s="50">
        <v>0</v>
      </c>
      <c r="AN108" s="50">
        <v>24</v>
      </c>
      <c r="AO108" s="50">
        <v>2</v>
      </c>
      <c r="AP108" s="50">
        <f t="shared" si="16"/>
        <v>22</v>
      </c>
      <c r="AQ108" s="50">
        <v>600</v>
      </c>
      <c r="AR108" s="50">
        <v>50</v>
      </c>
      <c r="AS108" s="50">
        <f t="shared" si="17"/>
        <v>550</v>
      </c>
      <c r="AT108" s="50">
        <f t="shared" si="18"/>
        <v>12100</v>
      </c>
      <c r="AU108" s="50">
        <f t="shared" si="19"/>
        <v>8.3333333333333321</v>
      </c>
      <c r="AV108" s="51">
        <v>0</v>
      </c>
      <c r="AW108" s="51">
        <v>0</v>
      </c>
      <c r="AX108" s="51">
        <v>0</v>
      </c>
      <c r="AY108" s="51">
        <f t="shared" si="20"/>
        <v>0</v>
      </c>
      <c r="AZ108" s="51">
        <v>1500</v>
      </c>
      <c r="BA108" s="51">
        <v>0</v>
      </c>
      <c r="BB108" s="51">
        <f t="shared" si="21"/>
        <v>1500</v>
      </c>
      <c r="BC108" s="51">
        <f t="shared" si="22"/>
        <v>0</v>
      </c>
      <c r="BD108" s="51" t="e">
        <f t="shared" si="23"/>
        <v>#DIV/0!</v>
      </c>
      <c r="BE108" s="52">
        <v>0</v>
      </c>
      <c r="BF108" s="52">
        <v>18</v>
      </c>
      <c r="BG108" s="52">
        <v>2</v>
      </c>
      <c r="BH108" s="52">
        <f t="shared" si="24"/>
        <v>16</v>
      </c>
      <c r="BI108" s="52">
        <v>750</v>
      </c>
      <c r="BJ108" s="52">
        <v>100</v>
      </c>
      <c r="BK108" s="52">
        <f t="shared" si="25"/>
        <v>650</v>
      </c>
      <c r="BL108" s="52">
        <f t="shared" si="26"/>
        <v>10400</v>
      </c>
      <c r="BM108" s="52">
        <f t="shared" si="27"/>
        <v>11.111111111111111</v>
      </c>
      <c r="BN108" s="53">
        <v>0</v>
      </c>
      <c r="BO108" s="53">
        <v>20</v>
      </c>
      <c r="BP108" s="53">
        <v>0</v>
      </c>
      <c r="BQ108" s="53">
        <f t="shared" si="28"/>
        <v>20</v>
      </c>
      <c r="BR108" s="53">
        <v>2450</v>
      </c>
      <c r="BS108" s="53">
        <v>300</v>
      </c>
      <c r="BT108" s="53">
        <f t="shared" si="29"/>
        <v>2150</v>
      </c>
      <c r="BU108" s="53">
        <f t="shared" si="30"/>
        <v>43000</v>
      </c>
      <c r="BV108" s="53">
        <f t="shared" si="31"/>
        <v>0</v>
      </c>
      <c r="BW108" s="54">
        <v>0</v>
      </c>
      <c r="BX108" s="54">
        <v>40</v>
      </c>
      <c r="BY108" s="54">
        <v>1</v>
      </c>
      <c r="BZ108" s="54">
        <f t="shared" si="32"/>
        <v>39</v>
      </c>
      <c r="CA108" s="54">
        <v>750</v>
      </c>
      <c r="CB108" s="54">
        <v>100</v>
      </c>
      <c r="CC108" s="54">
        <f t="shared" si="33"/>
        <v>650</v>
      </c>
      <c r="CD108" s="54">
        <f t="shared" si="34"/>
        <v>25350</v>
      </c>
      <c r="CE108" s="54">
        <f t="shared" si="35"/>
        <v>2.5</v>
      </c>
      <c r="CF108" s="55">
        <v>0</v>
      </c>
      <c r="CG108" s="55">
        <v>0</v>
      </c>
      <c r="CH108" s="55">
        <v>0</v>
      </c>
      <c r="CI108" s="55">
        <f t="shared" si="36"/>
        <v>0</v>
      </c>
      <c r="CJ108" s="55">
        <v>730</v>
      </c>
      <c r="CK108" s="55">
        <v>0</v>
      </c>
      <c r="CL108" s="55">
        <f t="shared" si="37"/>
        <v>730</v>
      </c>
      <c r="CM108" s="55">
        <f t="shared" si="38"/>
        <v>0</v>
      </c>
      <c r="CN108" s="55" t="e">
        <f t="shared" si="39"/>
        <v>#DIV/0!</v>
      </c>
      <c r="CO108" s="56">
        <v>0</v>
      </c>
      <c r="CP108" s="56">
        <v>40</v>
      </c>
      <c r="CQ108" s="56">
        <v>0</v>
      </c>
      <c r="CR108" s="56">
        <f t="shared" si="40"/>
        <v>40</v>
      </c>
      <c r="CS108" s="56">
        <v>730</v>
      </c>
      <c r="CT108" s="56">
        <v>80</v>
      </c>
      <c r="CU108" s="56">
        <f t="shared" si="41"/>
        <v>650</v>
      </c>
      <c r="CV108" s="56">
        <f t="shared" si="42"/>
        <v>26000</v>
      </c>
      <c r="CW108" s="56">
        <f t="shared" si="43"/>
        <v>0</v>
      </c>
      <c r="CX108" s="57">
        <v>0</v>
      </c>
      <c r="CY108" s="57">
        <v>0</v>
      </c>
      <c r="CZ108" s="57">
        <v>0</v>
      </c>
      <c r="DA108" s="57">
        <f t="shared" si="44"/>
        <v>0</v>
      </c>
      <c r="DB108" s="57">
        <v>600</v>
      </c>
      <c r="DC108" s="57">
        <v>0</v>
      </c>
      <c r="DD108" s="57">
        <f t="shared" si="45"/>
        <v>600</v>
      </c>
      <c r="DE108" s="57">
        <f t="shared" si="46"/>
        <v>0</v>
      </c>
      <c r="DF108" s="57" t="e">
        <f t="shared" si="47"/>
        <v>#DIV/0!</v>
      </c>
    </row>
    <row r="109" spans="1:110" ht="14.25" customHeight="1">
      <c r="A109" s="59"/>
      <c r="B109" s="29"/>
      <c r="C109" s="45">
        <v>0</v>
      </c>
      <c r="D109" s="45">
        <v>0</v>
      </c>
      <c r="E109" s="45">
        <v>0</v>
      </c>
      <c r="F109" s="45">
        <f t="shared" si="0"/>
        <v>0</v>
      </c>
      <c r="G109" s="45">
        <v>900</v>
      </c>
      <c r="H109" s="45">
        <v>0</v>
      </c>
      <c r="I109" s="45">
        <f t="shared" si="1"/>
        <v>900</v>
      </c>
      <c r="J109" s="45">
        <f t="shared" si="2"/>
        <v>0</v>
      </c>
      <c r="K109" s="45" t="e">
        <f t="shared" si="3"/>
        <v>#DIV/0!</v>
      </c>
      <c r="L109" s="47">
        <v>0</v>
      </c>
      <c r="M109" s="47">
        <v>0</v>
      </c>
      <c r="N109" s="47">
        <v>0</v>
      </c>
      <c r="O109" s="47">
        <f t="shared" si="4"/>
        <v>0</v>
      </c>
      <c r="P109" s="47">
        <v>1800</v>
      </c>
      <c r="Q109" s="47">
        <v>0</v>
      </c>
      <c r="R109" s="47">
        <f t="shared" si="5"/>
        <v>1800</v>
      </c>
      <c r="S109" s="47">
        <f t="shared" si="6"/>
        <v>0</v>
      </c>
      <c r="T109" s="47" t="e">
        <f t="shared" si="7"/>
        <v>#DIV/0!</v>
      </c>
      <c r="U109" s="48">
        <v>0</v>
      </c>
      <c r="V109" s="48">
        <v>0</v>
      </c>
      <c r="W109" s="48">
        <v>0</v>
      </c>
      <c r="X109" s="48">
        <f t="shared" si="8"/>
        <v>0</v>
      </c>
      <c r="Y109" s="48">
        <v>910</v>
      </c>
      <c r="Z109" s="48">
        <v>0</v>
      </c>
      <c r="AA109" s="48">
        <f t="shared" si="9"/>
        <v>910</v>
      </c>
      <c r="AB109" s="48">
        <f t="shared" si="10"/>
        <v>0</v>
      </c>
      <c r="AC109" s="48" t="e">
        <f t="shared" si="11"/>
        <v>#DIV/0!</v>
      </c>
      <c r="AD109" s="49">
        <v>0</v>
      </c>
      <c r="AE109" s="49">
        <v>0</v>
      </c>
      <c r="AF109" s="49">
        <v>0</v>
      </c>
      <c r="AG109" s="49">
        <f t="shared" si="48"/>
        <v>0</v>
      </c>
      <c r="AH109" s="49">
        <v>1200</v>
      </c>
      <c r="AI109" s="49">
        <v>0</v>
      </c>
      <c r="AJ109" s="49">
        <f t="shared" si="13"/>
        <v>1200</v>
      </c>
      <c r="AK109" s="49">
        <f t="shared" si="14"/>
        <v>0</v>
      </c>
      <c r="AL109" s="49" t="e">
        <f t="shared" si="15"/>
        <v>#DIV/0!</v>
      </c>
      <c r="AM109" s="50">
        <v>0</v>
      </c>
      <c r="AN109" s="50">
        <v>0</v>
      </c>
      <c r="AO109" s="50">
        <v>0</v>
      </c>
      <c r="AP109" s="50">
        <f t="shared" si="16"/>
        <v>0</v>
      </c>
      <c r="AQ109" s="50">
        <v>600</v>
      </c>
      <c r="AR109" s="50">
        <v>0</v>
      </c>
      <c r="AS109" s="50">
        <f t="shared" si="17"/>
        <v>600</v>
      </c>
      <c r="AT109" s="50">
        <f t="shared" si="18"/>
        <v>0</v>
      </c>
      <c r="AU109" s="50" t="e">
        <f t="shared" si="19"/>
        <v>#DIV/0!</v>
      </c>
      <c r="AV109" s="51">
        <v>0</v>
      </c>
      <c r="AW109" s="51">
        <v>0</v>
      </c>
      <c r="AX109" s="51">
        <v>0</v>
      </c>
      <c r="AY109" s="51">
        <f t="shared" si="20"/>
        <v>0</v>
      </c>
      <c r="AZ109" s="51">
        <v>1500</v>
      </c>
      <c r="BA109" s="51">
        <v>0</v>
      </c>
      <c r="BB109" s="51">
        <f t="shared" si="21"/>
        <v>1500</v>
      </c>
      <c r="BC109" s="51">
        <f t="shared" si="22"/>
        <v>0</v>
      </c>
      <c r="BD109" s="51" t="e">
        <f t="shared" si="23"/>
        <v>#DIV/0!</v>
      </c>
      <c r="BE109" s="52">
        <v>0</v>
      </c>
      <c r="BF109" s="52">
        <v>0</v>
      </c>
      <c r="BG109" s="52">
        <v>0</v>
      </c>
      <c r="BH109" s="52">
        <f t="shared" si="24"/>
        <v>0</v>
      </c>
      <c r="BI109" s="52">
        <v>750</v>
      </c>
      <c r="BJ109" s="52">
        <v>0</v>
      </c>
      <c r="BK109" s="52">
        <f t="shared" si="25"/>
        <v>750</v>
      </c>
      <c r="BL109" s="52">
        <f t="shared" si="26"/>
        <v>0</v>
      </c>
      <c r="BM109" s="52" t="e">
        <f t="shared" si="27"/>
        <v>#DIV/0!</v>
      </c>
      <c r="BN109" s="53">
        <v>0</v>
      </c>
      <c r="BO109" s="53">
        <v>16</v>
      </c>
      <c r="BP109" s="53">
        <v>0</v>
      </c>
      <c r="BQ109" s="53">
        <f t="shared" si="28"/>
        <v>16</v>
      </c>
      <c r="BR109" s="53">
        <v>2450</v>
      </c>
      <c r="BS109" s="53">
        <v>350</v>
      </c>
      <c r="BT109" s="53">
        <f t="shared" si="29"/>
        <v>2100</v>
      </c>
      <c r="BU109" s="53">
        <f t="shared" si="30"/>
        <v>33600</v>
      </c>
      <c r="BV109" s="53">
        <f t="shared" si="31"/>
        <v>0</v>
      </c>
      <c r="BW109" s="54">
        <v>0</v>
      </c>
      <c r="BX109" s="54">
        <v>0</v>
      </c>
      <c r="BY109" s="54">
        <v>0</v>
      </c>
      <c r="BZ109" s="54">
        <f t="shared" si="32"/>
        <v>0</v>
      </c>
      <c r="CA109" s="54">
        <v>750</v>
      </c>
      <c r="CB109" s="54">
        <v>0</v>
      </c>
      <c r="CC109" s="54">
        <f t="shared" si="33"/>
        <v>750</v>
      </c>
      <c r="CD109" s="54">
        <f t="shared" si="34"/>
        <v>0</v>
      </c>
      <c r="CE109" s="54" t="e">
        <f t="shared" si="35"/>
        <v>#DIV/0!</v>
      </c>
      <c r="CF109" s="55">
        <v>0</v>
      </c>
      <c r="CG109" s="55">
        <v>0</v>
      </c>
      <c r="CH109" s="55">
        <v>0</v>
      </c>
      <c r="CI109" s="55">
        <f t="shared" si="36"/>
        <v>0</v>
      </c>
      <c r="CJ109" s="55">
        <v>730</v>
      </c>
      <c r="CK109" s="55">
        <v>0</v>
      </c>
      <c r="CL109" s="55">
        <f t="shared" si="37"/>
        <v>730</v>
      </c>
      <c r="CM109" s="55">
        <f t="shared" si="38"/>
        <v>0</v>
      </c>
      <c r="CN109" s="55" t="e">
        <f t="shared" si="39"/>
        <v>#DIV/0!</v>
      </c>
      <c r="CO109" s="56">
        <v>0</v>
      </c>
      <c r="CP109" s="56">
        <v>0</v>
      </c>
      <c r="CQ109" s="56">
        <v>0</v>
      </c>
      <c r="CR109" s="56">
        <f t="shared" si="40"/>
        <v>0</v>
      </c>
      <c r="CS109" s="56">
        <v>730</v>
      </c>
      <c r="CT109" s="56">
        <v>0</v>
      </c>
      <c r="CU109" s="56">
        <f t="shared" si="41"/>
        <v>730</v>
      </c>
      <c r="CV109" s="56">
        <f t="shared" si="42"/>
        <v>0</v>
      </c>
      <c r="CW109" s="56" t="e">
        <f t="shared" si="43"/>
        <v>#DIV/0!</v>
      </c>
      <c r="CX109" s="57">
        <v>0</v>
      </c>
      <c r="CY109" s="57">
        <v>0</v>
      </c>
      <c r="CZ109" s="57">
        <v>0</v>
      </c>
      <c r="DA109" s="57">
        <f t="shared" si="44"/>
        <v>0</v>
      </c>
      <c r="DB109" s="57">
        <v>600</v>
      </c>
      <c r="DC109" s="57">
        <v>0</v>
      </c>
      <c r="DD109" s="57">
        <f t="shared" si="45"/>
        <v>600</v>
      </c>
      <c r="DE109" s="57">
        <f t="shared" si="46"/>
        <v>0</v>
      </c>
      <c r="DF109" s="57" t="e">
        <f t="shared" si="47"/>
        <v>#DIV/0!</v>
      </c>
    </row>
    <row r="110" spans="1:110" ht="14.25" customHeight="1">
      <c r="A110" s="59"/>
      <c r="B110" s="29"/>
      <c r="C110" s="45">
        <v>0</v>
      </c>
      <c r="D110" s="45">
        <v>30</v>
      </c>
      <c r="E110" s="45">
        <v>0</v>
      </c>
      <c r="F110" s="45">
        <f t="shared" si="0"/>
        <v>30</v>
      </c>
      <c r="G110" s="45">
        <v>900</v>
      </c>
      <c r="H110" s="45">
        <v>50</v>
      </c>
      <c r="I110" s="45">
        <f t="shared" si="1"/>
        <v>850</v>
      </c>
      <c r="J110" s="45">
        <f t="shared" si="2"/>
        <v>25500</v>
      </c>
      <c r="K110" s="45">
        <f t="shared" si="3"/>
        <v>0</v>
      </c>
      <c r="L110" s="47">
        <v>0</v>
      </c>
      <c r="M110" s="47">
        <v>0</v>
      </c>
      <c r="N110" s="47">
        <v>0</v>
      </c>
      <c r="O110" s="47">
        <f t="shared" si="4"/>
        <v>0</v>
      </c>
      <c r="P110" s="47">
        <v>1800</v>
      </c>
      <c r="Q110" s="47">
        <v>0</v>
      </c>
      <c r="R110" s="47">
        <f t="shared" si="5"/>
        <v>1800</v>
      </c>
      <c r="S110" s="47">
        <f t="shared" si="6"/>
        <v>0</v>
      </c>
      <c r="T110" s="47" t="e">
        <f t="shared" si="7"/>
        <v>#DIV/0!</v>
      </c>
      <c r="U110" s="48">
        <v>0</v>
      </c>
      <c r="V110" s="48">
        <v>0</v>
      </c>
      <c r="W110" s="48">
        <v>0</v>
      </c>
      <c r="X110" s="48">
        <f t="shared" si="8"/>
        <v>0</v>
      </c>
      <c r="Y110" s="48">
        <v>910</v>
      </c>
      <c r="Z110" s="48">
        <v>0</v>
      </c>
      <c r="AA110" s="48">
        <f t="shared" si="9"/>
        <v>910</v>
      </c>
      <c r="AB110" s="48">
        <f t="shared" si="10"/>
        <v>0</v>
      </c>
      <c r="AC110" s="48" t="e">
        <f t="shared" si="11"/>
        <v>#DIV/0!</v>
      </c>
      <c r="AD110" s="49">
        <v>0</v>
      </c>
      <c r="AE110" s="49">
        <v>0</v>
      </c>
      <c r="AF110" s="49">
        <v>0</v>
      </c>
      <c r="AG110" s="49">
        <f t="shared" si="48"/>
        <v>0</v>
      </c>
      <c r="AH110" s="49">
        <v>1200</v>
      </c>
      <c r="AI110" s="49">
        <v>0</v>
      </c>
      <c r="AJ110" s="49">
        <f t="shared" si="13"/>
        <v>1200</v>
      </c>
      <c r="AK110" s="49">
        <f t="shared" si="14"/>
        <v>0</v>
      </c>
      <c r="AL110" s="49" t="e">
        <f t="shared" si="15"/>
        <v>#DIV/0!</v>
      </c>
      <c r="AM110" s="50">
        <v>0</v>
      </c>
      <c r="AN110" s="50">
        <v>0</v>
      </c>
      <c r="AO110" s="50">
        <v>0</v>
      </c>
      <c r="AP110" s="50">
        <f t="shared" si="16"/>
        <v>0</v>
      </c>
      <c r="AQ110" s="50">
        <v>600</v>
      </c>
      <c r="AR110" s="50">
        <v>0</v>
      </c>
      <c r="AS110" s="50">
        <f t="shared" si="17"/>
        <v>600</v>
      </c>
      <c r="AT110" s="50">
        <f t="shared" si="18"/>
        <v>0</v>
      </c>
      <c r="AU110" s="50" t="e">
        <f t="shared" si="19"/>
        <v>#DIV/0!</v>
      </c>
      <c r="AV110" s="51">
        <v>0</v>
      </c>
      <c r="AW110" s="51">
        <v>0</v>
      </c>
      <c r="AX110" s="51">
        <v>0</v>
      </c>
      <c r="AY110" s="51">
        <f t="shared" si="20"/>
        <v>0</v>
      </c>
      <c r="AZ110" s="51">
        <v>1500</v>
      </c>
      <c r="BA110" s="51">
        <v>0</v>
      </c>
      <c r="BB110" s="51">
        <f t="shared" si="21"/>
        <v>1500</v>
      </c>
      <c r="BC110" s="51">
        <f t="shared" si="22"/>
        <v>0</v>
      </c>
      <c r="BD110" s="51" t="e">
        <f t="shared" si="23"/>
        <v>#DIV/0!</v>
      </c>
      <c r="BE110" s="52">
        <v>0</v>
      </c>
      <c r="BF110" s="52">
        <v>0</v>
      </c>
      <c r="BG110" s="52">
        <v>0</v>
      </c>
      <c r="BH110" s="52">
        <f t="shared" si="24"/>
        <v>0</v>
      </c>
      <c r="BI110" s="52">
        <v>750</v>
      </c>
      <c r="BJ110" s="52">
        <v>0</v>
      </c>
      <c r="BK110" s="52">
        <f t="shared" si="25"/>
        <v>750</v>
      </c>
      <c r="BL110" s="52">
        <f t="shared" si="26"/>
        <v>0</v>
      </c>
      <c r="BM110" s="52" t="e">
        <f t="shared" si="27"/>
        <v>#DIV/0!</v>
      </c>
      <c r="BN110" s="53">
        <v>0</v>
      </c>
      <c r="BO110" s="53">
        <v>120</v>
      </c>
      <c r="BP110" s="53">
        <v>0</v>
      </c>
      <c r="BQ110" s="53">
        <f t="shared" si="28"/>
        <v>120</v>
      </c>
      <c r="BR110" s="53">
        <v>2450</v>
      </c>
      <c r="BS110" s="53">
        <v>250</v>
      </c>
      <c r="BT110" s="53">
        <f t="shared" si="29"/>
        <v>2200</v>
      </c>
      <c r="BU110" s="53">
        <f t="shared" si="30"/>
        <v>264000</v>
      </c>
      <c r="BV110" s="53">
        <f t="shared" si="31"/>
        <v>0</v>
      </c>
      <c r="BW110" s="54">
        <v>0</v>
      </c>
      <c r="BX110" s="54">
        <v>0</v>
      </c>
      <c r="BY110" s="54">
        <v>0</v>
      </c>
      <c r="BZ110" s="54">
        <f t="shared" si="32"/>
        <v>0</v>
      </c>
      <c r="CA110" s="54">
        <v>750</v>
      </c>
      <c r="CB110" s="54">
        <v>0</v>
      </c>
      <c r="CC110" s="54">
        <f t="shared" si="33"/>
        <v>750</v>
      </c>
      <c r="CD110" s="54">
        <f t="shared" si="34"/>
        <v>0</v>
      </c>
      <c r="CE110" s="54" t="e">
        <f t="shared" si="35"/>
        <v>#DIV/0!</v>
      </c>
      <c r="CF110" s="55">
        <v>0</v>
      </c>
      <c r="CG110" s="55">
        <v>0</v>
      </c>
      <c r="CH110" s="55">
        <v>0</v>
      </c>
      <c r="CI110" s="55">
        <f t="shared" si="36"/>
        <v>0</v>
      </c>
      <c r="CJ110" s="55">
        <v>730</v>
      </c>
      <c r="CK110" s="55">
        <v>0</v>
      </c>
      <c r="CL110" s="55">
        <f t="shared" si="37"/>
        <v>730</v>
      </c>
      <c r="CM110" s="55">
        <f t="shared" si="38"/>
        <v>0</v>
      </c>
      <c r="CN110" s="55" t="e">
        <f t="shared" si="39"/>
        <v>#DIV/0!</v>
      </c>
      <c r="CO110" s="56">
        <v>0</v>
      </c>
      <c r="CP110" s="56">
        <v>0</v>
      </c>
      <c r="CQ110" s="56">
        <v>0</v>
      </c>
      <c r="CR110" s="56">
        <f t="shared" si="40"/>
        <v>0</v>
      </c>
      <c r="CS110" s="56">
        <v>730</v>
      </c>
      <c r="CT110" s="56">
        <v>0</v>
      </c>
      <c r="CU110" s="56">
        <f t="shared" si="41"/>
        <v>730</v>
      </c>
      <c r="CV110" s="56">
        <f t="shared" si="42"/>
        <v>0</v>
      </c>
      <c r="CW110" s="56" t="e">
        <f t="shared" si="43"/>
        <v>#DIV/0!</v>
      </c>
      <c r="CX110" s="57">
        <v>0</v>
      </c>
      <c r="CY110" s="57">
        <v>0</v>
      </c>
      <c r="CZ110" s="57">
        <v>0</v>
      </c>
      <c r="DA110" s="57">
        <f t="shared" si="44"/>
        <v>0</v>
      </c>
      <c r="DB110" s="57">
        <v>600</v>
      </c>
      <c r="DC110" s="57">
        <v>0</v>
      </c>
      <c r="DD110" s="57">
        <f t="shared" si="45"/>
        <v>600</v>
      </c>
      <c r="DE110" s="57">
        <f t="shared" si="46"/>
        <v>0</v>
      </c>
      <c r="DF110" s="57" t="e">
        <f t="shared" si="47"/>
        <v>#DIV/0!</v>
      </c>
    </row>
    <row r="111" spans="1:110" ht="14.25" customHeight="1">
      <c r="A111" s="59"/>
      <c r="B111" s="29"/>
      <c r="C111" s="45">
        <v>0</v>
      </c>
      <c r="D111" s="45">
        <v>0</v>
      </c>
      <c r="E111" s="45">
        <v>0</v>
      </c>
      <c r="F111" s="45">
        <f t="shared" si="0"/>
        <v>0</v>
      </c>
      <c r="G111" s="45">
        <v>900</v>
      </c>
      <c r="H111" s="45">
        <v>0</v>
      </c>
      <c r="I111" s="45">
        <f t="shared" si="1"/>
        <v>900</v>
      </c>
      <c r="J111" s="45">
        <f t="shared" si="2"/>
        <v>0</v>
      </c>
      <c r="K111" s="45" t="e">
        <f t="shared" si="3"/>
        <v>#DIV/0!</v>
      </c>
      <c r="L111" s="47">
        <v>0</v>
      </c>
      <c r="M111" s="47">
        <v>0</v>
      </c>
      <c r="N111" s="47">
        <v>0</v>
      </c>
      <c r="O111" s="47">
        <f t="shared" si="4"/>
        <v>0</v>
      </c>
      <c r="P111" s="47">
        <v>1800</v>
      </c>
      <c r="Q111" s="47">
        <v>0</v>
      </c>
      <c r="R111" s="47">
        <f t="shared" si="5"/>
        <v>1800</v>
      </c>
      <c r="S111" s="47">
        <f t="shared" si="6"/>
        <v>0</v>
      </c>
      <c r="T111" s="47" t="e">
        <f t="shared" si="7"/>
        <v>#DIV/0!</v>
      </c>
      <c r="U111" s="48">
        <v>0</v>
      </c>
      <c r="V111" s="48">
        <v>0</v>
      </c>
      <c r="W111" s="48">
        <v>0</v>
      </c>
      <c r="X111" s="48">
        <f t="shared" si="8"/>
        <v>0</v>
      </c>
      <c r="Y111" s="48">
        <v>910</v>
      </c>
      <c r="Z111" s="48">
        <v>0</v>
      </c>
      <c r="AA111" s="48">
        <f t="shared" si="9"/>
        <v>910</v>
      </c>
      <c r="AB111" s="48">
        <f t="shared" si="10"/>
        <v>0</v>
      </c>
      <c r="AC111" s="48" t="e">
        <f t="shared" si="11"/>
        <v>#DIV/0!</v>
      </c>
      <c r="AD111" s="49">
        <v>0</v>
      </c>
      <c r="AE111" s="49">
        <v>0</v>
      </c>
      <c r="AF111" s="49">
        <v>0</v>
      </c>
      <c r="AG111" s="49">
        <f t="shared" si="48"/>
        <v>0</v>
      </c>
      <c r="AH111" s="49">
        <v>1200</v>
      </c>
      <c r="AI111" s="49">
        <v>0</v>
      </c>
      <c r="AJ111" s="49">
        <f t="shared" si="13"/>
        <v>1200</v>
      </c>
      <c r="AK111" s="49">
        <f t="shared" si="14"/>
        <v>0</v>
      </c>
      <c r="AL111" s="49" t="e">
        <f t="shared" si="15"/>
        <v>#DIV/0!</v>
      </c>
      <c r="AM111" s="50">
        <v>0</v>
      </c>
      <c r="AN111" s="50">
        <v>0</v>
      </c>
      <c r="AO111" s="50">
        <v>0</v>
      </c>
      <c r="AP111" s="50">
        <f t="shared" si="16"/>
        <v>0</v>
      </c>
      <c r="AQ111" s="50">
        <v>600</v>
      </c>
      <c r="AR111" s="50">
        <v>0</v>
      </c>
      <c r="AS111" s="50">
        <f t="shared" si="17"/>
        <v>600</v>
      </c>
      <c r="AT111" s="50">
        <f t="shared" si="18"/>
        <v>0</v>
      </c>
      <c r="AU111" s="50" t="e">
        <f t="shared" si="19"/>
        <v>#DIV/0!</v>
      </c>
      <c r="AV111" s="51">
        <v>0</v>
      </c>
      <c r="AW111" s="51">
        <v>0</v>
      </c>
      <c r="AX111" s="51">
        <v>0</v>
      </c>
      <c r="AY111" s="51">
        <f t="shared" si="20"/>
        <v>0</v>
      </c>
      <c r="AZ111" s="51">
        <v>1500</v>
      </c>
      <c r="BA111" s="51">
        <v>0</v>
      </c>
      <c r="BB111" s="51">
        <f t="shared" si="21"/>
        <v>1500</v>
      </c>
      <c r="BC111" s="51">
        <f t="shared" si="22"/>
        <v>0</v>
      </c>
      <c r="BD111" s="51" t="e">
        <f t="shared" si="23"/>
        <v>#DIV/0!</v>
      </c>
      <c r="BE111" s="52">
        <v>0</v>
      </c>
      <c r="BF111" s="52">
        <v>0</v>
      </c>
      <c r="BG111" s="52">
        <v>0</v>
      </c>
      <c r="BH111" s="52">
        <f t="shared" si="24"/>
        <v>0</v>
      </c>
      <c r="BI111" s="52">
        <v>750</v>
      </c>
      <c r="BJ111" s="52">
        <v>0</v>
      </c>
      <c r="BK111" s="52">
        <f t="shared" si="25"/>
        <v>750</v>
      </c>
      <c r="BL111" s="52">
        <f t="shared" si="26"/>
        <v>0</v>
      </c>
      <c r="BM111" s="52" t="e">
        <f t="shared" si="27"/>
        <v>#DIV/0!</v>
      </c>
      <c r="BN111" s="53">
        <v>0</v>
      </c>
      <c r="BO111" s="53">
        <v>0</v>
      </c>
      <c r="BP111" s="53">
        <v>0</v>
      </c>
      <c r="BQ111" s="53">
        <f t="shared" si="28"/>
        <v>0</v>
      </c>
      <c r="BR111" s="53">
        <v>2450</v>
      </c>
      <c r="BS111" s="53">
        <v>0</v>
      </c>
      <c r="BT111" s="53">
        <f t="shared" si="29"/>
        <v>2450</v>
      </c>
      <c r="BU111" s="53">
        <f t="shared" si="30"/>
        <v>0</v>
      </c>
      <c r="BV111" s="53" t="e">
        <f t="shared" si="31"/>
        <v>#DIV/0!</v>
      </c>
      <c r="BW111" s="54">
        <v>0</v>
      </c>
      <c r="BX111" s="54">
        <v>0</v>
      </c>
      <c r="BY111" s="54">
        <v>0</v>
      </c>
      <c r="BZ111" s="54">
        <f t="shared" si="32"/>
        <v>0</v>
      </c>
      <c r="CA111" s="54">
        <v>750</v>
      </c>
      <c r="CB111" s="54">
        <v>0</v>
      </c>
      <c r="CC111" s="54">
        <f t="shared" si="33"/>
        <v>750</v>
      </c>
      <c r="CD111" s="54">
        <f t="shared" si="34"/>
        <v>0</v>
      </c>
      <c r="CE111" s="54" t="e">
        <f t="shared" si="35"/>
        <v>#DIV/0!</v>
      </c>
      <c r="CF111" s="55">
        <v>0</v>
      </c>
      <c r="CG111" s="55">
        <v>0</v>
      </c>
      <c r="CH111" s="55">
        <v>0</v>
      </c>
      <c r="CI111" s="55">
        <f t="shared" si="36"/>
        <v>0</v>
      </c>
      <c r="CJ111" s="55">
        <v>730</v>
      </c>
      <c r="CK111" s="55">
        <v>0</v>
      </c>
      <c r="CL111" s="55">
        <f t="shared" si="37"/>
        <v>730</v>
      </c>
      <c r="CM111" s="55">
        <f t="shared" si="38"/>
        <v>0</v>
      </c>
      <c r="CN111" s="55" t="e">
        <f t="shared" si="39"/>
        <v>#DIV/0!</v>
      </c>
      <c r="CO111" s="56">
        <v>0</v>
      </c>
      <c r="CP111" s="56">
        <v>0</v>
      </c>
      <c r="CQ111" s="56">
        <v>0</v>
      </c>
      <c r="CR111" s="56">
        <f t="shared" si="40"/>
        <v>0</v>
      </c>
      <c r="CS111" s="56">
        <v>730</v>
      </c>
      <c r="CT111" s="56">
        <v>0</v>
      </c>
      <c r="CU111" s="56">
        <f t="shared" si="41"/>
        <v>730</v>
      </c>
      <c r="CV111" s="56">
        <f t="shared" si="42"/>
        <v>0</v>
      </c>
      <c r="CW111" s="56" t="e">
        <f t="shared" si="43"/>
        <v>#DIV/0!</v>
      </c>
      <c r="CX111" s="57">
        <v>0</v>
      </c>
      <c r="CY111" s="57">
        <v>0</v>
      </c>
      <c r="CZ111" s="57">
        <v>0</v>
      </c>
      <c r="DA111" s="57">
        <f t="shared" si="44"/>
        <v>0</v>
      </c>
      <c r="DB111" s="57">
        <v>600</v>
      </c>
      <c r="DC111" s="57">
        <v>0</v>
      </c>
      <c r="DD111" s="57">
        <f t="shared" si="45"/>
        <v>600</v>
      </c>
      <c r="DE111" s="57">
        <f t="shared" si="46"/>
        <v>0</v>
      </c>
      <c r="DF111" s="57" t="e">
        <f t="shared" si="47"/>
        <v>#DIV/0!</v>
      </c>
    </row>
    <row r="112" spans="1:110" ht="14.25" customHeight="1">
      <c r="A112" s="59"/>
      <c r="B112" s="29"/>
      <c r="C112" s="45">
        <v>0</v>
      </c>
      <c r="D112" s="45">
        <v>0</v>
      </c>
      <c r="E112" s="45">
        <v>0</v>
      </c>
      <c r="F112" s="45">
        <f t="shared" si="0"/>
        <v>0</v>
      </c>
      <c r="G112" s="45">
        <v>900</v>
      </c>
      <c r="H112" s="45">
        <v>0</v>
      </c>
      <c r="I112" s="45">
        <f t="shared" si="1"/>
        <v>900</v>
      </c>
      <c r="J112" s="45">
        <f t="shared" si="2"/>
        <v>0</v>
      </c>
      <c r="K112" s="45" t="e">
        <f t="shared" si="3"/>
        <v>#DIV/0!</v>
      </c>
      <c r="L112" s="47">
        <v>0</v>
      </c>
      <c r="M112" s="47">
        <v>0</v>
      </c>
      <c r="N112" s="47">
        <v>0</v>
      </c>
      <c r="O112" s="47">
        <f t="shared" si="4"/>
        <v>0</v>
      </c>
      <c r="P112" s="47">
        <v>1800</v>
      </c>
      <c r="Q112" s="47">
        <v>0</v>
      </c>
      <c r="R112" s="47">
        <f t="shared" si="5"/>
        <v>1800</v>
      </c>
      <c r="S112" s="47">
        <f t="shared" si="6"/>
        <v>0</v>
      </c>
      <c r="T112" s="47" t="e">
        <f t="shared" si="7"/>
        <v>#DIV/0!</v>
      </c>
      <c r="U112" s="48">
        <v>0</v>
      </c>
      <c r="V112" s="48">
        <v>0</v>
      </c>
      <c r="W112" s="48">
        <v>0</v>
      </c>
      <c r="X112" s="48">
        <f t="shared" si="8"/>
        <v>0</v>
      </c>
      <c r="Y112" s="48">
        <v>910</v>
      </c>
      <c r="Z112" s="48">
        <v>0</v>
      </c>
      <c r="AA112" s="48">
        <f t="shared" si="9"/>
        <v>910</v>
      </c>
      <c r="AB112" s="48">
        <f t="shared" si="10"/>
        <v>0</v>
      </c>
      <c r="AC112" s="48" t="e">
        <f t="shared" si="11"/>
        <v>#DIV/0!</v>
      </c>
      <c r="AD112" s="49">
        <v>0</v>
      </c>
      <c r="AE112" s="49">
        <v>0</v>
      </c>
      <c r="AF112" s="49">
        <v>0</v>
      </c>
      <c r="AG112" s="49">
        <f t="shared" si="48"/>
        <v>0</v>
      </c>
      <c r="AH112" s="49">
        <v>1200</v>
      </c>
      <c r="AI112" s="49">
        <v>0</v>
      </c>
      <c r="AJ112" s="49">
        <f t="shared" si="13"/>
        <v>1200</v>
      </c>
      <c r="AK112" s="49">
        <f t="shared" si="14"/>
        <v>0</v>
      </c>
      <c r="AL112" s="49" t="e">
        <f t="shared" si="15"/>
        <v>#DIV/0!</v>
      </c>
      <c r="AM112" s="50">
        <v>0</v>
      </c>
      <c r="AN112" s="50">
        <v>0</v>
      </c>
      <c r="AO112" s="50">
        <v>0</v>
      </c>
      <c r="AP112" s="50">
        <f t="shared" si="16"/>
        <v>0</v>
      </c>
      <c r="AQ112" s="50">
        <v>600</v>
      </c>
      <c r="AR112" s="50">
        <v>0</v>
      </c>
      <c r="AS112" s="50">
        <f t="shared" si="17"/>
        <v>600</v>
      </c>
      <c r="AT112" s="50">
        <f t="shared" si="18"/>
        <v>0</v>
      </c>
      <c r="AU112" s="50" t="e">
        <f t="shared" si="19"/>
        <v>#DIV/0!</v>
      </c>
      <c r="AV112" s="51">
        <v>0</v>
      </c>
      <c r="AW112" s="51">
        <v>0</v>
      </c>
      <c r="AX112" s="51">
        <v>0</v>
      </c>
      <c r="AY112" s="51">
        <f t="shared" si="20"/>
        <v>0</v>
      </c>
      <c r="AZ112" s="51">
        <v>1500</v>
      </c>
      <c r="BA112" s="51">
        <v>0</v>
      </c>
      <c r="BB112" s="51">
        <f t="shared" si="21"/>
        <v>1500</v>
      </c>
      <c r="BC112" s="51">
        <f t="shared" si="22"/>
        <v>0</v>
      </c>
      <c r="BD112" s="51" t="e">
        <f t="shared" si="23"/>
        <v>#DIV/0!</v>
      </c>
      <c r="BE112" s="52">
        <v>0</v>
      </c>
      <c r="BF112" s="52">
        <v>0</v>
      </c>
      <c r="BG112" s="52">
        <v>0</v>
      </c>
      <c r="BH112" s="52">
        <f t="shared" si="24"/>
        <v>0</v>
      </c>
      <c r="BI112" s="52">
        <v>750</v>
      </c>
      <c r="BJ112" s="52">
        <v>0</v>
      </c>
      <c r="BK112" s="52">
        <f t="shared" si="25"/>
        <v>750</v>
      </c>
      <c r="BL112" s="52">
        <f t="shared" si="26"/>
        <v>0</v>
      </c>
      <c r="BM112" s="52" t="e">
        <f t="shared" si="27"/>
        <v>#DIV/0!</v>
      </c>
      <c r="BN112" s="53">
        <v>0</v>
      </c>
      <c r="BO112" s="53">
        <v>0</v>
      </c>
      <c r="BP112" s="53">
        <v>0</v>
      </c>
      <c r="BQ112" s="53">
        <f t="shared" si="28"/>
        <v>0</v>
      </c>
      <c r="BR112" s="53">
        <v>2450</v>
      </c>
      <c r="BS112" s="53">
        <v>0</v>
      </c>
      <c r="BT112" s="53">
        <f t="shared" si="29"/>
        <v>2450</v>
      </c>
      <c r="BU112" s="53">
        <f t="shared" si="30"/>
        <v>0</v>
      </c>
      <c r="BV112" s="53" t="e">
        <f t="shared" si="31"/>
        <v>#DIV/0!</v>
      </c>
      <c r="BW112" s="54">
        <v>0</v>
      </c>
      <c r="BX112" s="54">
        <v>0</v>
      </c>
      <c r="BY112" s="54">
        <v>0</v>
      </c>
      <c r="BZ112" s="54">
        <f t="shared" si="32"/>
        <v>0</v>
      </c>
      <c r="CA112" s="54">
        <v>750</v>
      </c>
      <c r="CB112" s="54">
        <v>0</v>
      </c>
      <c r="CC112" s="54">
        <f t="shared" si="33"/>
        <v>750</v>
      </c>
      <c r="CD112" s="54">
        <f t="shared" si="34"/>
        <v>0</v>
      </c>
      <c r="CE112" s="54" t="e">
        <f t="shared" si="35"/>
        <v>#DIV/0!</v>
      </c>
      <c r="CF112" s="55">
        <v>0</v>
      </c>
      <c r="CG112" s="55">
        <v>0</v>
      </c>
      <c r="CH112" s="55">
        <v>0</v>
      </c>
      <c r="CI112" s="55">
        <f t="shared" si="36"/>
        <v>0</v>
      </c>
      <c r="CJ112" s="55">
        <v>730</v>
      </c>
      <c r="CK112" s="55">
        <v>0</v>
      </c>
      <c r="CL112" s="55">
        <f t="shared" si="37"/>
        <v>730</v>
      </c>
      <c r="CM112" s="55">
        <f t="shared" si="38"/>
        <v>0</v>
      </c>
      <c r="CN112" s="55" t="e">
        <f t="shared" si="39"/>
        <v>#DIV/0!</v>
      </c>
      <c r="CO112" s="56">
        <v>0</v>
      </c>
      <c r="CP112" s="56">
        <v>0</v>
      </c>
      <c r="CQ112" s="56">
        <v>0</v>
      </c>
      <c r="CR112" s="56">
        <f t="shared" si="40"/>
        <v>0</v>
      </c>
      <c r="CS112" s="56">
        <v>730</v>
      </c>
      <c r="CT112" s="56">
        <v>0</v>
      </c>
      <c r="CU112" s="56">
        <f t="shared" si="41"/>
        <v>730</v>
      </c>
      <c r="CV112" s="56">
        <f t="shared" si="42"/>
        <v>0</v>
      </c>
      <c r="CW112" s="56" t="e">
        <f t="shared" si="43"/>
        <v>#DIV/0!</v>
      </c>
      <c r="CX112" s="57">
        <v>0</v>
      </c>
      <c r="CY112" s="57">
        <v>0</v>
      </c>
      <c r="CZ112" s="57">
        <v>0</v>
      </c>
      <c r="DA112" s="57">
        <f t="shared" si="44"/>
        <v>0</v>
      </c>
      <c r="DB112" s="57">
        <v>600</v>
      </c>
      <c r="DC112" s="57">
        <v>0</v>
      </c>
      <c r="DD112" s="57">
        <f t="shared" si="45"/>
        <v>600</v>
      </c>
      <c r="DE112" s="57">
        <f t="shared" si="46"/>
        <v>0</v>
      </c>
      <c r="DF112" s="57" t="e">
        <f t="shared" si="47"/>
        <v>#DIV/0!</v>
      </c>
    </row>
    <row r="113" spans="1:110" ht="14.25" customHeight="1">
      <c r="A113" s="59"/>
      <c r="B113" s="29"/>
      <c r="C113" s="45">
        <v>0</v>
      </c>
      <c r="D113" s="45">
        <v>0</v>
      </c>
      <c r="E113" s="45">
        <v>0</v>
      </c>
      <c r="F113" s="45">
        <f t="shared" si="0"/>
        <v>0</v>
      </c>
      <c r="G113" s="45">
        <v>900</v>
      </c>
      <c r="H113" s="45">
        <v>0</v>
      </c>
      <c r="I113" s="45">
        <f t="shared" si="1"/>
        <v>900</v>
      </c>
      <c r="J113" s="45">
        <f t="shared" si="2"/>
        <v>0</v>
      </c>
      <c r="K113" s="45" t="e">
        <f t="shared" si="3"/>
        <v>#DIV/0!</v>
      </c>
      <c r="L113" s="47">
        <v>0</v>
      </c>
      <c r="M113" s="47">
        <v>0</v>
      </c>
      <c r="N113" s="47">
        <v>0</v>
      </c>
      <c r="O113" s="47">
        <f t="shared" si="4"/>
        <v>0</v>
      </c>
      <c r="P113" s="47">
        <v>1800</v>
      </c>
      <c r="Q113" s="47">
        <v>0</v>
      </c>
      <c r="R113" s="47">
        <f t="shared" si="5"/>
        <v>1800</v>
      </c>
      <c r="S113" s="47">
        <f t="shared" si="6"/>
        <v>0</v>
      </c>
      <c r="T113" s="47" t="e">
        <f t="shared" si="7"/>
        <v>#DIV/0!</v>
      </c>
      <c r="U113" s="48">
        <v>0</v>
      </c>
      <c r="V113" s="48">
        <v>0</v>
      </c>
      <c r="W113" s="48">
        <v>0</v>
      </c>
      <c r="X113" s="48">
        <f t="shared" si="8"/>
        <v>0</v>
      </c>
      <c r="Y113" s="48">
        <v>910</v>
      </c>
      <c r="Z113" s="48">
        <v>0</v>
      </c>
      <c r="AA113" s="48">
        <f t="shared" si="9"/>
        <v>910</v>
      </c>
      <c r="AB113" s="48">
        <f t="shared" si="10"/>
        <v>0</v>
      </c>
      <c r="AC113" s="48" t="e">
        <f t="shared" si="11"/>
        <v>#DIV/0!</v>
      </c>
      <c r="AD113" s="49">
        <v>0</v>
      </c>
      <c r="AE113" s="49">
        <v>0</v>
      </c>
      <c r="AF113" s="49">
        <v>0</v>
      </c>
      <c r="AG113" s="49">
        <f t="shared" si="48"/>
        <v>0</v>
      </c>
      <c r="AH113" s="49">
        <v>1200</v>
      </c>
      <c r="AI113" s="49">
        <v>0</v>
      </c>
      <c r="AJ113" s="49">
        <f t="shared" si="13"/>
        <v>1200</v>
      </c>
      <c r="AK113" s="49">
        <f t="shared" si="14"/>
        <v>0</v>
      </c>
      <c r="AL113" s="49" t="e">
        <f t="shared" si="15"/>
        <v>#DIV/0!</v>
      </c>
      <c r="AM113" s="50">
        <v>0</v>
      </c>
      <c r="AN113" s="50">
        <v>0</v>
      </c>
      <c r="AO113" s="50">
        <v>0</v>
      </c>
      <c r="AP113" s="50">
        <f t="shared" si="16"/>
        <v>0</v>
      </c>
      <c r="AQ113" s="50">
        <v>600</v>
      </c>
      <c r="AR113" s="50">
        <v>0</v>
      </c>
      <c r="AS113" s="50">
        <f t="shared" si="17"/>
        <v>600</v>
      </c>
      <c r="AT113" s="50">
        <f t="shared" si="18"/>
        <v>0</v>
      </c>
      <c r="AU113" s="50" t="e">
        <f t="shared" si="19"/>
        <v>#DIV/0!</v>
      </c>
      <c r="AV113" s="51">
        <v>0</v>
      </c>
      <c r="AW113" s="51">
        <v>0</v>
      </c>
      <c r="AX113" s="51">
        <v>0</v>
      </c>
      <c r="AY113" s="51">
        <f t="shared" si="20"/>
        <v>0</v>
      </c>
      <c r="AZ113" s="51">
        <v>1500</v>
      </c>
      <c r="BA113" s="51">
        <v>0</v>
      </c>
      <c r="BB113" s="51">
        <f t="shared" si="21"/>
        <v>1500</v>
      </c>
      <c r="BC113" s="51">
        <f t="shared" si="22"/>
        <v>0</v>
      </c>
      <c r="BD113" s="51" t="e">
        <f t="shared" si="23"/>
        <v>#DIV/0!</v>
      </c>
      <c r="BE113" s="52">
        <v>0</v>
      </c>
      <c r="BF113" s="52">
        <v>0</v>
      </c>
      <c r="BG113" s="52">
        <v>0</v>
      </c>
      <c r="BH113" s="52">
        <f t="shared" si="24"/>
        <v>0</v>
      </c>
      <c r="BI113" s="52">
        <v>750</v>
      </c>
      <c r="BJ113" s="52">
        <v>0</v>
      </c>
      <c r="BK113" s="52">
        <f t="shared" si="25"/>
        <v>750</v>
      </c>
      <c r="BL113" s="52">
        <f t="shared" si="26"/>
        <v>0</v>
      </c>
      <c r="BM113" s="52" t="e">
        <f t="shared" si="27"/>
        <v>#DIV/0!</v>
      </c>
      <c r="BN113" s="53">
        <v>0</v>
      </c>
      <c r="BO113" s="53">
        <v>0</v>
      </c>
      <c r="BP113" s="53">
        <v>0</v>
      </c>
      <c r="BQ113" s="53">
        <f t="shared" si="28"/>
        <v>0</v>
      </c>
      <c r="BR113" s="53">
        <v>2450</v>
      </c>
      <c r="BS113" s="53">
        <v>0</v>
      </c>
      <c r="BT113" s="53">
        <f t="shared" si="29"/>
        <v>2450</v>
      </c>
      <c r="BU113" s="53">
        <f t="shared" si="30"/>
        <v>0</v>
      </c>
      <c r="BV113" s="53" t="e">
        <f t="shared" si="31"/>
        <v>#DIV/0!</v>
      </c>
      <c r="BW113" s="54">
        <v>0</v>
      </c>
      <c r="BX113" s="54">
        <v>0</v>
      </c>
      <c r="BY113" s="54">
        <v>0</v>
      </c>
      <c r="BZ113" s="54">
        <f t="shared" si="32"/>
        <v>0</v>
      </c>
      <c r="CA113" s="54">
        <v>750</v>
      </c>
      <c r="CB113" s="54">
        <v>0</v>
      </c>
      <c r="CC113" s="54">
        <f t="shared" si="33"/>
        <v>750</v>
      </c>
      <c r="CD113" s="54">
        <f t="shared" si="34"/>
        <v>0</v>
      </c>
      <c r="CE113" s="54" t="e">
        <f t="shared" si="35"/>
        <v>#DIV/0!</v>
      </c>
      <c r="CF113" s="55">
        <v>0</v>
      </c>
      <c r="CG113" s="55">
        <v>0</v>
      </c>
      <c r="CH113" s="55">
        <v>0</v>
      </c>
      <c r="CI113" s="55">
        <f t="shared" si="36"/>
        <v>0</v>
      </c>
      <c r="CJ113" s="55">
        <v>730</v>
      </c>
      <c r="CK113" s="55">
        <v>0</v>
      </c>
      <c r="CL113" s="55">
        <f t="shared" si="37"/>
        <v>730</v>
      </c>
      <c r="CM113" s="55">
        <f t="shared" si="38"/>
        <v>0</v>
      </c>
      <c r="CN113" s="55" t="e">
        <f t="shared" si="39"/>
        <v>#DIV/0!</v>
      </c>
      <c r="CO113" s="56">
        <v>0</v>
      </c>
      <c r="CP113" s="56">
        <v>0</v>
      </c>
      <c r="CQ113" s="56">
        <v>0</v>
      </c>
      <c r="CR113" s="56">
        <f t="shared" si="40"/>
        <v>0</v>
      </c>
      <c r="CS113" s="56">
        <v>730</v>
      </c>
      <c r="CT113" s="56">
        <v>0</v>
      </c>
      <c r="CU113" s="56">
        <f t="shared" si="41"/>
        <v>730</v>
      </c>
      <c r="CV113" s="56">
        <f t="shared" si="42"/>
        <v>0</v>
      </c>
      <c r="CW113" s="56" t="e">
        <f t="shared" si="43"/>
        <v>#DIV/0!</v>
      </c>
      <c r="CX113" s="57">
        <v>0</v>
      </c>
      <c r="CY113" s="57">
        <v>0</v>
      </c>
      <c r="CZ113" s="57">
        <v>0</v>
      </c>
      <c r="DA113" s="57">
        <f t="shared" si="44"/>
        <v>0</v>
      </c>
      <c r="DB113" s="57">
        <v>600</v>
      </c>
      <c r="DC113" s="57">
        <v>0</v>
      </c>
      <c r="DD113" s="57">
        <f t="shared" si="45"/>
        <v>600</v>
      </c>
      <c r="DE113" s="57">
        <f t="shared" si="46"/>
        <v>0</v>
      </c>
      <c r="DF113" s="57" t="e">
        <f t="shared" si="47"/>
        <v>#DIV/0!</v>
      </c>
    </row>
    <row r="114" spans="1:110" ht="14.25" customHeight="1">
      <c r="A114" s="59"/>
      <c r="B114" s="29"/>
      <c r="C114" s="45">
        <v>0</v>
      </c>
      <c r="D114" s="45">
        <v>0</v>
      </c>
      <c r="E114" s="45">
        <v>0</v>
      </c>
      <c r="F114" s="45">
        <f t="shared" si="0"/>
        <v>0</v>
      </c>
      <c r="G114" s="45">
        <v>900</v>
      </c>
      <c r="H114" s="45">
        <v>0</v>
      </c>
      <c r="I114" s="45">
        <f t="shared" si="1"/>
        <v>900</v>
      </c>
      <c r="J114" s="45">
        <f t="shared" si="2"/>
        <v>0</v>
      </c>
      <c r="K114" s="45" t="e">
        <f t="shared" si="3"/>
        <v>#DIV/0!</v>
      </c>
      <c r="L114" s="47">
        <v>0</v>
      </c>
      <c r="M114" s="47">
        <v>0</v>
      </c>
      <c r="N114" s="47">
        <v>0</v>
      </c>
      <c r="O114" s="47">
        <f t="shared" si="4"/>
        <v>0</v>
      </c>
      <c r="P114" s="47">
        <v>1800</v>
      </c>
      <c r="Q114" s="47">
        <v>0</v>
      </c>
      <c r="R114" s="47">
        <f t="shared" si="5"/>
        <v>1800</v>
      </c>
      <c r="S114" s="47">
        <f t="shared" si="6"/>
        <v>0</v>
      </c>
      <c r="T114" s="47" t="e">
        <f t="shared" si="7"/>
        <v>#DIV/0!</v>
      </c>
      <c r="U114" s="48">
        <v>0</v>
      </c>
      <c r="V114" s="48">
        <v>0</v>
      </c>
      <c r="W114" s="48">
        <v>0</v>
      </c>
      <c r="X114" s="48">
        <f t="shared" si="8"/>
        <v>0</v>
      </c>
      <c r="Y114" s="48">
        <v>910</v>
      </c>
      <c r="Z114" s="48">
        <v>0</v>
      </c>
      <c r="AA114" s="48">
        <f t="shared" si="9"/>
        <v>910</v>
      </c>
      <c r="AB114" s="48">
        <f t="shared" si="10"/>
        <v>0</v>
      </c>
      <c r="AC114" s="48" t="e">
        <f t="shared" si="11"/>
        <v>#DIV/0!</v>
      </c>
      <c r="AD114" s="49">
        <v>0</v>
      </c>
      <c r="AE114" s="49">
        <v>0</v>
      </c>
      <c r="AF114" s="49">
        <v>0</v>
      </c>
      <c r="AG114" s="49">
        <f t="shared" si="48"/>
        <v>0</v>
      </c>
      <c r="AH114" s="49">
        <v>1200</v>
      </c>
      <c r="AI114" s="49">
        <v>0</v>
      </c>
      <c r="AJ114" s="49">
        <f t="shared" si="13"/>
        <v>1200</v>
      </c>
      <c r="AK114" s="49">
        <f t="shared" si="14"/>
        <v>0</v>
      </c>
      <c r="AL114" s="49" t="e">
        <f t="shared" si="15"/>
        <v>#DIV/0!</v>
      </c>
      <c r="AM114" s="50">
        <v>0</v>
      </c>
      <c r="AN114" s="50">
        <v>0</v>
      </c>
      <c r="AO114" s="50">
        <v>0</v>
      </c>
      <c r="AP114" s="50">
        <f t="shared" si="16"/>
        <v>0</v>
      </c>
      <c r="AQ114" s="50">
        <v>600</v>
      </c>
      <c r="AR114" s="50">
        <v>0</v>
      </c>
      <c r="AS114" s="50">
        <f t="shared" si="17"/>
        <v>600</v>
      </c>
      <c r="AT114" s="50">
        <f t="shared" si="18"/>
        <v>0</v>
      </c>
      <c r="AU114" s="50" t="e">
        <f t="shared" si="19"/>
        <v>#DIV/0!</v>
      </c>
      <c r="AV114" s="51">
        <v>0</v>
      </c>
      <c r="AW114" s="51">
        <v>0</v>
      </c>
      <c r="AX114" s="51">
        <v>0</v>
      </c>
      <c r="AY114" s="51">
        <f t="shared" si="20"/>
        <v>0</v>
      </c>
      <c r="AZ114" s="51">
        <v>1500</v>
      </c>
      <c r="BA114" s="51">
        <v>0</v>
      </c>
      <c r="BB114" s="51">
        <f t="shared" si="21"/>
        <v>1500</v>
      </c>
      <c r="BC114" s="51">
        <f t="shared" si="22"/>
        <v>0</v>
      </c>
      <c r="BD114" s="51" t="e">
        <f t="shared" si="23"/>
        <v>#DIV/0!</v>
      </c>
      <c r="BE114" s="52">
        <v>0</v>
      </c>
      <c r="BF114" s="52">
        <v>0</v>
      </c>
      <c r="BG114" s="52">
        <v>0</v>
      </c>
      <c r="BH114" s="52">
        <f t="shared" si="24"/>
        <v>0</v>
      </c>
      <c r="BI114" s="52">
        <v>750</v>
      </c>
      <c r="BJ114" s="52">
        <v>0</v>
      </c>
      <c r="BK114" s="52">
        <f t="shared" si="25"/>
        <v>750</v>
      </c>
      <c r="BL114" s="52">
        <f t="shared" si="26"/>
        <v>0</v>
      </c>
      <c r="BM114" s="52" t="e">
        <f t="shared" si="27"/>
        <v>#DIV/0!</v>
      </c>
      <c r="BN114" s="53">
        <v>0</v>
      </c>
      <c r="BO114" s="53">
        <v>0</v>
      </c>
      <c r="BP114" s="53">
        <v>0</v>
      </c>
      <c r="BQ114" s="53">
        <f t="shared" si="28"/>
        <v>0</v>
      </c>
      <c r="BR114" s="53">
        <v>2450</v>
      </c>
      <c r="BS114" s="53">
        <v>0</v>
      </c>
      <c r="BT114" s="53">
        <f t="shared" si="29"/>
        <v>2450</v>
      </c>
      <c r="BU114" s="53">
        <f t="shared" si="30"/>
        <v>0</v>
      </c>
      <c r="BV114" s="53" t="e">
        <f t="shared" si="31"/>
        <v>#DIV/0!</v>
      </c>
      <c r="BW114" s="54">
        <v>0</v>
      </c>
      <c r="BX114" s="54">
        <v>0</v>
      </c>
      <c r="BY114" s="54">
        <v>0</v>
      </c>
      <c r="BZ114" s="54">
        <f t="shared" si="32"/>
        <v>0</v>
      </c>
      <c r="CA114" s="54">
        <v>750</v>
      </c>
      <c r="CB114" s="54">
        <v>0</v>
      </c>
      <c r="CC114" s="54">
        <f t="shared" si="33"/>
        <v>750</v>
      </c>
      <c r="CD114" s="54">
        <f t="shared" si="34"/>
        <v>0</v>
      </c>
      <c r="CE114" s="54" t="e">
        <f t="shared" si="35"/>
        <v>#DIV/0!</v>
      </c>
      <c r="CF114" s="55">
        <v>0</v>
      </c>
      <c r="CG114" s="55">
        <v>0</v>
      </c>
      <c r="CH114" s="55">
        <v>0</v>
      </c>
      <c r="CI114" s="55">
        <f t="shared" si="36"/>
        <v>0</v>
      </c>
      <c r="CJ114" s="55">
        <v>730</v>
      </c>
      <c r="CK114" s="55">
        <v>0</v>
      </c>
      <c r="CL114" s="55">
        <f t="shared" si="37"/>
        <v>730</v>
      </c>
      <c r="CM114" s="55">
        <f t="shared" si="38"/>
        <v>0</v>
      </c>
      <c r="CN114" s="55" t="e">
        <f t="shared" si="39"/>
        <v>#DIV/0!</v>
      </c>
      <c r="CO114" s="56">
        <v>0</v>
      </c>
      <c r="CP114" s="56">
        <v>0</v>
      </c>
      <c r="CQ114" s="56">
        <v>0</v>
      </c>
      <c r="CR114" s="56">
        <f t="shared" si="40"/>
        <v>0</v>
      </c>
      <c r="CS114" s="56">
        <v>730</v>
      </c>
      <c r="CT114" s="56">
        <v>0</v>
      </c>
      <c r="CU114" s="56">
        <f t="shared" si="41"/>
        <v>730</v>
      </c>
      <c r="CV114" s="56">
        <f t="shared" si="42"/>
        <v>0</v>
      </c>
      <c r="CW114" s="56" t="e">
        <f t="shared" si="43"/>
        <v>#DIV/0!</v>
      </c>
      <c r="CX114" s="57">
        <v>0</v>
      </c>
      <c r="CY114" s="57">
        <v>0</v>
      </c>
      <c r="CZ114" s="57">
        <v>0</v>
      </c>
      <c r="DA114" s="57">
        <f t="shared" si="44"/>
        <v>0</v>
      </c>
      <c r="DB114" s="57">
        <v>600</v>
      </c>
      <c r="DC114" s="57">
        <v>0</v>
      </c>
      <c r="DD114" s="57">
        <f t="shared" si="45"/>
        <v>600</v>
      </c>
      <c r="DE114" s="57">
        <f t="shared" si="46"/>
        <v>0</v>
      </c>
      <c r="DF114" s="57" t="e">
        <f t="shared" si="47"/>
        <v>#DIV/0!</v>
      </c>
    </row>
    <row r="115" spans="1:110" ht="14.25" customHeight="1">
      <c r="A115" s="59"/>
      <c r="B115" s="29"/>
      <c r="C115" s="45">
        <v>0</v>
      </c>
      <c r="D115" s="45">
        <v>0</v>
      </c>
      <c r="E115" s="45">
        <v>0</v>
      </c>
      <c r="F115" s="45">
        <f t="shared" si="0"/>
        <v>0</v>
      </c>
      <c r="G115" s="45">
        <v>900</v>
      </c>
      <c r="H115" s="45">
        <v>0</v>
      </c>
      <c r="I115" s="45">
        <f t="shared" si="1"/>
        <v>900</v>
      </c>
      <c r="J115" s="45">
        <f t="shared" si="2"/>
        <v>0</v>
      </c>
      <c r="K115" s="45" t="e">
        <f t="shared" si="3"/>
        <v>#DIV/0!</v>
      </c>
      <c r="L115" s="47">
        <v>0</v>
      </c>
      <c r="M115" s="47">
        <v>51</v>
      </c>
      <c r="N115" s="47">
        <v>1</v>
      </c>
      <c r="O115" s="47">
        <f t="shared" si="4"/>
        <v>50</v>
      </c>
      <c r="P115" s="47">
        <v>1800</v>
      </c>
      <c r="Q115" s="47">
        <v>200</v>
      </c>
      <c r="R115" s="47">
        <f t="shared" si="5"/>
        <v>1600</v>
      </c>
      <c r="S115" s="47">
        <f t="shared" si="6"/>
        <v>80000</v>
      </c>
      <c r="T115" s="47">
        <f t="shared" si="7"/>
        <v>1.9607843137254901</v>
      </c>
      <c r="U115" s="48">
        <v>0</v>
      </c>
      <c r="V115" s="48">
        <v>0</v>
      </c>
      <c r="W115" s="48">
        <v>0</v>
      </c>
      <c r="X115" s="48">
        <f t="shared" si="8"/>
        <v>0</v>
      </c>
      <c r="Y115" s="48">
        <v>910</v>
      </c>
      <c r="Z115" s="48">
        <v>0</v>
      </c>
      <c r="AA115" s="48">
        <f t="shared" si="9"/>
        <v>910</v>
      </c>
      <c r="AB115" s="48">
        <f t="shared" si="10"/>
        <v>0</v>
      </c>
      <c r="AC115" s="48" t="e">
        <f t="shared" si="11"/>
        <v>#DIV/0!</v>
      </c>
      <c r="AD115" s="49">
        <v>0</v>
      </c>
      <c r="AE115" s="49">
        <v>12</v>
      </c>
      <c r="AF115" s="49">
        <v>0</v>
      </c>
      <c r="AG115" s="49">
        <f t="shared" si="48"/>
        <v>12</v>
      </c>
      <c r="AH115" s="49">
        <v>1200</v>
      </c>
      <c r="AI115" s="49">
        <v>100</v>
      </c>
      <c r="AJ115" s="49">
        <f t="shared" si="13"/>
        <v>1100</v>
      </c>
      <c r="AK115" s="49">
        <f t="shared" si="14"/>
        <v>13200</v>
      </c>
      <c r="AL115" s="49">
        <f t="shared" si="15"/>
        <v>0</v>
      </c>
      <c r="AM115" s="50">
        <v>0</v>
      </c>
      <c r="AN115" s="50">
        <v>24</v>
      </c>
      <c r="AO115" s="50">
        <v>2</v>
      </c>
      <c r="AP115" s="50">
        <f t="shared" si="16"/>
        <v>22</v>
      </c>
      <c r="AQ115" s="50">
        <v>600</v>
      </c>
      <c r="AR115" s="50">
        <v>50</v>
      </c>
      <c r="AS115" s="50">
        <f t="shared" si="17"/>
        <v>550</v>
      </c>
      <c r="AT115" s="50">
        <f t="shared" si="18"/>
        <v>12100</v>
      </c>
      <c r="AU115" s="50">
        <f t="shared" si="19"/>
        <v>8.3333333333333321</v>
      </c>
      <c r="AV115" s="51">
        <v>0</v>
      </c>
      <c r="AW115" s="51">
        <v>0</v>
      </c>
      <c r="AX115" s="51">
        <v>0</v>
      </c>
      <c r="AY115" s="51">
        <f t="shared" si="20"/>
        <v>0</v>
      </c>
      <c r="AZ115" s="51">
        <v>1500</v>
      </c>
      <c r="BA115" s="51">
        <v>0</v>
      </c>
      <c r="BB115" s="51">
        <f t="shared" si="21"/>
        <v>1500</v>
      </c>
      <c r="BC115" s="51">
        <f t="shared" si="22"/>
        <v>0</v>
      </c>
      <c r="BD115" s="51" t="e">
        <f t="shared" si="23"/>
        <v>#DIV/0!</v>
      </c>
      <c r="BE115" s="52">
        <v>0</v>
      </c>
      <c r="BF115" s="52">
        <v>30</v>
      </c>
      <c r="BG115" s="52">
        <v>2</v>
      </c>
      <c r="BH115" s="52">
        <f t="shared" si="24"/>
        <v>28</v>
      </c>
      <c r="BI115" s="52">
        <v>750</v>
      </c>
      <c r="BJ115" s="52">
        <v>50</v>
      </c>
      <c r="BK115" s="52">
        <f t="shared" si="25"/>
        <v>700</v>
      </c>
      <c r="BL115" s="52">
        <f t="shared" si="26"/>
        <v>19600</v>
      </c>
      <c r="BM115" s="52">
        <f t="shared" si="27"/>
        <v>6.666666666666667</v>
      </c>
      <c r="BN115" s="53">
        <v>0</v>
      </c>
      <c r="BO115" s="53">
        <v>52</v>
      </c>
      <c r="BP115" s="53">
        <v>11</v>
      </c>
      <c r="BQ115" s="53">
        <f t="shared" si="28"/>
        <v>41</v>
      </c>
      <c r="BR115" s="53">
        <v>2450</v>
      </c>
      <c r="BS115" s="53">
        <v>350</v>
      </c>
      <c r="BT115" s="53">
        <f t="shared" si="29"/>
        <v>2100</v>
      </c>
      <c r="BU115" s="53">
        <f t="shared" si="30"/>
        <v>86100</v>
      </c>
      <c r="BV115" s="53">
        <f t="shared" si="31"/>
        <v>21.153846153846153</v>
      </c>
      <c r="BW115" s="54">
        <v>0</v>
      </c>
      <c r="BX115" s="54">
        <v>0</v>
      </c>
      <c r="BY115" s="54">
        <v>0</v>
      </c>
      <c r="BZ115" s="54">
        <f t="shared" si="32"/>
        <v>0</v>
      </c>
      <c r="CA115" s="54">
        <v>750</v>
      </c>
      <c r="CB115" s="54">
        <v>0</v>
      </c>
      <c r="CC115" s="54">
        <f t="shared" si="33"/>
        <v>750</v>
      </c>
      <c r="CD115" s="54">
        <f t="shared" si="34"/>
        <v>0</v>
      </c>
      <c r="CE115" s="54" t="e">
        <f t="shared" si="35"/>
        <v>#DIV/0!</v>
      </c>
      <c r="CF115" s="55">
        <v>0</v>
      </c>
      <c r="CG115" s="55">
        <v>0</v>
      </c>
      <c r="CH115" s="55">
        <v>0</v>
      </c>
      <c r="CI115" s="55">
        <f t="shared" si="36"/>
        <v>0</v>
      </c>
      <c r="CJ115" s="55">
        <v>730</v>
      </c>
      <c r="CK115" s="55">
        <v>0</v>
      </c>
      <c r="CL115" s="55">
        <f t="shared" si="37"/>
        <v>730</v>
      </c>
      <c r="CM115" s="55">
        <f t="shared" si="38"/>
        <v>0</v>
      </c>
      <c r="CN115" s="55" t="e">
        <f t="shared" si="39"/>
        <v>#DIV/0!</v>
      </c>
      <c r="CO115" s="56">
        <v>0</v>
      </c>
      <c r="CP115" s="56">
        <v>0</v>
      </c>
      <c r="CQ115" s="56">
        <v>0</v>
      </c>
      <c r="CR115" s="56">
        <f t="shared" si="40"/>
        <v>0</v>
      </c>
      <c r="CS115" s="56">
        <v>730</v>
      </c>
      <c r="CT115" s="56">
        <v>0</v>
      </c>
      <c r="CU115" s="56">
        <f t="shared" si="41"/>
        <v>730</v>
      </c>
      <c r="CV115" s="56">
        <f t="shared" si="42"/>
        <v>0</v>
      </c>
      <c r="CW115" s="56" t="e">
        <f t="shared" si="43"/>
        <v>#DIV/0!</v>
      </c>
      <c r="CX115" s="57">
        <v>0</v>
      </c>
      <c r="CY115" s="57">
        <v>0</v>
      </c>
      <c r="CZ115" s="57">
        <v>0</v>
      </c>
      <c r="DA115" s="57">
        <f t="shared" si="44"/>
        <v>0</v>
      </c>
      <c r="DB115" s="57">
        <v>600</v>
      </c>
      <c r="DC115" s="57">
        <v>0</v>
      </c>
      <c r="DD115" s="57">
        <f t="shared" si="45"/>
        <v>600</v>
      </c>
      <c r="DE115" s="57">
        <f t="shared" si="46"/>
        <v>0</v>
      </c>
      <c r="DF115" s="57" t="e">
        <f t="shared" si="47"/>
        <v>#DIV/0!</v>
      </c>
    </row>
    <row r="116" spans="1:110" ht="14.25" customHeight="1">
      <c r="A116" s="59"/>
      <c r="B116" s="29"/>
      <c r="C116" s="45">
        <v>0</v>
      </c>
      <c r="D116" s="45">
        <v>6</v>
      </c>
      <c r="E116" s="45">
        <v>0</v>
      </c>
      <c r="F116" s="45">
        <f t="shared" si="0"/>
        <v>6</v>
      </c>
      <c r="G116" s="45">
        <v>900</v>
      </c>
      <c r="H116" s="45">
        <v>80</v>
      </c>
      <c r="I116" s="45">
        <f t="shared" si="1"/>
        <v>820</v>
      </c>
      <c r="J116" s="45">
        <f t="shared" si="2"/>
        <v>4920</v>
      </c>
      <c r="K116" s="45">
        <f t="shared" si="3"/>
        <v>0</v>
      </c>
      <c r="L116" s="47">
        <v>0</v>
      </c>
      <c r="M116" s="47">
        <v>51</v>
      </c>
      <c r="N116" s="47">
        <v>0</v>
      </c>
      <c r="O116" s="47">
        <f t="shared" si="4"/>
        <v>51</v>
      </c>
      <c r="P116" s="47">
        <v>1800</v>
      </c>
      <c r="Q116" s="47">
        <v>160</v>
      </c>
      <c r="R116" s="47">
        <f t="shared" si="5"/>
        <v>1640</v>
      </c>
      <c r="S116" s="47">
        <f t="shared" si="6"/>
        <v>83640</v>
      </c>
      <c r="T116" s="47">
        <f t="shared" si="7"/>
        <v>0</v>
      </c>
      <c r="U116" s="48">
        <v>0</v>
      </c>
      <c r="V116" s="48">
        <v>0</v>
      </c>
      <c r="W116" s="48">
        <v>0</v>
      </c>
      <c r="X116" s="48">
        <f t="shared" si="8"/>
        <v>0</v>
      </c>
      <c r="Y116" s="48">
        <v>910</v>
      </c>
      <c r="Z116" s="48">
        <v>0</v>
      </c>
      <c r="AA116" s="48">
        <f t="shared" si="9"/>
        <v>910</v>
      </c>
      <c r="AB116" s="48">
        <f t="shared" si="10"/>
        <v>0</v>
      </c>
      <c r="AC116" s="48" t="e">
        <f t="shared" si="11"/>
        <v>#DIV/0!</v>
      </c>
      <c r="AD116" s="49">
        <v>0</v>
      </c>
      <c r="AE116" s="49">
        <v>12</v>
      </c>
      <c r="AF116" s="49">
        <v>6</v>
      </c>
      <c r="AG116" s="49">
        <f t="shared" si="48"/>
        <v>6</v>
      </c>
      <c r="AH116" s="49">
        <v>1200</v>
      </c>
      <c r="AI116" s="49">
        <v>80</v>
      </c>
      <c r="AJ116" s="49">
        <f t="shared" si="13"/>
        <v>1120</v>
      </c>
      <c r="AK116" s="49">
        <f t="shared" si="14"/>
        <v>6720</v>
      </c>
      <c r="AL116" s="49">
        <f t="shared" si="15"/>
        <v>50</v>
      </c>
      <c r="AM116" s="50">
        <v>0</v>
      </c>
      <c r="AN116" s="50">
        <v>6</v>
      </c>
      <c r="AO116" s="50">
        <v>0</v>
      </c>
      <c r="AP116" s="50">
        <f t="shared" si="16"/>
        <v>6</v>
      </c>
      <c r="AQ116" s="50">
        <v>600</v>
      </c>
      <c r="AR116" s="50">
        <v>40</v>
      </c>
      <c r="AS116" s="50">
        <f t="shared" si="17"/>
        <v>560</v>
      </c>
      <c r="AT116" s="50">
        <f t="shared" si="18"/>
        <v>3360</v>
      </c>
      <c r="AU116" s="50">
        <f t="shared" si="19"/>
        <v>0</v>
      </c>
      <c r="AV116" s="51">
        <v>0</v>
      </c>
      <c r="AW116" s="51">
        <v>0</v>
      </c>
      <c r="AX116" s="51">
        <v>0</v>
      </c>
      <c r="AY116" s="51">
        <f t="shared" si="20"/>
        <v>0</v>
      </c>
      <c r="AZ116" s="51">
        <v>1500</v>
      </c>
      <c r="BA116" s="51">
        <v>0</v>
      </c>
      <c r="BB116" s="51">
        <f t="shared" si="21"/>
        <v>1500</v>
      </c>
      <c r="BC116" s="51">
        <f t="shared" si="22"/>
        <v>0</v>
      </c>
      <c r="BD116" s="51" t="e">
        <f t="shared" si="23"/>
        <v>#DIV/0!</v>
      </c>
      <c r="BE116" s="52">
        <v>0</v>
      </c>
      <c r="BF116" s="52">
        <v>12</v>
      </c>
      <c r="BG116" s="52">
        <v>6</v>
      </c>
      <c r="BH116" s="52">
        <f t="shared" si="24"/>
        <v>6</v>
      </c>
      <c r="BI116" s="52">
        <v>750</v>
      </c>
      <c r="BJ116" s="52">
        <v>40</v>
      </c>
      <c r="BK116" s="52">
        <f t="shared" si="25"/>
        <v>710</v>
      </c>
      <c r="BL116" s="52">
        <f t="shared" si="26"/>
        <v>4260</v>
      </c>
      <c r="BM116" s="52">
        <f t="shared" si="27"/>
        <v>50</v>
      </c>
      <c r="BN116" s="53">
        <v>0</v>
      </c>
      <c r="BO116" s="53">
        <v>44</v>
      </c>
      <c r="BP116" s="53">
        <v>12</v>
      </c>
      <c r="BQ116" s="53">
        <f t="shared" si="28"/>
        <v>32</v>
      </c>
      <c r="BR116" s="53">
        <v>2450</v>
      </c>
      <c r="BS116" s="53">
        <v>350</v>
      </c>
      <c r="BT116" s="53">
        <f t="shared" si="29"/>
        <v>2100</v>
      </c>
      <c r="BU116" s="53">
        <f t="shared" si="30"/>
        <v>67200</v>
      </c>
      <c r="BV116" s="53">
        <f t="shared" si="31"/>
        <v>27.27272727272727</v>
      </c>
      <c r="BW116" s="54">
        <v>0</v>
      </c>
      <c r="BX116" s="54">
        <v>0</v>
      </c>
      <c r="BY116" s="54">
        <v>0</v>
      </c>
      <c r="BZ116" s="54">
        <f t="shared" si="32"/>
        <v>0</v>
      </c>
      <c r="CA116" s="54">
        <v>750</v>
      </c>
      <c r="CB116" s="54">
        <v>0</v>
      </c>
      <c r="CC116" s="54">
        <f t="shared" si="33"/>
        <v>750</v>
      </c>
      <c r="CD116" s="54">
        <f t="shared" si="34"/>
        <v>0</v>
      </c>
      <c r="CE116" s="54" t="e">
        <f t="shared" si="35"/>
        <v>#DIV/0!</v>
      </c>
      <c r="CF116" s="55">
        <v>0</v>
      </c>
      <c r="CG116" s="55">
        <v>0</v>
      </c>
      <c r="CH116" s="55">
        <v>0</v>
      </c>
      <c r="CI116" s="55">
        <f t="shared" si="36"/>
        <v>0</v>
      </c>
      <c r="CJ116" s="55">
        <v>730</v>
      </c>
      <c r="CK116" s="55">
        <v>0</v>
      </c>
      <c r="CL116" s="55">
        <f t="shared" si="37"/>
        <v>730</v>
      </c>
      <c r="CM116" s="55">
        <f t="shared" si="38"/>
        <v>0</v>
      </c>
      <c r="CN116" s="55" t="e">
        <f t="shared" si="39"/>
        <v>#DIV/0!</v>
      </c>
      <c r="CO116" s="56">
        <v>0</v>
      </c>
      <c r="CP116" s="56">
        <v>0</v>
      </c>
      <c r="CQ116" s="56">
        <v>0</v>
      </c>
      <c r="CR116" s="56">
        <f t="shared" si="40"/>
        <v>0</v>
      </c>
      <c r="CS116" s="56">
        <v>730</v>
      </c>
      <c r="CT116" s="56">
        <v>0</v>
      </c>
      <c r="CU116" s="56">
        <f t="shared" si="41"/>
        <v>730</v>
      </c>
      <c r="CV116" s="56">
        <f t="shared" si="42"/>
        <v>0</v>
      </c>
      <c r="CW116" s="56" t="e">
        <f t="shared" si="43"/>
        <v>#DIV/0!</v>
      </c>
      <c r="CX116" s="57">
        <v>0</v>
      </c>
      <c r="CY116" s="57">
        <v>0</v>
      </c>
      <c r="CZ116" s="57">
        <v>0</v>
      </c>
      <c r="DA116" s="57">
        <f t="shared" si="44"/>
        <v>0</v>
      </c>
      <c r="DB116" s="57">
        <v>600</v>
      </c>
      <c r="DC116" s="57">
        <v>0</v>
      </c>
      <c r="DD116" s="57">
        <f t="shared" si="45"/>
        <v>600</v>
      </c>
      <c r="DE116" s="57">
        <f t="shared" si="46"/>
        <v>0</v>
      </c>
      <c r="DF116" s="57" t="e">
        <f t="shared" si="47"/>
        <v>#DIV/0!</v>
      </c>
    </row>
    <row r="117" spans="1:110" ht="14.25" customHeight="1">
      <c r="A117" s="59"/>
      <c r="B117" s="29"/>
      <c r="C117" s="45">
        <v>0</v>
      </c>
      <c r="D117" s="45">
        <v>0</v>
      </c>
      <c r="E117" s="45">
        <v>0</v>
      </c>
      <c r="F117" s="45">
        <f t="shared" si="0"/>
        <v>0</v>
      </c>
      <c r="G117" s="45">
        <v>900</v>
      </c>
      <c r="H117" s="45">
        <v>0</v>
      </c>
      <c r="I117" s="45">
        <f t="shared" si="1"/>
        <v>900</v>
      </c>
      <c r="J117" s="45">
        <f t="shared" si="2"/>
        <v>0</v>
      </c>
      <c r="K117" s="45" t="e">
        <f t="shared" si="3"/>
        <v>#DIV/0!</v>
      </c>
      <c r="L117" s="47">
        <v>0</v>
      </c>
      <c r="M117" s="47">
        <v>0</v>
      </c>
      <c r="N117" s="47">
        <v>0</v>
      </c>
      <c r="O117" s="47">
        <f t="shared" si="4"/>
        <v>0</v>
      </c>
      <c r="P117" s="47">
        <v>1800</v>
      </c>
      <c r="Q117" s="47">
        <v>0</v>
      </c>
      <c r="R117" s="47">
        <f t="shared" si="5"/>
        <v>1800</v>
      </c>
      <c r="S117" s="47">
        <f t="shared" si="6"/>
        <v>0</v>
      </c>
      <c r="T117" s="47" t="e">
        <f t="shared" si="7"/>
        <v>#DIV/0!</v>
      </c>
      <c r="U117" s="48">
        <v>0</v>
      </c>
      <c r="V117" s="48">
        <v>0</v>
      </c>
      <c r="W117" s="48">
        <v>0</v>
      </c>
      <c r="X117" s="48">
        <f t="shared" si="8"/>
        <v>0</v>
      </c>
      <c r="Y117" s="48">
        <v>910</v>
      </c>
      <c r="Z117" s="48">
        <v>0</v>
      </c>
      <c r="AA117" s="48">
        <f t="shared" si="9"/>
        <v>910</v>
      </c>
      <c r="AB117" s="48">
        <f t="shared" si="10"/>
        <v>0</v>
      </c>
      <c r="AC117" s="48" t="e">
        <f t="shared" si="11"/>
        <v>#DIV/0!</v>
      </c>
      <c r="AD117" s="49">
        <v>0</v>
      </c>
      <c r="AE117" s="49">
        <v>0</v>
      </c>
      <c r="AF117" s="49">
        <v>0</v>
      </c>
      <c r="AG117" s="49">
        <f t="shared" si="48"/>
        <v>0</v>
      </c>
      <c r="AH117" s="49">
        <v>1200</v>
      </c>
      <c r="AI117" s="49">
        <v>0</v>
      </c>
      <c r="AJ117" s="49">
        <f t="shared" si="13"/>
        <v>1200</v>
      </c>
      <c r="AK117" s="49">
        <f t="shared" si="14"/>
        <v>0</v>
      </c>
      <c r="AL117" s="49" t="e">
        <f t="shared" si="15"/>
        <v>#DIV/0!</v>
      </c>
      <c r="AM117" s="50">
        <v>0</v>
      </c>
      <c r="AN117" s="50">
        <v>0</v>
      </c>
      <c r="AO117" s="50">
        <v>0</v>
      </c>
      <c r="AP117" s="50">
        <f t="shared" si="16"/>
        <v>0</v>
      </c>
      <c r="AQ117" s="50">
        <v>600</v>
      </c>
      <c r="AR117" s="50">
        <v>0</v>
      </c>
      <c r="AS117" s="50">
        <f t="shared" si="17"/>
        <v>600</v>
      </c>
      <c r="AT117" s="50">
        <f t="shared" si="18"/>
        <v>0</v>
      </c>
      <c r="AU117" s="50" t="e">
        <f t="shared" si="19"/>
        <v>#DIV/0!</v>
      </c>
      <c r="AV117" s="51">
        <v>0</v>
      </c>
      <c r="AW117" s="51">
        <v>0</v>
      </c>
      <c r="AX117" s="51">
        <v>0</v>
      </c>
      <c r="AY117" s="51">
        <f t="shared" si="20"/>
        <v>0</v>
      </c>
      <c r="AZ117" s="51">
        <v>1500</v>
      </c>
      <c r="BA117" s="51">
        <v>0</v>
      </c>
      <c r="BB117" s="51">
        <f t="shared" si="21"/>
        <v>1500</v>
      </c>
      <c r="BC117" s="51">
        <f t="shared" si="22"/>
        <v>0</v>
      </c>
      <c r="BD117" s="51" t="e">
        <f t="shared" si="23"/>
        <v>#DIV/0!</v>
      </c>
      <c r="BE117" s="52">
        <v>0</v>
      </c>
      <c r="BF117" s="52">
        <v>0</v>
      </c>
      <c r="BG117" s="52">
        <v>0</v>
      </c>
      <c r="BH117" s="52">
        <f t="shared" si="24"/>
        <v>0</v>
      </c>
      <c r="BI117" s="52">
        <v>750</v>
      </c>
      <c r="BJ117" s="52">
        <v>0</v>
      </c>
      <c r="BK117" s="52">
        <f t="shared" si="25"/>
        <v>750</v>
      </c>
      <c r="BL117" s="52">
        <f t="shared" si="26"/>
        <v>0</v>
      </c>
      <c r="BM117" s="52" t="e">
        <f t="shared" si="27"/>
        <v>#DIV/0!</v>
      </c>
      <c r="BN117" s="53">
        <v>0</v>
      </c>
      <c r="BO117" s="53">
        <v>0</v>
      </c>
      <c r="BP117" s="53">
        <v>0</v>
      </c>
      <c r="BQ117" s="53">
        <f t="shared" si="28"/>
        <v>0</v>
      </c>
      <c r="BR117" s="53">
        <v>2450</v>
      </c>
      <c r="BS117" s="53">
        <v>0</v>
      </c>
      <c r="BT117" s="53">
        <f t="shared" si="29"/>
        <v>2450</v>
      </c>
      <c r="BU117" s="53">
        <f t="shared" si="30"/>
        <v>0</v>
      </c>
      <c r="BV117" s="53" t="e">
        <f t="shared" si="31"/>
        <v>#DIV/0!</v>
      </c>
      <c r="BW117" s="54">
        <v>0</v>
      </c>
      <c r="BX117" s="54">
        <v>0</v>
      </c>
      <c r="BY117" s="54">
        <v>0</v>
      </c>
      <c r="BZ117" s="54">
        <f t="shared" si="32"/>
        <v>0</v>
      </c>
      <c r="CA117" s="54">
        <v>750</v>
      </c>
      <c r="CB117" s="54">
        <v>0</v>
      </c>
      <c r="CC117" s="54">
        <f t="shared" si="33"/>
        <v>750</v>
      </c>
      <c r="CD117" s="54">
        <f t="shared" si="34"/>
        <v>0</v>
      </c>
      <c r="CE117" s="54" t="e">
        <f t="shared" si="35"/>
        <v>#DIV/0!</v>
      </c>
      <c r="CF117" s="55">
        <v>0</v>
      </c>
      <c r="CG117" s="55">
        <v>0</v>
      </c>
      <c r="CH117" s="55">
        <v>0</v>
      </c>
      <c r="CI117" s="55">
        <f t="shared" si="36"/>
        <v>0</v>
      </c>
      <c r="CJ117" s="55">
        <v>730</v>
      </c>
      <c r="CK117" s="55">
        <v>0</v>
      </c>
      <c r="CL117" s="55">
        <f t="shared" si="37"/>
        <v>730</v>
      </c>
      <c r="CM117" s="55">
        <f t="shared" si="38"/>
        <v>0</v>
      </c>
      <c r="CN117" s="55" t="e">
        <f t="shared" si="39"/>
        <v>#DIV/0!</v>
      </c>
      <c r="CO117" s="56">
        <v>0</v>
      </c>
      <c r="CP117" s="56">
        <v>0</v>
      </c>
      <c r="CQ117" s="56">
        <v>0</v>
      </c>
      <c r="CR117" s="56">
        <f t="shared" si="40"/>
        <v>0</v>
      </c>
      <c r="CS117" s="56">
        <v>730</v>
      </c>
      <c r="CT117" s="56">
        <v>0</v>
      </c>
      <c r="CU117" s="56">
        <f t="shared" si="41"/>
        <v>730</v>
      </c>
      <c r="CV117" s="56">
        <f t="shared" si="42"/>
        <v>0</v>
      </c>
      <c r="CW117" s="56" t="e">
        <f t="shared" si="43"/>
        <v>#DIV/0!</v>
      </c>
      <c r="CX117" s="57">
        <v>0</v>
      </c>
      <c r="CY117" s="57">
        <v>0</v>
      </c>
      <c r="CZ117" s="57">
        <v>0</v>
      </c>
      <c r="DA117" s="57">
        <f t="shared" si="44"/>
        <v>0</v>
      </c>
      <c r="DB117" s="57">
        <v>600</v>
      </c>
      <c r="DC117" s="57">
        <v>0</v>
      </c>
      <c r="DD117" s="57">
        <f t="shared" si="45"/>
        <v>600</v>
      </c>
      <c r="DE117" s="57">
        <f t="shared" si="46"/>
        <v>0</v>
      </c>
      <c r="DF117" s="57" t="e">
        <f t="shared" si="47"/>
        <v>#DIV/0!</v>
      </c>
    </row>
    <row r="118" spans="1:110" ht="14.25" customHeight="1">
      <c r="A118" s="59"/>
      <c r="B118" s="29"/>
      <c r="C118" s="45">
        <v>0</v>
      </c>
      <c r="D118" s="45">
        <v>0</v>
      </c>
      <c r="E118" s="45">
        <v>0</v>
      </c>
      <c r="F118" s="45">
        <f t="shared" si="0"/>
        <v>0</v>
      </c>
      <c r="G118" s="45">
        <v>900</v>
      </c>
      <c r="H118" s="45">
        <v>0</v>
      </c>
      <c r="I118" s="45">
        <f t="shared" si="1"/>
        <v>900</v>
      </c>
      <c r="J118" s="45">
        <f t="shared" si="2"/>
        <v>0</v>
      </c>
      <c r="K118" s="45" t="e">
        <f t="shared" si="3"/>
        <v>#DIV/0!</v>
      </c>
      <c r="L118" s="47">
        <v>0</v>
      </c>
      <c r="M118" s="47">
        <v>0</v>
      </c>
      <c r="N118" s="47">
        <v>0</v>
      </c>
      <c r="O118" s="47">
        <f t="shared" si="4"/>
        <v>0</v>
      </c>
      <c r="P118" s="47">
        <v>1800</v>
      </c>
      <c r="Q118" s="47">
        <v>0</v>
      </c>
      <c r="R118" s="47">
        <f t="shared" si="5"/>
        <v>1800</v>
      </c>
      <c r="S118" s="47">
        <f t="shared" si="6"/>
        <v>0</v>
      </c>
      <c r="T118" s="47" t="e">
        <f t="shared" si="7"/>
        <v>#DIV/0!</v>
      </c>
      <c r="U118" s="48">
        <v>0</v>
      </c>
      <c r="V118" s="48">
        <v>0</v>
      </c>
      <c r="W118" s="48">
        <v>0</v>
      </c>
      <c r="X118" s="48">
        <f t="shared" si="8"/>
        <v>0</v>
      </c>
      <c r="Y118" s="48">
        <v>910</v>
      </c>
      <c r="Z118" s="48">
        <v>0</v>
      </c>
      <c r="AA118" s="48">
        <f t="shared" si="9"/>
        <v>910</v>
      </c>
      <c r="AB118" s="48">
        <f t="shared" si="10"/>
        <v>0</v>
      </c>
      <c r="AC118" s="48" t="e">
        <f t="shared" si="11"/>
        <v>#DIV/0!</v>
      </c>
      <c r="AD118" s="49">
        <v>0</v>
      </c>
      <c r="AE118" s="49">
        <v>0</v>
      </c>
      <c r="AF118" s="49">
        <v>0</v>
      </c>
      <c r="AG118" s="49">
        <f t="shared" si="48"/>
        <v>0</v>
      </c>
      <c r="AH118" s="49">
        <v>1200</v>
      </c>
      <c r="AI118" s="49">
        <v>0</v>
      </c>
      <c r="AJ118" s="49">
        <f t="shared" si="13"/>
        <v>1200</v>
      </c>
      <c r="AK118" s="49">
        <f t="shared" si="14"/>
        <v>0</v>
      </c>
      <c r="AL118" s="49" t="e">
        <f t="shared" si="15"/>
        <v>#DIV/0!</v>
      </c>
      <c r="AM118" s="50">
        <v>0</v>
      </c>
      <c r="AN118" s="50">
        <v>0</v>
      </c>
      <c r="AO118" s="50">
        <v>0</v>
      </c>
      <c r="AP118" s="50">
        <f t="shared" si="16"/>
        <v>0</v>
      </c>
      <c r="AQ118" s="50">
        <v>600</v>
      </c>
      <c r="AR118" s="50">
        <v>0</v>
      </c>
      <c r="AS118" s="50">
        <f t="shared" si="17"/>
        <v>600</v>
      </c>
      <c r="AT118" s="50">
        <f t="shared" si="18"/>
        <v>0</v>
      </c>
      <c r="AU118" s="50" t="e">
        <f t="shared" si="19"/>
        <v>#DIV/0!</v>
      </c>
      <c r="AV118" s="51">
        <v>0</v>
      </c>
      <c r="AW118" s="51">
        <v>0</v>
      </c>
      <c r="AX118" s="51">
        <v>0</v>
      </c>
      <c r="AY118" s="51">
        <f t="shared" si="20"/>
        <v>0</v>
      </c>
      <c r="AZ118" s="51">
        <v>1500</v>
      </c>
      <c r="BA118" s="51">
        <v>0</v>
      </c>
      <c r="BB118" s="51">
        <f t="shared" si="21"/>
        <v>1500</v>
      </c>
      <c r="BC118" s="51">
        <f t="shared" si="22"/>
        <v>0</v>
      </c>
      <c r="BD118" s="51" t="e">
        <f t="shared" si="23"/>
        <v>#DIV/0!</v>
      </c>
      <c r="BE118" s="52">
        <v>0</v>
      </c>
      <c r="BF118" s="52">
        <v>0</v>
      </c>
      <c r="BG118" s="52">
        <v>0</v>
      </c>
      <c r="BH118" s="52">
        <f t="shared" si="24"/>
        <v>0</v>
      </c>
      <c r="BI118" s="52">
        <v>750</v>
      </c>
      <c r="BJ118" s="52">
        <v>0</v>
      </c>
      <c r="BK118" s="52">
        <f t="shared" si="25"/>
        <v>750</v>
      </c>
      <c r="BL118" s="52">
        <f t="shared" si="26"/>
        <v>0</v>
      </c>
      <c r="BM118" s="52" t="e">
        <f t="shared" si="27"/>
        <v>#DIV/0!</v>
      </c>
      <c r="BN118" s="53">
        <v>0</v>
      </c>
      <c r="BO118" s="53">
        <v>0</v>
      </c>
      <c r="BP118" s="53">
        <v>0</v>
      </c>
      <c r="BQ118" s="53">
        <f t="shared" si="28"/>
        <v>0</v>
      </c>
      <c r="BR118" s="53">
        <v>2450</v>
      </c>
      <c r="BS118" s="53">
        <v>0</v>
      </c>
      <c r="BT118" s="53">
        <f t="shared" si="29"/>
        <v>2450</v>
      </c>
      <c r="BU118" s="53">
        <f t="shared" si="30"/>
        <v>0</v>
      </c>
      <c r="BV118" s="53" t="e">
        <f t="shared" si="31"/>
        <v>#DIV/0!</v>
      </c>
      <c r="BW118" s="54">
        <v>0</v>
      </c>
      <c r="BX118" s="54">
        <v>0</v>
      </c>
      <c r="BY118" s="54">
        <v>0</v>
      </c>
      <c r="BZ118" s="54">
        <f t="shared" si="32"/>
        <v>0</v>
      </c>
      <c r="CA118" s="54">
        <v>750</v>
      </c>
      <c r="CB118" s="54">
        <v>0</v>
      </c>
      <c r="CC118" s="54">
        <f t="shared" si="33"/>
        <v>750</v>
      </c>
      <c r="CD118" s="54">
        <f t="shared" si="34"/>
        <v>0</v>
      </c>
      <c r="CE118" s="54" t="e">
        <f t="shared" si="35"/>
        <v>#DIV/0!</v>
      </c>
      <c r="CF118" s="55">
        <v>0</v>
      </c>
      <c r="CG118" s="55">
        <v>0</v>
      </c>
      <c r="CH118" s="55">
        <v>0</v>
      </c>
      <c r="CI118" s="55">
        <f t="shared" si="36"/>
        <v>0</v>
      </c>
      <c r="CJ118" s="55">
        <v>730</v>
      </c>
      <c r="CK118" s="55">
        <v>0</v>
      </c>
      <c r="CL118" s="55">
        <f t="shared" si="37"/>
        <v>730</v>
      </c>
      <c r="CM118" s="55">
        <f t="shared" si="38"/>
        <v>0</v>
      </c>
      <c r="CN118" s="55" t="e">
        <f t="shared" si="39"/>
        <v>#DIV/0!</v>
      </c>
      <c r="CO118" s="56">
        <v>0</v>
      </c>
      <c r="CP118" s="56">
        <v>0</v>
      </c>
      <c r="CQ118" s="56">
        <v>0</v>
      </c>
      <c r="CR118" s="56">
        <f t="shared" si="40"/>
        <v>0</v>
      </c>
      <c r="CS118" s="56">
        <v>730</v>
      </c>
      <c r="CT118" s="56">
        <v>0</v>
      </c>
      <c r="CU118" s="56">
        <f t="shared" si="41"/>
        <v>730</v>
      </c>
      <c r="CV118" s="56">
        <f t="shared" si="42"/>
        <v>0</v>
      </c>
      <c r="CW118" s="56" t="e">
        <f t="shared" si="43"/>
        <v>#DIV/0!</v>
      </c>
      <c r="CX118" s="57">
        <v>0</v>
      </c>
      <c r="CY118" s="57">
        <v>0</v>
      </c>
      <c r="CZ118" s="57">
        <v>0</v>
      </c>
      <c r="DA118" s="57">
        <f t="shared" si="44"/>
        <v>0</v>
      </c>
      <c r="DB118" s="57">
        <v>600</v>
      </c>
      <c r="DC118" s="57">
        <v>0</v>
      </c>
      <c r="DD118" s="57">
        <f t="shared" si="45"/>
        <v>600</v>
      </c>
      <c r="DE118" s="57">
        <f t="shared" si="46"/>
        <v>0</v>
      </c>
      <c r="DF118" s="57" t="e">
        <f t="shared" si="47"/>
        <v>#DIV/0!</v>
      </c>
    </row>
    <row r="119" spans="1:110" ht="14.25" customHeight="1">
      <c r="A119" s="59"/>
      <c r="B119" s="29"/>
      <c r="C119" s="45">
        <v>0</v>
      </c>
      <c r="D119" s="45">
        <v>0</v>
      </c>
      <c r="E119" s="45">
        <v>0</v>
      </c>
      <c r="F119" s="45">
        <f t="shared" si="0"/>
        <v>0</v>
      </c>
      <c r="G119" s="45">
        <v>900</v>
      </c>
      <c r="H119" s="45">
        <v>0</v>
      </c>
      <c r="I119" s="45">
        <f t="shared" si="1"/>
        <v>900</v>
      </c>
      <c r="J119" s="45">
        <f t="shared" si="2"/>
        <v>0</v>
      </c>
      <c r="K119" s="45" t="e">
        <f t="shared" si="3"/>
        <v>#DIV/0!</v>
      </c>
      <c r="L119" s="47">
        <v>0</v>
      </c>
      <c r="M119" s="47">
        <v>0</v>
      </c>
      <c r="N119" s="47">
        <v>0</v>
      </c>
      <c r="O119" s="47">
        <f t="shared" si="4"/>
        <v>0</v>
      </c>
      <c r="P119" s="47">
        <v>1800</v>
      </c>
      <c r="Q119" s="47">
        <v>0</v>
      </c>
      <c r="R119" s="47">
        <f t="shared" si="5"/>
        <v>1800</v>
      </c>
      <c r="S119" s="47">
        <f t="shared" si="6"/>
        <v>0</v>
      </c>
      <c r="T119" s="47" t="e">
        <f t="shared" si="7"/>
        <v>#DIV/0!</v>
      </c>
      <c r="U119" s="48">
        <v>0</v>
      </c>
      <c r="V119" s="48">
        <v>0</v>
      </c>
      <c r="W119" s="48">
        <v>0</v>
      </c>
      <c r="X119" s="48">
        <f t="shared" si="8"/>
        <v>0</v>
      </c>
      <c r="Y119" s="48">
        <v>910</v>
      </c>
      <c r="Z119" s="48">
        <v>0</v>
      </c>
      <c r="AA119" s="48">
        <f t="shared" si="9"/>
        <v>910</v>
      </c>
      <c r="AB119" s="48">
        <f t="shared" si="10"/>
        <v>0</v>
      </c>
      <c r="AC119" s="48" t="e">
        <f t="shared" si="11"/>
        <v>#DIV/0!</v>
      </c>
      <c r="AD119" s="49">
        <v>0</v>
      </c>
      <c r="AE119" s="49">
        <v>0</v>
      </c>
      <c r="AF119" s="49">
        <v>0</v>
      </c>
      <c r="AG119" s="49">
        <f t="shared" si="48"/>
        <v>0</v>
      </c>
      <c r="AH119" s="49">
        <v>1200</v>
      </c>
      <c r="AI119" s="49">
        <v>0</v>
      </c>
      <c r="AJ119" s="49">
        <f t="shared" si="13"/>
        <v>1200</v>
      </c>
      <c r="AK119" s="49">
        <f t="shared" si="14"/>
        <v>0</v>
      </c>
      <c r="AL119" s="49" t="e">
        <f t="shared" si="15"/>
        <v>#DIV/0!</v>
      </c>
      <c r="AM119" s="50">
        <v>0</v>
      </c>
      <c r="AN119" s="50">
        <v>0</v>
      </c>
      <c r="AO119" s="50">
        <v>0</v>
      </c>
      <c r="AP119" s="50">
        <f t="shared" si="16"/>
        <v>0</v>
      </c>
      <c r="AQ119" s="50">
        <v>600</v>
      </c>
      <c r="AR119" s="50">
        <v>0</v>
      </c>
      <c r="AS119" s="50">
        <f t="shared" si="17"/>
        <v>600</v>
      </c>
      <c r="AT119" s="50">
        <f t="shared" si="18"/>
        <v>0</v>
      </c>
      <c r="AU119" s="50" t="e">
        <f t="shared" si="19"/>
        <v>#DIV/0!</v>
      </c>
      <c r="AV119" s="51">
        <v>0</v>
      </c>
      <c r="AW119" s="51">
        <v>0</v>
      </c>
      <c r="AX119" s="51">
        <v>0</v>
      </c>
      <c r="AY119" s="51">
        <f t="shared" si="20"/>
        <v>0</v>
      </c>
      <c r="AZ119" s="51">
        <v>1500</v>
      </c>
      <c r="BA119" s="51">
        <v>0</v>
      </c>
      <c r="BB119" s="51">
        <f t="shared" si="21"/>
        <v>1500</v>
      </c>
      <c r="BC119" s="51">
        <f t="shared" si="22"/>
        <v>0</v>
      </c>
      <c r="BD119" s="51" t="e">
        <f t="shared" si="23"/>
        <v>#DIV/0!</v>
      </c>
      <c r="BE119" s="52">
        <v>0</v>
      </c>
      <c r="BF119" s="52">
        <v>0</v>
      </c>
      <c r="BG119" s="52">
        <v>0</v>
      </c>
      <c r="BH119" s="52">
        <f t="shared" si="24"/>
        <v>0</v>
      </c>
      <c r="BI119" s="52">
        <v>750</v>
      </c>
      <c r="BJ119" s="52">
        <v>0</v>
      </c>
      <c r="BK119" s="52">
        <f t="shared" si="25"/>
        <v>750</v>
      </c>
      <c r="BL119" s="52">
        <f t="shared" si="26"/>
        <v>0</v>
      </c>
      <c r="BM119" s="52" t="e">
        <f t="shared" si="27"/>
        <v>#DIV/0!</v>
      </c>
      <c r="BN119" s="53">
        <v>0</v>
      </c>
      <c r="BO119" s="53">
        <v>0</v>
      </c>
      <c r="BP119" s="53">
        <v>0</v>
      </c>
      <c r="BQ119" s="53">
        <f t="shared" si="28"/>
        <v>0</v>
      </c>
      <c r="BR119" s="53">
        <v>2450</v>
      </c>
      <c r="BS119" s="53">
        <v>0</v>
      </c>
      <c r="BT119" s="53">
        <f t="shared" si="29"/>
        <v>2450</v>
      </c>
      <c r="BU119" s="53">
        <f t="shared" si="30"/>
        <v>0</v>
      </c>
      <c r="BV119" s="53" t="e">
        <f t="shared" si="31"/>
        <v>#DIV/0!</v>
      </c>
      <c r="BW119" s="54">
        <v>0</v>
      </c>
      <c r="BX119" s="54">
        <v>0</v>
      </c>
      <c r="BY119" s="54">
        <v>0</v>
      </c>
      <c r="BZ119" s="54">
        <f t="shared" si="32"/>
        <v>0</v>
      </c>
      <c r="CA119" s="54">
        <v>750</v>
      </c>
      <c r="CB119" s="54">
        <v>0</v>
      </c>
      <c r="CC119" s="54">
        <f t="shared" si="33"/>
        <v>750</v>
      </c>
      <c r="CD119" s="54">
        <f t="shared" si="34"/>
        <v>0</v>
      </c>
      <c r="CE119" s="54" t="e">
        <f t="shared" si="35"/>
        <v>#DIV/0!</v>
      </c>
      <c r="CF119" s="55">
        <v>0</v>
      </c>
      <c r="CG119" s="55">
        <v>0</v>
      </c>
      <c r="CH119" s="55">
        <v>0</v>
      </c>
      <c r="CI119" s="55">
        <f t="shared" si="36"/>
        <v>0</v>
      </c>
      <c r="CJ119" s="55">
        <v>730</v>
      </c>
      <c r="CK119" s="55">
        <v>0</v>
      </c>
      <c r="CL119" s="55">
        <f t="shared" si="37"/>
        <v>730</v>
      </c>
      <c r="CM119" s="55">
        <f t="shared" si="38"/>
        <v>0</v>
      </c>
      <c r="CN119" s="55" t="e">
        <f t="shared" si="39"/>
        <v>#DIV/0!</v>
      </c>
      <c r="CO119" s="56">
        <v>0</v>
      </c>
      <c r="CP119" s="56">
        <v>0</v>
      </c>
      <c r="CQ119" s="56">
        <v>0</v>
      </c>
      <c r="CR119" s="56">
        <f t="shared" si="40"/>
        <v>0</v>
      </c>
      <c r="CS119" s="56">
        <v>730</v>
      </c>
      <c r="CT119" s="56">
        <v>0</v>
      </c>
      <c r="CU119" s="56">
        <f t="shared" si="41"/>
        <v>730</v>
      </c>
      <c r="CV119" s="56">
        <f t="shared" si="42"/>
        <v>0</v>
      </c>
      <c r="CW119" s="56" t="e">
        <f t="shared" si="43"/>
        <v>#DIV/0!</v>
      </c>
      <c r="CX119" s="57">
        <v>0</v>
      </c>
      <c r="CY119" s="57">
        <v>0</v>
      </c>
      <c r="CZ119" s="57">
        <v>0</v>
      </c>
      <c r="DA119" s="57">
        <f t="shared" si="44"/>
        <v>0</v>
      </c>
      <c r="DB119" s="57">
        <v>600</v>
      </c>
      <c r="DC119" s="57">
        <v>0</v>
      </c>
      <c r="DD119" s="57">
        <f t="shared" si="45"/>
        <v>600</v>
      </c>
      <c r="DE119" s="57">
        <f t="shared" si="46"/>
        <v>0</v>
      </c>
      <c r="DF119" s="57" t="e">
        <f t="shared" si="47"/>
        <v>#DIV/0!</v>
      </c>
    </row>
    <row r="123" spans="1:110" ht="15" customHeight="1">
      <c r="E123" s="120" t="s">
        <v>43</v>
      </c>
      <c r="F123">
        <v>800</v>
      </c>
      <c r="N123" s="120" t="s">
        <v>43</v>
      </c>
      <c r="O123">
        <v>1700</v>
      </c>
      <c r="W123" s="120" t="s">
        <v>43</v>
      </c>
      <c r="AG123" s="120" t="s">
        <v>43</v>
      </c>
      <c r="AH123">
        <v>1000</v>
      </c>
      <c r="AP123" s="120" t="s">
        <v>43</v>
      </c>
      <c r="AQ123">
        <v>500</v>
      </c>
      <c r="AX123" s="120" t="s">
        <v>43</v>
      </c>
      <c r="AY123">
        <v>1300</v>
      </c>
      <c r="BG123" s="120" t="s">
        <v>43</v>
      </c>
      <c r="BH123">
        <v>700</v>
      </c>
      <c r="BP123" s="120" t="s">
        <v>43</v>
      </c>
      <c r="BQ123">
        <v>2300</v>
      </c>
      <c r="BZ123" s="120" t="s">
        <v>43</v>
      </c>
      <c r="CA123">
        <v>710</v>
      </c>
      <c r="CG123" s="120" t="s">
        <v>43</v>
      </c>
      <c r="CH123">
        <v>660</v>
      </c>
      <c r="CQ123" s="120" t="s">
        <v>43</v>
      </c>
      <c r="CR123">
        <v>650</v>
      </c>
      <c r="CX123" s="120" t="s">
        <v>43</v>
      </c>
      <c r="CY123">
        <v>500</v>
      </c>
    </row>
  </sheetData>
  <autoFilter ref="A2:CC119" xr:uid="{00000000-0009-0000-0000-000001000000}"/>
  <mergeCells count="12">
    <mergeCell ref="BN1:BV1"/>
    <mergeCell ref="BW1:CE1"/>
    <mergeCell ref="CF1:CN1"/>
    <mergeCell ref="CO1:CW1"/>
    <mergeCell ref="CX1:DF1"/>
    <mergeCell ref="AV1:BD1"/>
    <mergeCell ref="BE1:BM1"/>
    <mergeCell ref="C1:K1"/>
    <mergeCell ref="L1:T1"/>
    <mergeCell ref="U1:AC1"/>
    <mergeCell ref="AD1:AL1"/>
    <mergeCell ref="AM1:AU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F27"/>
  <sheetViews>
    <sheetView workbookViewId="0">
      <pane ySplit="2" topLeftCell="A15" activePane="bottomLeft" state="frozen"/>
      <selection pane="bottomLeft" activeCell="A27" sqref="A27:CY27"/>
    </sheetView>
  </sheetViews>
  <sheetFormatPr defaultColWidth="14.44140625" defaultRowHeight="15" customHeight="1"/>
  <cols>
    <col min="1" max="1" width="33.88671875" customWidth="1"/>
    <col min="2" max="2" width="22.5546875" customWidth="1"/>
    <col min="3" max="3" width="15.6640625" customWidth="1"/>
    <col min="4" max="4" width="9.88671875" customWidth="1"/>
    <col min="5" max="5" width="8.33203125" customWidth="1"/>
    <col min="6" max="6" width="17" customWidth="1"/>
    <col min="7" max="7" width="12.33203125" customWidth="1"/>
    <col min="8" max="8" width="8" customWidth="1"/>
    <col min="9" max="9" width="12.44140625" customWidth="1"/>
    <col min="10" max="10" width="15.44140625" customWidth="1"/>
    <col min="11" max="11" width="15.33203125" customWidth="1"/>
    <col min="12" max="12" width="9.6640625" customWidth="1"/>
    <col min="13" max="13" width="9.109375" customWidth="1"/>
    <col min="14" max="14" width="6" customWidth="1"/>
    <col min="15" max="15" width="3.5546875" customWidth="1"/>
    <col min="16" max="16" width="9.33203125" customWidth="1"/>
    <col min="17" max="17" width="15" customWidth="1"/>
    <col min="18" max="18" width="15.44140625" customWidth="1"/>
    <col min="19" max="25" width="12" customWidth="1"/>
    <col min="26" max="26" width="15.44140625" customWidth="1"/>
    <col min="27" max="33" width="12" customWidth="1"/>
    <col min="34" max="34" width="15.44140625" customWidth="1"/>
    <col min="35" max="37" width="14.88671875" customWidth="1"/>
    <col min="38" max="38" width="15" customWidth="1"/>
    <col min="39" max="39" width="7.5546875" customWidth="1"/>
    <col min="40" max="40" width="8.33203125" customWidth="1"/>
    <col min="41" max="41" width="12.6640625" customWidth="1"/>
    <col min="42" max="42" width="15.6640625" customWidth="1"/>
    <col min="43" max="50" width="12.6640625" customWidth="1"/>
    <col min="51" max="53" width="8.6640625" customWidth="1"/>
    <col min="54" max="54" width="15.5546875" customWidth="1"/>
    <col min="55" max="55" width="8.6640625" customWidth="1"/>
    <col min="56" max="56" width="8.33203125" customWidth="1"/>
    <col min="57" max="58" width="12.6640625" customWidth="1"/>
    <col min="59" max="61" width="8.6640625" customWidth="1"/>
    <col min="62" max="62" width="15.5546875" customWidth="1"/>
    <col min="63" max="67" width="8.6640625" customWidth="1"/>
    <col min="68" max="68" width="9.88671875" customWidth="1"/>
    <col min="69" max="71" width="8.6640625" customWidth="1"/>
    <col min="72" max="72" width="9.44140625" customWidth="1"/>
    <col min="73" max="73" width="15.33203125" customWidth="1"/>
    <col min="74" max="74" width="15.6640625" customWidth="1"/>
    <col min="75" max="81" width="8.6640625" customWidth="1"/>
    <col min="82" max="82" width="15.6640625" customWidth="1"/>
    <col min="83" max="83" width="8.6640625" customWidth="1"/>
    <col min="84" max="84" width="9.88671875" customWidth="1"/>
    <col min="85" max="85" width="9.109375" customWidth="1"/>
    <col min="86" max="88" width="8.6640625" customWidth="1"/>
    <col min="89" max="89" width="15.33203125" customWidth="1"/>
    <col min="90" max="110" width="15.6640625" customWidth="1"/>
  </cols>
  <sheetData>
    <row r="1" spans="1:110" ht="14.25" customHeight="1">
      <c r="A1" s="43"/>
      <c r="B1" s="44"/>
      <c r="C1" s="141" t="s">
        <v>0</v>
      </c>
      <c r="D1" s="138"/>
      <c r="E1" s="138"/>
      <c r="F1" s="138"/>
      <c r="G1" s="138"/>
      <c r="H1" s="138"/>
      <c r="I1" s="138"/>
      <c r="J1" s="138"/>
      <c r="K1" s="139"/>
      <c r="L1" s="142" t="s">
        <v>1</v>
      </c>
      <c r="M1" s="138"/>
      <c r="N1" s="138"/>
      <c r="O1" s="138"/>
      <c r="P1" s="138"/>
      <c r="Q1" s="138"/>
      <c r="R1" s="138"/>
      <c r="S1" s="138"/>
      <c r="T1" s="139"/>
      <c r="U1" s="143" t="s">
        <v>2</v>
      </c>
      <c r="V1" s="138"/>
      <c r="W1" s="138"/>
      <c r="X1" s="138"/>
      <c r="Y1" s="138"/>
      <c r="Z1" s="138"/>
      <c r="AA1" s="138"/>
      <c r="AB1" s="138"/>
      <c r="AC1" s="139"/>
      <c r="AD1" s="144" t="s">
        <v>3</v>
      </c>
      <c r="AE1" s="138"/>
      <c r="AF1" s="138"/>
      <c r="AG1" s="138"/>
      <c r="AH1" s="138"/>
      <c r="AI1" s="138"/>
      <c r="AJ1" s="138"/>
      <c r="AK1" s="138"/>
      <c r="AL1" s="139"/>
      <c r="AM1" s="145" t="s">
        <v>4</v>
      </c>
      <c r="AN1" s="138"/>
      <c r="AO1" s="138"/>
      <c r="AP1" s="138"/>
      <c r="AQ1" s="138"/>
      <c r="AR1" s="138"/>
      <c r="AS1" s="138"/>
      <c r="AT1" s="138"/>
      <c r="AU1" s="139"/>
      <c r="AV1" s="137" t="s">
        <v>5</v>
      </c>
      <c r="AW1" s="138"/>
      <c r="AX1" s="138"/>
      <c r="AY1" s="138"/>
      <c r="AZ1" s="138"/>
      <c r="BA1" s="138"/>
      <c r="BB1" s="138"/>
      <c r="BC1" s="138"/>
      <c r="BD1" s="139"/>
      <c r="BE1" s="140" t="s">
        <v>6</v>
      </c>
      <c r="BF1" s="138"/>
      <c r="BG1" s="138"/>
      <c r="BH1" s="138"/>
      <c r="BI1" s="138"/>
      <c r="BJ1" s="138"/>
      <c r="BK1" s="138"/>
      <c r="BL1" s="138"/>
      <c r="BM1" s="139"/>
      <c r="BN1" s="146" t="s">
        <v>7</v>
      </c>
      <c r="BO1" s="138"/>
      <c r="BP1" s="138"/>
      <c r="BQ1" s="138"/>
      <c r="BR1" s="138"/>
      <c r="BS1" s="138"/>
      <c r="BT1" s="138"/>
      <c r="BU1" s="138"/>
      <c r="BV1" s="139"/>
      <c r="BW1" s="147" t="s">
        <v>8</v>
      </c>
      <c r="BX1" s="138"/>
      <c r="BY1" s="138"/>
      <c r="BZ1" s="138"/>
      <c r="CA1" s="138"/>
      <c r="CB1" s="138"/>
      <c r="CC1" s="138"/>
      <c r="CD1" s="138"/>
      <c r="CE1" s="139"/>
      <c r="CF1" s="148" t="s">
        <v>9</v>
      </c>
      <c r="CG1" s="138"/>
      <c r="CH1" s="138"/>
      <c r="CI1" s="138"/>
      <c r="CJ1" s="138"/>
      <c r="CK1" s="138"/>
      <c r="CL1" s="138"/>
      <c r="CM1" s="138"/>
      <c r="CN1" s="139"/>
      <c r="CO1" s="135" t="s">
        <v>10</v>
      </c>
      <c r="CP1" s="124"/>
      <c r="CQ1" s="124"/>
      <c r="CR1" s="124"/>
      <c r="CS1" s="124"/>
      <c r="CT1" s="124"/>
      <c r="CU1" s="124"/>
      <c r="CV1" s="124"/>
      <c r="CW1" s="125"/>
      <c r="CX1" s="149" t="s">
        <v>11</v>
      </c>
      <c r="CY1" s="138"/>
      <c r="CZ1" s="138"/>
      <c r="DA1" s="138"/>
      <c r="DB1" s="138"/>
      <c r="DC1" s="138"/>
      <c r="DD1" s="138"/>
      <c r="DE1" s="138"/>
      <c r="DF1" s="150"/>
    </row>
    <row r="2" spans="1:110" ht="14.25" customHeight="1">
      <c r="A2" s="61" t="s">
        <v>12</v>
      </c>
      <c r="B2" s="62" t="s">
        <v>23</v>
      </c>
      <c r="C2" s="63" t="s">
        <v>14</v>
      </c>
      <c r="D2" s="63" t="s">
        <v>15</v>
      </c>
      <c r="E2" s="63" t="s">
        <v>16</v>
      </c>
      <c r="F2" s="64" t="s">
        <v>17</v>
      </c>
      <c r="G2" s="64" t="s">
        <v>18</v>
      </c>
      <c r="H2" s="64" t="s">
        <v>19</v>
      </c>
      <c r="I2" s="64" t="s">
        <v>20</v>
      </c>
      <c r="J2" s="63" t="s">
        <v>21</v>
      </c>
      <c r="K2" s="63" t="s">
        <v>22</v>
      </c>
      <c r="L2" s="65" t="s">
        <v>14</v>
      </c>
      <c r="M2" s="65" t="s">
        <v>15</v>
      </c>
      <c r="N2" s="65" t="s">
        <v>16</v>
      </c>
      <c r="O2" s="66" t="s">
        <v>17</v>
      </c>
      <c r="P2" s="66" t="s">
        <v>18</v>
      </c>
      <c r="Q2" s="66" t="s">
        <v>19</v>
      </c>
      <c r="R2" s="66" t="s">
        <v>20</v>
      </c>
      <c r="S2" s="65" t="s">
        <v>21</v>
      </c>
      <c r="T2" s="65" t="s">
        <v>22</v>
      </c>
      <c r="U2" s="67" t="s">
        <v>14</v>
      </c>
      <c r="V2" s="67" t="s">
        <v>15</v>
      </c>
      <c r="W2" s="67" t="s">
        <v>16</v>
      </c>
      <c r="X2" s="68" t="s">
        <v>17</v>
      </c>
      <c r="Y2" s="68" t="s">
        <v>18</v>
      </c>
      <c r="Z2" s="68" t="s">
        <v>19</v>
      </c>
      <c r="AA2" s="68" t="s">
        <v>20</v>
      </c>
      <c r="AB2" s="67" t="s">
        <v>21</v>
      </c>
      <c r="AC2" s="67" t="s">
        <v>22</v>
      </c>
      <c r="AD2" s="69" t="s">
        <v>14</v>
      </c>
      <c r="AE2" s="69" t="s">
        <v>15</v>
      </c>
      <c r="AF2" s="69" t="s">
        <v>16</v>
      </c>
      <c r="AG2" s="70" t="s">
        <v>17</v>
      </c>
      <c r="AH2" s="70" t="s">
        <v>18</v>
      </c>
      <c r="AI2" s="70" t="s">
        <v>19</v>
      </c>
      <c r="AJ2" s="70" t="s">
        <v>20</v>
      </c>
      <c r="AK2" s="69" t="s">
        <v>21</v>
      </c>
      <c r="AL2" s="69" t="s">
        <v>22</v>
      </c>
      <c r="AM2" s="71" t="s">
        <v>14</v>
      </c>
      <c r="AN2" s="71" t="s">
        <v>15</v>
      </c>
      <c r="AO2" s="71" t="s">
        <v>16</v>
      </c>
      <c r="AP2" s="72" t="s">
        <v>17</v>
      </c>
      <c r="AQ2" s="72" t="s">
        <v>18</v>
      </c>
      <c r="AR2" s="72" t="s">
        <v>19</v>
      </c>
      <c r="AS2" s="72" t="s">
        <v>20</v>
      </c>
      <c r="AT2" s="71" t="s">
        <v>21</v>
      </c>
      <c r="AU2" s="71" t="s">
        <v>22</v>
      </c>
      <c r="AV2" s="73" t="s">
        <v>14</v>
      </c>
      <c r="AW2" s="73" t="s">
        <v>15</v>
      </c>
      <c r="AX2" s="73" t="s">
        <v>16</v>
      </c>
      <c r="AY2" s="74" t="s">
        <v>17</v>
      </c>
      <c r="AZ2" s="74" t="s">
        <v>18</v>
      </c>
      <c r="BA2" s="74" t="s">
        <v>19</v>
      </c>
      <c r="BB2" s="74" t="s">
        <v>20</v>
      </c>
      <c r="BC2" s="73" t="s">
        <v>21</v>
      </c>
      <c r="BD2" s="73" t="s">
        <v>22</v>
      </c>
      <c r="BE2" s="75" t="s">
        <v>14</v>
      </c>
      <c r="BF2" s="75" t="s">
        <v>15</v>
      </c>
      <c r="BG2" s="75" t="s">
        <v>16</v>
      </c>
      <c r="BH2" s="76" t="s">
        <v>17</v>
      </c>
      <c r="BI2" s="76" t="s">
        <v>18</v>
      </c>
      <c r="BJ2" s="76" t="s">
        <v>19</v>
      </c>
      <c r="BK2" s="76" t="s">
        <v>20</v>
      </c>
      <c r="BL2" s="75" t="s">
        <v>21</v>
      </c>
      <c r="BM2" s="75" t="s">
        <v>22</v>
      </c>
      <c r="BN2" s="77" t="s">
        <v>14</v>
      </c>
      <c r="BO2" s="77" t="s">
        <v>15</v>
      </c>
      <c r="BP2" s="77" t="s">
        <v>16</v>
      </c>
      <c r="BQ2" s="78" t="s">
        <v>17</v>
      </c>
      <c r="BR2" s="78" t="s">
        <v>18</v>
      </c>
      <c r="BS2" s="78" t="s">
        <v>19</v>
      </c>
      <c r="BT2" s="78" t="s">
        <v>20</v>
      </c>
      <c r="BU2" s="77" t="s">
        <v>21</v>
      </c>
      <c r="BV2" s="77" t="s">
        <v>22</v>
      </c>
      <c r="BW2" s="79" t="s">
        <v>14</v>
      </c>
      <c r="BX2" s="79" t="s">
        <v>15</v>
      </c>
      <c r="BY2" s="79" t="s">
        <v>16</v>
      </c>
      <c r="BZ2" s="80" t="s">
        <v>17</v>
      </c>
      <c r="CA2" s="80" t="s">
        <v>18</v>
      </c>
      <c r="CB2" s="80" t="s">
        <v>19</v>
      </c>
      <c r="CC2" s="80" t="s">
        <v>20</v>
      </c>
      <c r="CD2" s="79" t="s">
        <v>21</v>
      </c>
      <c r="CE2" s="79" t="s">
        <v>22</v>
      </c>
      <c r="CF2" s="81" t="s">
        <v>14</v>
      </c>
      <c r="CG2" s="81" t="s">
        <v>15</v>
      </c>
      <c r="CH2" s="81" t="s">
        <v>16</v>
      </c>
      <c r="CI2" s="82" t="s">
        <v>17</v>
      </c>
      <c r="CJ2" s="82" t="s">
        <v>18</v>
      </c>
      <c r="CK2" s="82" t="s">
        <v>19</v>
      </c>
      <c r="CL2" s="82" t="s">
        <v>20</v>
      </c>
      <c r="CM2" s="81" t="s">
        <v>21</v>
      </c>
      <c r="CN2" s="81" t="s">
        <v>22</v>
      </c>
      <c r="CO2" s="24" t="s">
        <v>14</v>
      </c>
      <c r="CP2" s="24" t="s">
        <v>15</v>
      </c>
      <c r="CQ2" s="24" t="s">
        <v>16</v>
      </c>
      <c r="CR2" s="25" t="s">
        <v>17</v>
      </c>
      <c r="CS2" s="25" t="s">
        <v>18</v>
      </c>
      <c r="CT2" s="25" t="s">
        <v>19</v>
      </c>
      <c r="CU2" s="25" t="s">
        <v>20</v>
      </c>
      <c r="CV2" s="24" t="s">
        <v>21</v>
      </c>
      <c r="CW2" s="24" t="s">
        <v>22</v>
      </c>
      <c r="CX2" s="83" t="s">
        <v>14</v>
      </c>
      <c r="CY2" s="83" t="s">
        <v>15</v>
      </c>
      <c r="CZ2" s="83" t="s">
        <v>16</v>
      </c>
      <c r="DA2" s="84" t="s">
        <v>17</v>
      </c>
      <c r="DB2" s="84" t="s">
        <v>18</v>
      </c>
      <c r="DC2" s="84" t="s">
        <v>19</v>
      </c>
      <c r="DD2" s="84" t="s">
        <v>20</v>
      </c>
      <c r="DE2" s="83" t="s">
        <v>21</v>
      </c>
      <c r="DF2" s="85" t="s">
        <v>22</v>
      </c>
    </row>
    <row r="3" spans="1:110" ht="26.25" customHeight="1">
      <c r="A3" s="60"/>
      <c r="B3" s="44"/>
      <c r="C3" s="45">
        <v>0</v>
      </c>
      <c r="D3" s="45">
        <v>0</v>
      </c>
      <c r="E3" s="45">
        <v>0</v>
      </c>
      <c r="F3" s="45">
        <f t="shared" ref="F3:F25" si="0">D3-E3</f>
        <v>0</v>
      </c>
      <c r="G3" s="45">
        <v>900</v>
      </c>
      <c r="H3" s="45">
        <v>0</v>
      </c>
      <c r="I3" s="45">
        <f t="shared" ref="I3:I25" si="1">G3-H3</f>
        <v>900</v>
      </c>
      <c r="J3" s="45">
        <f t="shared" ref="J3:J25" si="2">I3*F3</f>
        <v>0</v>
      </c>
      <c r="K3" s="45" t="e">
        <f t="shared" ref="K3:K25" si="3">(E3/D3)*100</f>
        <v>#DIV/0!</v>
      </c>
      <c r="L3" s="47">
        <v>0</v>
      </c>
      <c r="M3" s="47">
        <v>0</v>
      </c>
      <c r="N3" s="47">
        <v>0</v>
      </c>
      <c r="O3" s="47">
        <f t="shared" ref="O3:O25" si="4">M3-N3</f>
        <v>0</v>
      </c>
      <c r="P3" s="47">
        <v>1800</v>
      </c>
      <c r="Q3" s="47">
        <v>0</v>
      </c>
      <c r="R3" s="47">
        <f t="shared" ref="R3:R25" si="5">P3-Q3</f>
        <v>1800</v>
      </c>
      <c r="S3" s="47">
        <f t="shared" ref="S3:S25" si="6">R3*O3</f>
        <v>0</v>
      </c>
      <c r="T3" s="47" t="e">
        <f t="shared" ref="T3:T25" si="7">(N3/M3)*100</f>
        <v>#DIV/0!</v>
      </c>
      <c r="U3" s="48">
        <v>0</v>
      </c>
      <c r="V3" s="48">
        <v>0</v>
      </c>
      <c r="W3" s="48">
        <v>0</v>
      </c>
      <c r="X3" s="48">
        <f t="shared" ref="X3:X25" si="8">V3-W3</f>
        <v>0</v>
      </c>
      <c r="Y3" s="48">
        <v>910</v>
      </c>
      <c r="Z3" s="48">
        <v>0</v>
      </c>
      <c r="AA3" s="48">
        <f t="shared" ref="AA3:AA25" si="9">Y3-Z3</f>
        <v>910</v>
      </c>
      <c r="AB3" s="48">
        <f t="shared" ref="AB3:AB25" si="10">AA3*X3</f>
        <v>0</v>
      </c>
      <c r="AC3" s="48" t="e">
        <f t="shared" ref="AC3:AC25" si="11">(W3/V3)*100</f>
        <v>#DIV/0!</v>
      </c>
      <c r="AD3" s="49">
        <v>0</v>
      </c>
      <c r="AE3" s="49">
        <v>0</v>
      </c>
      <c r="AF3" s="49">
        <v>0</v>
      </c>
      <c r="AG3" s="49">
        <f t="shared" ref="AG3:AG25" si="12">AE3-AF3</f>
        <v>0</v>
      </c>
      <c r="AH3" s="49">
        <v>1200</v>
      </c>
      <c r="AI3" s="49">
        <v>0</v>
      </c>
      <c r="AJ3" s="49">
        <f t="shared" ref="AJ3:AJ25" si="13">AH3-AI3</f>
        <v>1200</v>
      </c>
      <c r="AK3" s="49">
        <f t="shared" ref="AK3:AK25" si="14">AJ3*AG3</f>
        <v>0</v>
      </c>
      <c r="AL3" s="49" t="e">
        <f t="shared" ref="AL3:AL25" si="15">(AF3/AE3)*100</f>
        <v>#DIV/0!</v>
      </c>
      <c r="AM3" s="50">
        <v>0</v>
      </c>
      <c r="AN3" s="50">
        <v>0</v>
      </c>
      <c r="AO3" s="50">
        <v>0</v>
      </c>
      <c r="AP3" s="50">
        <f t="shared" ref="AP3:AP25" si="16">AN3-AO3</f>
        <v>0</v>
      </c>
      <c r="AQ3" s="50">
        <v>600</v>
      </c>
      <c r="AR3" s="50">
        <v>0</v>
      </c>
      <c r="AS3" s="50">
        <f t="shared" ref="AS3:AS25" si="17">AQ3-AR3</f>
        <v>600</v>
      </c>
      <c r="AT3" s="50">
        <f t="shared" ref="AT3:AT25" si="18">AS3*AP3</f>
        <v>0</v>
      </c>
      <c r="AU3" s="50" t="e">
        <f t="shared" ref="AU3:AU25" si="19">(AO3/AN3)*100</f>
        <v>#DIV/0!</v>
      </c>
      <c r="AV3" s="51">
        <v>0</v>
      </c>
      <c r="AW3" s="51">
        <v>0</v>
      </c>
      <c r="AX3" s="51">
        <v>0</v>
      </c>
      <c r="AY3" s="51">
        <f t="shared" ref="AY3:AY25" si="20">AW3-AX3</f>
        <v>0</v>
      </c>
      <c r="AZ3" s="51">
        <v>1500</v>
      </c>
      <c r="BA3" s="51">
        <v>0</v>
      </c>
      <c r="BB3" s="51">
        <f t="shared" ref="BB3:BB25" si="21">AZ3-BA3</f>
        <v>1500</v>
      </c>
      <c r="BC3" s="51">
        <f t="shared" ref="BC3:BC25" si="22">BB3*AY3</f>
        <v>0</v>
      </c>
      <c r="BD3" s="51" t="e">
        <f t="shared" ref="BD3:BD25" si="23">(AX3/AW3)*100</f>
        <v>#DIV/0!</v>
      </c>
      <c r="BE3" s="52">
        <v>0</v>
      </c>
      <c r="BF3" s="52">
        <v>0</v>
      </c>
      <c r="BG3" s="52">
        <v>0</v>
      </c>
      <c r="BH3" s="52">
        <f t="shared" ref="BH3:BH25" si="24">BF3-BG3</f>
        <v>0</v>
      </c>
      <c r="BI3" s="52">
        <v>750</v>
      </c>
      <c r="BJ3" s="52">
        <v>0</v>
      </c>
      <c r="BK3" s="52">
        <f t="shared" ref="BK3:BK25" si="25">BI3-BJ3</f>
        <v>750</v>
      </c>
      <c r="BL3" s="52">
        <f t="shared" ref="BL3:BL25" si="26">BK3*BH3</f>
        <v>0</v>
      </c>
      <c r="BM3" s="52" t="e">
        <f t="shared" ref="BM3:BM25" si="27">(BG3/BF3)*100</f>
        <v>#DIV/0!</v>
      </c>
      <c r="BN3" s="53">
        <v>0</v>
      </c>
      <c r="BO3" s="53">
        <v>0</v>
      </c>
      <c r="BP3" s="53">
        <v>0</v>
      </c>
      <c r="BQ3" s="53">
        <f t="shared" ref="BQ3:BQ25" si="28">BO3-BP3</f>
        <v>0</v>
      </c>
      <c r="BR3" s="53">
        <v>2450</v>
      </c>
      <c r="BS3" s="53">
        <v>0</v>
      </c>
      <c r="BT3" s="53">
        <f t="shared" ref="BT3:BT25" si="29">BR3-BS3</f>
        <v>2450</v>
      </c>
      <c r="BU3" s="53">
        <f t="shared" ref="BU3:BU25" si="30">BT3*BQ3</f>
        <v>0</v>
      </c>
      <c r="BV3" s="53" t="e">
        <f t="shared" ref="BV3:BV25" si="31">(BP3/BO3)*100</f>
        <v>#DIV/0!</v>
      </c>
      <c r="BW3" s="54">
        <v>0</v>
      </c>
      <c r="BX3" s="54">
        <v>0</v>
      </c>
      <c r="BY3" s="54">
        <v>0</v>
      </c>
      <c r="BZ3" s="54">
        <f t="shared" ref="BZ3:BZ25" si="32">BX3-BY3</f>
        <v>0</v>
      </c>
      <c r="CA3" s="54">
        <v>750</v>
      </c>
      <c r="CB3" s="54">
        <v>0</v>
      </c>
      <c r="CC3" s="54">
        <f t="shared" ref="CC3:CC25" si="33">CA3-CB3</f>
        <v>750</v>
      </c>
      <c r="CD3" s="54">
        <f t="shared" ref="CD3:CD25" si="34">CC3*BZ3</f>
        <v>0</v>
      </c>
      <c r="CE3" s="54" t="e">
        <f t="shared" ref="CE3:CE25" si="35">(BY3/BX3)*100</f>
        <v>#DIV/0!</v>
      </c>
      <c r="CF3" s="55">
        <v>0</v>
      </c>
      <c r="CG3" s="55">
        <v>0</v>
      </c>
      <c r="CH3" s="55">
        <v>0</v>
      </c>
      <c r="CI3" s="55">
        <f t="shared" ref="CI3:CI25" si="36">CG3-CH3</f>
        <v>0</v>
      </c>
      <c r="CJ3" s="55">
        <v>730</v>
      </c>
      <c r="CK3" s="55">
        <v>0</v>
      </c>
      <c r="CL3" s="55">
        <f t="shared" ref="CL3:CL25" si="37">CJ3-CK3</f>
        <v>730</v>
      </c>
      <c r="CM3" s="55">
        <f t="shared" ref="CM3:CM25" si="38">CL3*CI3</f>
        <v>0</v>
      </c>
      <c r="CN3" s="55" t="e">
        <f t="shared" ref="CN3:CN25" si="39">(CH3/CG3)*100</f>
        <v>#DIV/0!</v>
      </c>
      <c r="CO3" s="41">
        <v>0</v>
      </c>
      <c r="CP3" s="41">
        <v>0</v>
      </c>
      <c r="CQ3" s="41">
        <v>0</v>
      </c>
      <c r="CR3" s="41">
        <f t="shared" ref="CR3:CR25" si="40">CP3-CQ3</f>
        <v>0</v>
      </c>
      <c r="CS3" s="41">
        <v>730</v>
      </c>
      <c r="CT3" s="41">
        <v>0</v>
      </c>
      <c r="CU3" s="41">
        <f t="shared" ref="CU3:CU25" si="41">CS3-CT3</f>
        <v>730</v>
      </c>
      <c r="CV3" s="41">
        <f t="shared" ref="CV3:CV25" si="42">CU3*CR3</f>
        <v>0</v>
      </c>
      <c r="CW3" s="41" t="e">
        <f t="shared" ref="CW3:CW25" si="43">(CQ3/CP3)*100</f>
        <v>#DIV/0!</v>
      </c>
      <c r="CX3" s="57">
        <v>0</v>
      </c>
      <c r="CY3" s="57">
        <v>0</v>
      </c>
      <c r="CZ3" s="57">
        <v>0</v>
      </c>
      <c r="DA3" s="57">
        <f t="shared" ref="DA3:DA25" si="44">CY3-CZ3</f>
        <v>0</v>
      </c>
      <c r="DB3" s="57">
        <v>600</v>
      </c>
      <c r="DC3" s="57">
        <v>0</v>
      </c>
      <c r="DD3" s="57">
        <f t="shared" ref="DD3:DD25" si="45">DB3-DC3</f>
        <v>600</v>
      </c>
      <c r="DE3" s="57">
        <f t="shared" ref="DE3:DE25" si="46">DD3*DA3</f>
        <v>0</v>
      </c>
      <c r="DF3" s="57" t="e">
        <f t="shared" ref="DF3:DF25" si="47">(CZ3/CY3)*100</f>
        <v>#DIV/0!</v>
      </c>
    </row>
    <row r="4" spans="1:110" ht="14.25" customHeight="1">
      <c r="A4" s="60"/>
      <c r="B4" s="44"/>
      <c r="C4" s="45">
        <v>0</v>
      </c>
      <c r="D4" s="45">
        <v>0</v>
      </c>
      <c r="E4" s="45">
        <v>0</v>
      </c>
      <c r="F4" s="45">
        <f t="shared" si="0"/>
        <v>0</v>
      </c>
      <c r="G4" s="45">
        <v>900</v>
      </c>
      <c r="H4" s="45">
        <v>0</v>
      </c>
      <c r="I4" s="45">
        <f t="shared" si="1"/>
        <v>900</v>
      </c>
      <c r="J4" s="45">
        <f t="shared" si="2"/>
        <v>0</v>
      </c>
      <c r="K4" s="45" t="e">
        <f t="shared" si="3"/>
        <v>#DIV/0!</v>
      </c>
      <c r="L4" s="47">
        <v>0</v>
      </c>
      <c r="M4" s="47">
        <v>0</v>
      </c>
      <c r="N4" s="47">
        <v>0</v>
      </c>
      <c r="O4" s="47">
        <f t="shared" si="4"/>
        <v>0</v>
      </c>
      <c r="P4" s="47">
        <v>1800</v>
      </c>
      <c r="Q4" s="47">
        <v>0</v>
      </c>
      <c r="R4" s="47">
        <f t="shared" si="5"/>
        <v>1800</v>
      </c>
      <c r="S4" s="47">
        <f t="shared" si="6"/>
        <v>0</v>
      </c>
      <c r="T4" s="47" t="e">
        <f t="shared" si="7"/>
        <v>#DIV/0!</v>
      </c>
      <c r="U4" s="48">
        <v>0</v>
      </c>
      <c r="V4" s="48">
        <v>0</v>
      </c>
      <c r="W4" s="48">
        <v>0</v>
      </c>
      <c r="X4" s="48">
        <f t="shared" si="8"/>
        <v>0</v>
      </c>
      <c r="Y4" s="48">
        <v>910</v>
      </c>
      <c r="Z4" s="48">
        <v>0</v>
      </c>
      <c r="AA4" s="48">
        <f t="shared" si="9"/>
        <v>910</v>
      </c>
      <c r="AB4" s="48">
        <f t="shared" si="10"/>
        <v>0</v>
      </c>
      <c r="AC4" s="48" t="e">
        <f t="shared" si="11"/>
        <v>#DIV/0!</v>
      </c>
      <c r="AD4" s="49">
        <v>0</v>
      </c>
      <c r="AE4" s="49">
        <v>0</v>
      </c>
      <c r="AF4" s="49">
        <v>0</v>
      </c>
      <c r="AG4" s="49">
        <f t="shared" si="12"/>
        <v>0</v>
      </c>
      <c r="AH4" s="49">
        <v>1200</v>
      </c>
      <c r="AI4" s="49">
        <v>0</v>
      </c>
      <c r="AJ4" s="49">
        <f t="shared" si="13"/>
        <v>1200</v>
      </c>
      <c r="AK4" s="49">
        <f t="shared" si="14"/>
        <v>0</v>
      </c>
      <c r="AL4" s="49" t="e">
        <f t="shared" si="15"/>
        <v>#DIV/0!</v>
      </c>
      <c r="AM4" s="50">
        <v>0</v>
      </c>
      <c r="AN4" s="50">
        <v>0</v>
      </c>
      <c r="AO4" s="50">
        <v>0</v>
      </c>
      <c r="AP4" s="50">
        <f t="shared" si="16"/>
        <v>0</v>
      </c>
      <c r="AQ4" s="50">
        <v>600</v>
      </c>
      <c r="AR4" s="50">
        <v>0</v>
      </c>
      <c r="AS4" s="50">
        <f t="shared" si="17"/>
        <v>600</v>
      </c>
      <c r="AT4" s="50">
        <f t="shared" si="18"/>
        <v>0</v>
      </c>
      <c r="AU4" s="50" t="e">
        <f t="shared" si="19"/>
        <v>#DIV/0!</v>
      </c>
      <c r="AV4" s="51">
        <v>0</v>
      </c>
      <c r="AW4" s="51">
        <v>0</v>
      </c>
      <c r="AX4" s="51">
        <v>0</v>
      </c>
      <c r="AY4" s="51">
        <f t="shared" si="20"/>
        <v>0</v>
      </c>
      <c r="AZ4" s="51">
        <v>1500</v>
      </c>
      <c r="BA4" s="51">
        <v>0</v>
      </c>
      <c r="BB4" s="51">
        <f t="shared" si="21"/>
        <v>1500</v>
      </c>
      <c r="BC4" s="51">
        <f t="shared" si="22"/>
        <v>0</v>
      </c>
      <c r="BD4" s="51" t="e">
        <f t="shared" si="23"/>
        <v>#DIV/0!</v>
      </c>
      <c r="BE4" s="52">
        <v>0</v>
      </c>
      <c r="BF4" s="52">
        <v>0</v>
      </c>
      <c r="BG4" s="52">
        <v>0</v>
      </c>
      <c r="BH4" s="52">
        <f t="shared" si="24"/>
        <v>0</v>
      </c>
      <c r="BI4" s="52">
        <v>750</v>
      </c>
      <c r="BJ4" s="52">
        <v>0</v>
      </c>
      <c r="BK4" s="52">
        <f t="shared" si="25"/>
        <v>750</v>
      </c>
      <c r="BL4" s="52">
        <f t="shared" si="26"/>
        <v>0</v>
      </c>
      <c r="BM4" s="52" t="e">
        <f t="shared" si="27"/>
        <v>#DIV/0!</v>
      </c>
      <c r="BN4" s="53">
        <v>0</v>
      </c>
      <c r="BO4" s="53">
        <v>16</v>
      </c>
      <c r="BP4" s="53">
        <v>0</v>
      </c>
      <c r="BQ4" s="53">
        <f t="shared" si="28"/>
        <v>16</v>
      </c>
      <c r="BR4" s="53">
        <v>2450</v>
      </c>
      <c r="BS4" s="53">
        <v>350</v>
      </c>
      <c r="BT4" s="53">
        <f t="shared" si="29"/>
        <v>2100</v>
      </c>
      <c r="BU4" s="53">
        <f t="shared" si="30"/>
        <v>33600</v>
      </c>
      <c r="BV4" s="53">
        <f t="shared" si="31"/>
        <v>0</v>
      </c>
      <c r="BW4" s="54">
        <v>0</v>
      </c>
      <c r="BX4" s="54">
        <v>0</v>
      </c>
      <c r="BY4" s="54">
        <v>0</v>
      </c>
      <c r="BZ4" s="54">
        <f t="shared" si="32"/>
        <v>0</v>
      </c>
      <c r="CA4" s="54">
        <v>750</v>
      </c>
      <c r="CB4" s="54">
        <v>0</v>
      </c>
      <c r="CC4" s="54">
        <f t="shared" si="33"/>
        <v>750</v>
      </c>
      <c r="CD4" s="54">
        <f t="shared" si="34"/>
        <v>0</v>
      </c>
      <c r="CE4" s="54" t="e">
        <f t="shared" si="35"/>
        <v>#DIV/0!</v>
      </c>
      <c r="CF4" s="55">
        <v>0</v>
      </c>
      <c r="CG4" s="55">
        <v>0</v>
      </c>
      <c r="CH4" s="55">
        <v>0</v>
      </c>
      <c r="CI4" s="55">
        <f t="shared" si="36"/>
        <v>0</v>
      </c>
      <c r="CJ4" s="55">
        <v>730</v>
      </c>
      <c r="CK4" s="55">
        <v>0</v>
      </c>
      <c r="CL4" s="55">
        <f t="shared" si="37"/>
        <v>730</v>
      </c>
      <c r="CM4" s="55">
        <f t="shared" si="38"/>
        <v>0</v>
      </c>
      <c r="CN4" s="55" t="e">
        <f t="shared" si="39"/>
        <v>#DIV/0!</v>
      </c>
      <c r="CO4" s="56">
        <v>0</v>
      </c>
      <c r="CP4" s="56">
        <v>0</v>
      </c>
      <c r="CQ4" s="56">
        <v>0</v>
      </c>
      <c r="CR4" s="56">
        <f t="shared" si="40"/>
        <v>0</v>
      </c>
      <c r="CS4" s="56">
        <v>730</v>
      </c>
      <c r="CT4" s="56">
        <v>0</v>
      </c>
      <c r="CU4" s="56">
        <f t="shared" si="41"/>
        <v>730</v>
      </c>
      <c r="CV4" s="56">
        <f t="shared" si="42"/>
        <v>0</v>
      </c>
      <c r="CW4" s="56" t="e">
        <f t="shared" si="43"/>
        <v>#DIV/0!</v>
      </c>
      <c r="CX4" s="57">
        <v>0</v>
      </c>
      <c r="CY4" s="57">
        <v>0</v>
      </c>
      <c r="CZ4" s="57">
        <v>0</v>
      </c>
      <c r="DA4" s="57">
        <f t="shared" si="44"/>
        <v>0</v>
      </c>
      <c r="DB4" s="57">
        <v>600</v>
      </c>
      <c r="DC4" s="57">
        <v>0</v>
      </c>
      <c r="DD4" s="57">
        <f t="shared" si="45"/>
        <v>600</v>
      </c>
      <c r="DE4" s="57">
        <f t="shared" si="46"/>
        <v>0</v>
      </c>
      <c r="DF4" s="57" t="e">
        <f t="shared" si="47"/>
        <v>#DIV/0!</v>
      </c>
    </row>
    <row r="5" spans="1:110" ht="14.25" customHeight="1">
      <c r="A5" s="60"/>
      <c r="B5" s="44"/>
      <c r="C5" s="45">
        <v>0</v>
      </c>
      <c r="D5" s="45">
        <v>0</v>
      </c>
      <c r="E5" s="45">
        <v>0</v>
      </c>
      <c r="F5" s="45">
        <f t="shared" si="0"/>
        <v>0</v>
      </c>
      <c r="G5" s="45">
        <v>900</v>
      </c>
      <c r="H5" s="45">
        <v>0</v>
      </c>
      <c r="I5" s="45">
        <f t="shared" si="1"/>
        <v>900</v>
      </c>
      <c r="J5" s="45">
        <f t="shared" si="2"/>
        <v>0</v>
      </c>
      <c r="K5" s="45" t="e">
        <f t="shared" si="3"/>
        <v>#DIV/0!</v>
      </c>
      <c r="L5" s="47">
        <v>0</v>
      </c>
      <c r="M5" s="47">
        <v>0</v>
      </c>
      <c r="N5" s="47">
        <v>0</v>
      </c>
      <c r="O5" s="47">
        <f t="shared" si="4"/>
        <v>0</v>
      </c>
      <c r="P5" s="47">
        <v>1800</v>
      </c>
      <c r="Q5" s="47">
        <v>0</v>
      </c>
      <c r="R5" s="47">
        <f t="shared" si="5"/>
        <v>1800</v>
      </c>
      <c r="S5" s="47">
        <f t="shared" si="6"/>
        <v>0</v>
      </c>
      <c r="T5" s="47" t="e">
        <f t="shared" si="7"/>
        <v>#DIV/0!</v>
      </c>
      <c r="U5" s="48">
        <v>0</v>
      </c>
      <c r="V5" s="48">
        <v>0</v>
      </c>
      <c r="W5" s="48">
        <v>0</v>
      </c>
      <c r="X5" s="48">
        <f t="shared" si="8"/>
        <v>0</v>
      </c>
      <c r="Y5" s="48">
        <v>910</v>
      </c>
      <c r="Z5" s="48">
        <v>0</v>
      </c>
      <c r="AA5" s="48">
        <f t="shared" si="9"/>
        <v>910</v>
      </c>
      <c r="AB5" s="48">
        <f t="shared" si="10"/>
        <v>0</v>
      </c>
      <c r="AC5" s="48" t="e">
        <f t="shared" si="11"/>
        <v>#DIV/0!</v>
      </c>
      <c r="AD5" s="49">
        <v>0</v>
      </c>
      <c r="AE5" s="49">
        <v>0</v>
      </c>
      <c r="AF5" s="49">
        <v>0</v>
      </c>
      <c r="AG5" s="49">
        <f t="shared" si="12"/>
        <v>0</v>
      </c>
      <c r="AH5" s="49">
        <v>1200</v>
      </c>
      <c r="AI5" s="49">
        <v>0</v>
      </c>
      <c r="AJ5" s="49">
        <f t="shared" si="13"/>
        <v>1200</v>
      </c>
      <c r="AK5" s="49">
        <f t="shared" si="14"/>
        <v>0</v>
      </c>
      <c r="AL5" s="49" t="e">
        <f t="shared" si="15"/>
        <v>#DIV/0!</v>
      </c>
      <c r="AM5" s="50">
        <v>0</v>
      </c>
      <c r="AN5" s="50">
        <v>0</v>
      </c>
      <c r="AO5" s="50">
        <v>0</v>
      </c>
      <c r="AP5" s="50">
        <f t="shared" si="16"/>
        <v>0</v>
      </c>
      <c r="AQ5" s="50">
        <v>600</v>
      </c>
      <c r="AR5" s="50">
        <v>0</v>
      </c>
      <c r="AS5" s="50">
        <f t="shared" si="17"/>
        <v>600</v>
      </c>
      <c r="AT5" s="50">
        <f t="shared" si="18"/>
        <v>0</v>
      </c>
      <c r="AU5" s="50" t="e">
        <f t="shared" si="19"/>
        <v>#DIV/0!</v>
      </c>
      <c r="AV5" s="51">
        <v>0</v>
      </c>
      <c r="AW5" s="51">
        <v>0</v>
      </c>
      <c r="AX5" s="51">
        <v>0</v>
      </c>
      <c r="AY5" s="51">
        <f t="shared" si="20"/>
        <v>0</v>
      </c>
      <c r="AZ5" s="51">
        <v>1500</v>
      </c>
      <c r="BA5" s="51">
        <v>0</v>
      </c>
      <c r="BB5" s="51">
        <f t="shared" si="21"/>
        <v>1500</v>
      </c>
      <c r="BC5" s="51">
        <f t="shared" si="22"/>
        <v>0</v>
      </c>
      <c r="BD5" s="51" t="e">
        <f t="shared" si="23"/>
        <v>#DIV/0!</v>
      </c>
      <c r="BE5" s="52">
        <v>0</v>
      </c>
      <c r="BF5" s="52">
        <v>0</v>
      </c>
      <c r="BG5" s="52">
        <v>0</v>
      </c>
      <c r="BH5" s="52">
        <f t="shared" si="24"/>
        <v>0</v>
      </c>
      <c r="BI5" s="52">
        <v>750</v>
      </c>
      <c r="BJ5" s="52">
        <v>0</v>
      </c>
      <c r="BK5" s="52">
        <f t="shared" si="25"/>
        <v>750</v>
      </c>
      <c r="BL5" s="52">
        <f t="shared" si="26"/>
        <v>0</v>
      </c>
      <c r="BM5" s="52" t="e">
        <f t="shared" si="27"/>
        <v>#DIV/0!</v>
      </c>
      <c r="BN5" s="53">
        <v>0</v>
      </c>
      <c r="BO5" s="53">
        <v>0</v>
      </c>
      <c r="BP5" s="53">
        <v>0</v>
      </c>
      <c r="BQ5" s="53">
        <f t="shared" si="28"/>
        <v>0</v>
      </c>
      <c r="BR5" s="53">
        <v>2450</v>
      </c>
      <c r="BS5" s="53">
        <v>0</v>
      </c>
      <c r="BT5" s="53">
        <f t="shared" si="29"/>
        <v>2450</v>
      </c>
      <c r="BU5" s="53">
        <f t="shared" si="30"/>
        <v>0</v>
      </c>
      <c r="BV5" s="53" t="e">
        <f t="shared" si="31"/>
        <v>#DIV/0!</v>
      </c>
      <c r="BW5" s="54">
        <v>0</v>
      </c>
      <c r="BX5" s="54">
        <v>0</v>
      </c>
      <c r="BY5" s="54">
        <v>0</v>
      </c>
      <c r="BZ5" s="54">
        <f t="shared" si="32"/>
        <v>0</v>
      </c>
      <c r="CA5" s="54">
        <v>750</v>
      </c>
      <c r="CB5" s="54">
        <v>0</v>
      </c>
      <c r="CC5" s="54">
        <f t="shared" si="33"/>
        <v>750</v>
      </c>
      <c r="CD5" s="54">
        <f t="shared" si="34"/>
        <v>0</v>
      </c>
      <c r="CE5" s="54" t="e">
        <f t="shared" si="35"/>
        <v>#DIV/0!</v>
      </c>
      <c r="CF5" s="55">
        <v>0</v>
      </c>
      <c r="CG5" s="55">
        <v>0</v>
      </c>
      <c r="CH5" s="55">
        <v>0</v>
      </c>
      <c r="CI5" s="55">
        <f t="shared" si="36"/>
        <v>0</v>
      </c>
      <c r="CJ5" s="55">
        <v>730</v>
      </c>
      <c r="CK5" s="55">
        <v>0</v>
      </c>
      <c r="CL5" s="55">
        <f t="shared" si="37"/>
        <v>730</v>
      </c>
      <c r="CM5" s="55">
        <f t="shared" si="38"/>
        <v>0</v>
      </c>
      <c r="CN5" s="55" t="e">
        <f t="shared" si="39"/>
        <v>#DIV/0!</v>
      </c>
      <c r="CO5" s="56">
        <v>0</v>
      </c>
      <c r="CP5" s="56">
        <v>0</v>
      </c>
      <c r="CQ5" s="56">
        <v>0</v>
      </c>
      <c r="CR5" s="56">
        <f t="shared" si="40"/>
        <v>0</v>
      </c>
      <c r="CS5" s="56">
        <v>730</v>
      </c>
      <c r="CT5" s="56">
        <v>0</v>
      </c>
      <c r="CU5" s="56">
        <f t="shared" si="41"/>
        <v>730</v>
      </c>
      <c r="CV5" s="56">
        <f t="shared" si="42"/>
        <v>0</v>
      </c>
      <c r="CW5" s="56" t="e">
        <f t="shared" si="43"/>
        <v>#DIV/0!</v>
      </c>
      <c r="CX5" s="57">
        <v>0</v>
      </c>
      <c r="CY5" s="57">
        <v>0</v>
      </c>
      <c r="CZ5" s="57">
        <v>0</v>
      </c>
      <c r="DA5" s="57">
        <f t="shared" si="44"/>
        <v>0</v>
      </c>
      <c r="DB5" s="57">
        <v>600</v>
      </c>
      <c r="DC5" s="57">
        <v>0</v>
      </c>
      <c r="DD5" s="57">
        <f t="shared" si="45"/>
        <v>600</v>
      </c>
      <c r="DE5" s="57">
        <f t="shared" si="46"/>
        <v>0</v>
      </c>
      <c r="DF5" s="57" t="e">
        <f t="shared" si="47"/>
        <v>#DIV/0!</v>
      </c>
    </row>
    <row r="6" spans="1:110" ht="14.25" customHeight="1">
      <c r="A6" s="60"/>
      <c r="B6" s="44"/>
      <c r="C6" s="45">
        <v>0</v>
      </c>
      <c r="D6" s="45">
        <v>0</v>
      </c>
      <c r="E6" s="45">
        <v>0</v>
      </c>
      <c r="F6" s="45">
        <f t="shared" si="0"/>
        <v>0</v>
      </c>
      <c r="G6" s="45">
        <v>900</v>
      </c>
      <c r="H6" s="45">
        <v>0</v>
      </c>
      <c r="I6" s="45">
        <f t="shared" si="1"/>
        <v>900</v>
      </c>
      <c r="J6" s="45">
        <f t="shared" si="2"/>
        <v>0</v>
      </c>
      <c r="K6" s="45" t="e">
        <f t="shared" si="3"/>
        <v>#DIV/0!</v>
      </c>
      <c r="L6" s="47">
        <v>0</v>
      </c>
      <c r="M6" s="47">
        <v>0</v>
      </c>
      <c r="N6" s="47">
        <v>0</v>
      </c>
      <c r="O6" s="47">
        <f t="shared" si="4"/>
        <v>0</v>
      </c>
      <c r="P6" s="47">
        <v>1800</v>
      </c>
      <c r="Q6" s="47">
        <v>0</v>
      </c>
      <c r="R6" s="47">
        <f t="shared" si="5"/>
        <v>1800</v>
      </c>
      <c r="S6" s="47">
        <f t="shared" si="6"/>
        <v>0</v>
      </c>
      <c r="T6" s="47" t="e">
        <f t="shared" si="7"/>
        <v>#DIV/0!</v>
      </c>
      <c r="U6" s="48">
        <v>0</v>
      </c>
      <c r="V6" s="48">
        <v>0</v>
      </c>
      <c r="W6" s="48">
        <v>0</v>
      </c>
      <c r="X6" s="48">
        <f t="shared" si="8"/>
        <v>0</v>
      </c>
      <c r="Y6" s="48">
        <v>910</v>
      </c>
      <c r="Z6" s="48">
        <v>0</v>
      </c>
      <c r="AA6" s="48">
        <f t="shared" si="9"/>
        <v>910</v>
      </c>
      <c r="AB6" s="48">
        <f t="shared" si="10"/>
        <v>0</v>
      </c>
      <c r="AC6" s="48" t="e">
        <f t="shared" si="11"/>
        <v>#DIV/0!</v>
      </c>
      <c r="AD6" s="49">
        <v>0</v>
      </c>
      <c r="AE6" s="49">
        <v>0</v>
      </c>
      <c r="AF6" s="49">
        <v>0</v>
      </c>
      <c r="AG6" s="49">
        <f t="shared" si="12"/>
        <v>0</v>
      </c>
      <c r="AH6" s="49">
        <v>1200</v>
      </c>
      <c r="AI6" s="49">
        <v>0</v>
      </c>
      <c r="AJ6" s="49">
        <f t="shared" si="13"/>
        <v>1200</v>
      </c>
      <c r="AK6" s="49">
        <f t="shared" si="14"/>
        <v>0</v>
      </c>
      <c r="AL6" s="49" t="e">
        <f t="shared" si="15"/>
        <v>#DIV/0!</v>
      </c>
      <c r="AM6" s="50">
        <v>0</v>
      </c>
      <c r="AN6" s="50">
        <v>0</v>
      </c>
      <c r="AO6" s="50">
        <v>0</v>
      </c>
      <c r="AP6" s="50">
        <f t="shared" si="16"/>
        <v>0</v>
      </c>
      <c r="AQ6" s="50">
        <v>600</v>
      </c>
      <c r="AR6" s="50">
        <v>0</v>
      </c>
      <c r="AS6" s="50">
        <f t="shared" si="17"/>
        <v>600</v>
      </c>
      <c r="AT6" s="50">
        <f t="shared" si="18"/>
        <v>0</v>
      </c>
      <c r="AU6" s="50" t="e">
        <f t="shared" si="19"/>
        <v>#DIV/0!</v>
      </c>
      <c r="AV6" s="51">
        <v>0</v>
      </c>
      <c r="AW6" s="51">
        <v>0</v>
      </c>
      <c r="AX6" s="51">
        <v>0</v>
      </c>
      <c r="AY6" s="51">
        <f t="shared" si="20"/>
        <v>0</v>
      </c>
      <c r="AZ6" s="51">
        <v>1500</v>
      </c>
      <c r="BA6" s="51">
        <v>0</v>
      </c>
      <c r="BB6" s="51">
        <f t="shared" si="21"/>
        <v>1500</v>
      </c>
      <c r="BC6" s="51">
        <f t="shared" si="22"/>
        <v>0</v>
      </c>
      <c r="BD6" s="51" t="e">
        <f t="shared" si="23"/>
        <v>#DIV/0!</v>
      </c>
      <c r="BE6" s="52">
        <v>0</v>
      </c>
      <c r="BF6" s="52">
        <v>0</v>
      </c>
      <c r="BG6" s="52">
        <v>0</v>
      </c>
      <c r="BH6" s="52">
        <f t="shared" si="24"/>
        <v>0</v>
      </c>
      <c r="BI6" s="52">
        <v>750</v>
      </c>
      <c r="BJ6" s="52">
        <v>0</v>
      </c>
      <c r="BK6" s="52">
        <f t="shared" si="25"/>
        <v>750</v>
      </c>
      <c r="BL6" s="52">
        <f t="shared" si="26"/>
        <v>0</v>
      </c>
      <c r="BM6" s="52" t="e">
        <f t="shared" si="27"/>
        <v>#DIV/0!</v>
      </c>
      <c r="BN6" s="53">
        <v>0</v>
      </c>
      <c r="BO6" s="53">
        <v>269</v>
      </c>
      <c r="BP6" s="53">
        <v>8</v>
      </c>
      <c r="BQ6" s="53">
        <f t="shared" si="28"/>
        <v>261</v>
      </c>
      <c r="BR6" s="53">
        <v>2450</v>
      </c>
      <c r="BS6" s="53">
        <v>350</v>
      </c>
      <c r="BT6" s="53">
        <f t="shared" si="29"/>
        <v>2100</v>
      </c>
      <c r="BU6" s="53">
        <f t="shared" si="30"/>
        <v>548100</v>
      </c>
      <c r="BV6" s="53">
        <f t="shared" si="31"/>
        <v>2.9739776951672861</v>
      </c>
      <c r="BW6" s="54">
        <v>0</v>
      </c>
      <c r="BX6" s="54">
        <v>100</v>
      </c>
      <c r="BY6" s="54">
        <v>0</v>
      </c>
      <c r="BZ6" s="54">
        <f t="shared" si="32"/>
        <v>100</v>
      </c>
      <c r="CA6" s="54">
        <v>750</v>
      </c>
      <c r="CB6" s="54">
        <v>95</v>
      </c>
      <c r="CC6" s="54">
        <f t="shared" si="33"/>
        <v>655</v>
      </c>
      <c r="CD6" s="54">
        <f t="shared" si="34"/>
        <v>65500</v>
      </c>
      <c r="CE6" s="54">
        <f t="shared" si="35"/>
        <v>0</v>
      </c>
      <c r="CF6" s="55">
        <v>0</v>
      </c>
      <c r="CG6" s="55">
        <v>60</v>
      </c>
      <c r="CH6" s="55">
        <v>21</v>
      </c>
      <c r="CI6" s="55">
        <f t="shared" si="36"/>
        <v>39</v>
      </c>
      <c r="CJ6" s="55">
        <v>730</v>
      </c>
      <c r="CK6" s="55">
        <v>95</v>
      </c>
      <c r="CL6" s="55">
        <f t="shared" si="37"/>
        <v>635</v>
      </c>
      <c r="CM6" s="55">
        <f t="shared" si="38"/>
        <v>24765</v>
      </c>
      <c r="CN6" s="55">
        <f t="shared" si="39"/>
        <v>35</v>
      </c>
      <c r="CO6" s="56">
        <v>0</v>
      </c>
      <c r="CP6" s="56">
        <v>0</v>
      </c>
      <c r="CQ6" s="56">
        <v>0</v>
      </c>
      <c r="CR6" s="56">
        <f t="shared" si="40"/>
        <v>0</v>
      </c>
      <c r="CS6" s="56">
        <v>730</v>
      </c>
      <c r="CT6" s="56">
        <v>0</v>
      </c>
      <c r="CU6" s="56">
        <f t="shared" si="41"/>
        <v>730</v>
      </c>
      <c r="CV6" s="56">
        <f t="shared" si="42"/>
        <v>0</v>
      </c>
      <c r="CW6" s="56" t="e">
        <f t="shared" si="43"/>
        <v>#DIV/0!</v>
      </c>
      <c r="CX6" s="57">
        <v>0</v>
      </c>
      <c r="CY6" s="57">
        <v>0</v>
      </c>
      <c r="CZ6" s="57">
        <v>0</v>
      </c>
      <c r="DA6" s="57">
        <f t="shared" si="44"/>
        <v>0</v>
      </c>
      <c r="DB6" s="57">
        <v>600</v>
      </c>
      <c r="DC6" s="57">
        <v>0</v>
      </c>
      <c r="DD6" s="57">
        <f t="shared" si="45"/>
        <v>600</v>
      </c>
      <c r="DE6" s="57">
        <f t="shared" si="46"/>
        <v>0</v>
      </c>
      <c r="DF6" s="57" t="e">
        <f t="shared" si="47"/>
        <v>#DIV/0!</v>
      </c>
    </row>
    <row r="7" spans="1:110" ht="14.25" customHeight="1">
      <c r="A7" s="60"/>
      <c r="B7" s="44"/>
      <c r="C7" s="45">
        <v>0</v>
      </c>
      <c r="D7" s="45">
        <v>18</v>
      </c>
      <c r="E7" s="45">
        <v>0</v>
      </c>
      <c r="F7" s="45">
        <f t="shared" si="0"/>
        <v>18</v>
      </c>
      <c r="G7" s="45">
        <v>900</v>
      </c>
      <c r="H7" s="45">
        <v>70</v>
      </c>
      <c r="I7" s="45">
        <f t="shared" si="1"/>
        <v>830</v>
      </c>
      <c r="J7" s="45">
        <f t="shared" si="2"/>
        <v>14940</v>
      </c>
      <c r="K7" s="45">
        <f t="shared" si="3"/>
        <v>0</v>
      </c>
      <c r="L7" s="47">
        <v>0</v>
      </c>
      <c r="M7" s="47">
        <v>0</v>
      </c>
      <c r="N7" s="47">
        <v>0</v>
      </c>
      <c r="O7" s="47">
        <f t="shared" si="4"/>
        <v>0</v>
      </c>
      <c r="P7" s="47">
        <v>1800</v>
      </c>
      <c r="Q7" s="47">
        <v>0</v>
      </c>
      <c r="R7" s="47">
        <f t="shared" si="5"/>
        <v>1800</v>
      </c>
      <c r="S7" s="47">
        <f t="shared" si="6"/>
        <v>0</v>
      </c>
      <c r="T7" s="47" t="e">
        <f t="shared" si="7"/>
        <v>#DIV/0!</v>
      </c>
      <c r="U7" s="48">
        <v>0</v>
      </c>
      <c r="V7" s="48">
        <v>0</v>
      </c>
      <c r="W7" s="48">
        <v>0</v>
      </c>
      <c r="X7" s="48">
        <f t="shared" si="8"/>
        <v>0</v>
      </c>
      <c r="Y7" s="48">
        <v>910</v>
      </c>
      <c r="Z7" s="48">
        <v>0</v>
      </c>
      <c r="AA7" s="48">
        <f t="shared" si="9"/>
        <v>910</v>
      </c>
      <c r="AB7" s="48">
        <f t="shared" si="10"/>
        <v>0</v>
      </c>
      <c r="AC7" s="48" t="e">
        <f t="shared" si="11"/>
        <v>#DIV/0!</v>
      </c>
      <c r="AD7" s="49">
        <v>0</v>
      </c>
      <c r="AE7" s="49">
        <v>0</v>
      </c>
      <c r="AF7" s="49">
        <v>0</v>
      </c>
      <c r="AG7" s="49">
        <f t="shared" si="12"/>
        <v>0</v>
      </c>
      <c r="AH7" s="49">
        <v>1200</v>
      </c>
      <c r="AI7" s="49">
        <v>0</v>
      </c>
      <c r="AJ7" s="49">
        <f t="shared" si="13"/>
        <v>1200</v>
      </c>
      <c r="AK7" s="49">
        <f t="shared" si="14"/>
        <v>0</v>
      </c>
      <c r="AL7" s="49" t="e">
        <f t="shared" si="15"/>
        <v>#DIV/0!</v>
      </c>
      <c r="AM7" s="50">
        <v>0</v>
      </c>
      <c r="AN7" s="50">
        <v>0</v>
      </c>
      <c r="AO7" s="50">
        <v>0</v>
      </c>
      <c r="AP7" s="50">
        <f t="shared" si="16"/>
        <v>0</v>
      </c>
      <c r="AQ7" s="50">
        <v>600</v>
      </c>
      <c r="AR7" s="50">
        <v>0</v>
      </c>
      <c r="AS7" s="50">
        <f t="shared" si="17"/>
        <v>600</v>
      </c>
      <c r="AT7" s="50">
        <f t="shared" si="18"/>
        <v>0</v>
      </c>
      <c r="AU7" s="50" t="e">
        <f t="shared" si="19"/>
        <v>#DIV/0!</v>
      </c>
      <c r="AV7" s="51">
        <v>0</v>
      </c>
      <c r="AW7" s="51">
        <v>0</v>
      </c>
      <c r="AX7" s="51">
        <v>0</v>
      </c>
      <c r="AY7" s="51">
        <f t="shared" si="20"/>
        <v>0</v>
      </c>
      <c r="AZ7" s="51">
        <v>1500</v>
      </c>
      <c r="BA7" s="51">
        <v>0</v>
      </c>
      <c r="BB7" s="51">
        <f t="shared" si="21"/>
        <v>1500</v>
      </c>
      <c r="BC7" s="51">
        <f t="shared" si="22"/>
        <v>0</v>
      </c>
      <c r="BD7" s="51" t="e">
        <f t="shared" si="23"/>
        <v>#DIV/0!</v>
      </c>
      <c r="BE7" s="52">
        <v>0</v>
      </c>
      <c r="BF7" s="52">
        <v>0</v>
      </c>
      <c r="BG7" s="52">
        <v>0</v>
      </c>
      <c r="BH7" s="52">
        <f t="shared" si="24"/>
        <v>0</v>
      </c>
      <c r="BI7" s="52">
        <v>750</v>
      </c>
      <c r="BJ7" s="52">
        <v>0</v>
      </c>
      <c r="BK7" s="52">
        <f t="shared" si="25"/>
        <v>750</v>
      </c>
      <c r="BL7" s="52">
        <f t="shared" si="26"/>
        <v>0</v>
      </c>
      <c r="BM7" s="52" t="e">
        <f t="shared" si="27"/>
        <v>#DIV/0!</v>
      </c>
      <c r="BN7" s="53">
        <v>0</v>
      </c>
      <c r="BO7" s="53">
        <v>44</v>
      </c>
      <c r="BP7" s="53">
        <v>4</v>
      </c>
      <c r="BQ7" s="53">
        <f t="shared" si="28"/>
        <v>40</v>
      </c>
      <c r="BR7" s="53">
        <v>2450</v>
      </c>
      <c r="BS7" s="53">
        <v>350</v>
      </c>
      <c r="BT7" s="53">
        <f t="shared" si="29"/>
        <v>2100</v>
      </c>
      <c r="BU7" s="53">
        <f t="shared" si="30"/>
        <v>84000</v>
      </c>
      <c r="BV7" s="53">
        <f t="shared" si="31"/>
        <v>9.0909090909090917</v>
      </c>
      <c r="BW7" s="54">
        <v>0</v>
      </c>
      <c r="BX7" s="54">
        <v>0</v>
      </c>
      <c r="BY7" s="54">
        <v>0</v>
      </c>
      <c r="BZ7" s="54">
        <f t="shared" si="32"/>
        <v>0</v>
      </c>
      <c r="CA7" s="54">
        <v>750</v>
      </c>
      <c r="CB7" s="54">
        <v>0</v>
      </c>
      <c r="CC7" s="54">
        <f t="shared" si="33"/>
        <v>750</v>
      </c>
      <c r="CD7" s="54">
        <f t="shared" si="34"/>
        <v>0</v>
      </c>
      <c r="CE7" s="54" t="e">
        <f t="shared" si="35"/>
        <v>#DIV/0!</v>
      </c>
      <c r="CF7" s="55">
        <v>0</v>
      </c>
      <c r="CG7" s="55">
        <v>40</v>
      </c>
      <c r="CH7" s="55">
        <v>3</v>
      </c>
      <c r="CI7" s="55">
        <f t="shared" si="36"/>
        <v>37</v>
      </c>
      <c r="CJ7" s="55">
        <v>730</v>
      </c>
      <c r="CK7" s="55">
        <v>75</v>
      </c>
      <c r="CL7" s="55">
        <f t="shared" si="37"/>
        <v>655</v>
      </c>
      <c r="CM7" s="55">
        <f t="shared" si="38"/>
        <v>24235</v>
      </c>
      <c r="CN7" s="55">
        <f t="shared" si="39"/>
        <v>7.5</v>
      </c>
      <c r="CO7" s="56">
        <v>0</v>
      </c>
      <c r="CP7" s="56">
        <v>0</v>
      </c>
      <c r="CQ7" s="56">
        <v>0</v>
      </c>
      <c r="CR7" s="56">
        <f t="shared" si="40"/>
        <v>0</v>
      </c>
      <c r="CS7" s="56">
        <v>730</v>
      </c>
      <c r="CT7" s="56">
        <v>0</v>
      </c>
      <c r="CU7" s="56">
        <f t="shared" si="41"/>
        <v>730</v>
      </c>
      <c r="CV7" s="56">
        <f t="shared" si="42"/>
        <v>0</v>
      </c>
      <c r="CW7" s="56" t="e">
        <f t="shared" si="43"/>
        <v>#DIV/0!</v>
      </c>
      <c r="CX7" s="57">
        <v>0</v>
      </c>
      <c r="CY7" s="57">
        <v>0</v>
      </c>
      <c r="CZ7" s="57">
        <v>0</v>
      </c>
      <c r="DA7" s="57">
        <f t="shared" si="44"/>
        <v>0</v>
      </c>
      <c r="DB7" s="57">
        <v>600</v>
      </c>
      <c r="DC7" s="57">
        <v>0</v>
      </c>
      <c r="DD7" s="57">
        <f t="shared" si="45"/>
        <v>600</v>
      </c>
      <c r="DE7" s="57">
        <f t="shared" si="46"/>
        <v>0</v>
      </c>
      <c r="DF7" s="57" t="e">
        <f t="shared" si="47"/>
        <v>#DIV/0!</v>
      </c>
    </row>
    <row r="8" spans="1:110" ht="14.25" customHeight="1">
      <c r="A8" s="60"/>
      <c r="B8" s="44"/>
      <c r="C8" s="45">
        <v>0</v>
      </c>
      <c r="D8" s="45">
        <v>0</v>
      </c>
      <c r="E8" s="45">
        <v>0</v>
      </c>
      <c r="F8" s="45">
        <f t="shared" si="0"/>
        <v>0</v>
      </c>
      <c r="G8" s="45">
        <v>900</v>
      </c>
      <c r="H8" s="45">
        <v>0</v>
      </c>
      <c r="I8" s="45">
        <f t="shared" si="1"/>
        <v>900</v>
      </c>
      <c r="J8" s="45">
        <f t="shared" si="2"/>
        <v>0</v>
      </c>
      <c r="K8" s="45" t="e">
        <f t="shared" si="3"/>
        <v>#DIV/0!</v>
      </c>
      <c r="L8" s="47">
        <v>0</v>
      </c>
      <c r="M8" s="47">
        <v>0</v>
      </c>
      <c r="N8" s="47">
        <v>0</v>
      </c>
      <c r="O8" s="47">
        <f t="shared" si="4"/>
        <v>0</v>
      </c>
      <c r="P8" s="47">
        <v>1800</v>
      </c>
      <c r="Q8" s="47">
        <v>0</v>
      </c>
      <c r="R8" s="47">
        <f t="shared" si="5"/>
        <v>1800</v>
      </c>
      <c r="S8" s="47">
        <f t="shared" si="6"/>
        <v>0</v>
      </c>
      <c r="T8" s="47" t="e">
        <f t="shared" si="7"/>
        <v>#DIV/0!</v>
      </c>
      <c r="U8" s="48">
        <v>0</v>
      </c>
      <c r="V8" s="48">
        <v>0</v>
      </c>
      <c r="W8" s="48">
        <v>0</v>
      </c>
      <c r="X8" s="48">
        <f t="shared" si="8"/>
        <v>0</v>
      </c>
      <c r="Y8" s="48">
        <v>910</v>
      </c>
      <c r="Z8" s="48">
        <v>0</v>
      </c>
      <c r="AA8" s="48">
        <f t="shared" si="9"/>
        <v>910</v>
      </c>
      <c r="AB8" s="48">
        <f t="shared" si="10"/>
        <v>0</v>
      </c>
      <c r="AC8" s="48" t="e">
        <f t="shared" si="11"/>
        <v>#DIV/0!</v>
      </c>
      <c r="AD8" s="49">
        <v>0</v>
      </c>
      <c r="AE8" s="49">
        <v>0</v>
      </c>
      <c r="AF8" s="49">
        <v>0</v>
      </c>
      <c r="AG8" s="49">
        <f t="shared" si="12"/>
        <v>0</v>
      </c>
      <c r="AH8" s="49">
        <v>1200</v>
      </c>
      <c r="AI8" s="49">
        <v>0</v>
      </c>
      <c r="AJ8" s="49">
        <f t="shared" si="13"/>
        <v>1200</v>
      </c>
      <c r="AK8" s="49">
        <f t="shared" si="14"/>
        <v>0</v>
      </c>
      <c r="AL8" s="49" t="e">
        <f t="shared" si="15"/>
        <v>#DIV/0!</v>
      </c>
      <c r="AM8" s="50">
        <v>0</v>
      </c>
      <c r="AN8" s="50">
        <v>0</v>
      </c>
      <c r="AO8" s="50">
        <v>0</v>
      </c>
      <c r="AP8" s="50">
        <f t="shared" si="16"/>
        <v>0</v>
      </c>
      <c r="AQ8" s="50">
        <v>600</v>
      </c>
      <c r="AR8" s="50">
        <v>0</v>
      </c>
      <c r="AS8" s="50">
        <f t="shared" si="17"/>
        <v>600</v>
      </c>
      <c r="AT8" s="50">
        <f t="shared" si="18"/>
        <v>0</v>
      </c>
      <c r="AU8" s="50" t="e">
        <f t="shared" si="19"/>
        <v>#DIV/0!</v>
      </c>
      <c r="AV8" s="51">
        <v>0</v>
      </c>
      <c r="AW8" s="51">
        <v>0</v>
      </c>
      <c r="AX8" s="51">
        <v>0</v>
      </c>
      <c r="AY8" s="51">
        <f t="shared" si="20"/>
        <v>0</v>
      </c>
      <c r="AZ8" s="51">
        <v>1500</v>
      </c>
      <c r="BA8" s="51">
        <v>0</v>
      </c>
      <c r="BB8" s="51">
        <f t="shared" si="21"/>
        <v>1500</v>
      </c>
      <c r="BC8" s="51">
        <f t="shared" si="22"/>
        <v>0</v>
      </c>
      <c r="BD8" s="51" t="e">
        <f t="shared" si="23"/>
        <v>#DIV/0!</v>
      </c>
      <c r="BE8" s="52">
        <v>0</v>
      </c>
      <c r="BF8" s="52">
        <v>0</v>
      </c>
      <c r="BG8" s="52">
        <v>0</v>
      </c>
      <c r="BH8" s="52">
        <f t="shared" si="24"/>
        <v>0</v>
      </c>
      <c r="BI8" s="52">
        <v>750</v>
      </c>
      <c r="BJ8" s="52">
        <v>0</v>
      </c>
      <c r="BK8" s="52">
        <f t="shared" si="25"/>
        <v>750</v>
      </c>
      <c r="BL8" s="52">
        <f t="shared" si="26"/>
        <v>0</v>
      </c>
      <c r="BM8" s="52" t="e">
        <f t="shared" si="27"/>
        <v>#DIV/0!</v>
      </c>
      <c r="BN8" s="53">
        <v>0</v>
      </c>
      <c r="BO8" s="53">
        <v>0</v>
      </c>
      <c r="BP8" s="53">
        <v>0</v>
      </c>
      <c r="BQ8" s="53">
        <f t="shared" si="28"/>
        <v>0</v>
      </c>
      <c r="BR8" s="53">
        <v>2450</v>
      </c>
      <c r="BS8" s="53">
        <v>0</v>
      </c>
      <c r="BT8" s="53">
        <f t="shared" si="29"/>
        <v>2450</v>
      </c>
      <c r="BU8" s="53">
        <f t="shared" si="30"/>
        <v>0</v>
      </c>
      <c r="BV8" s="53" t="e">
        <f t="shared" si="31"/>
        <v>#DIV/0!</v>
      </c>
      <c r="BW8" s="54">
        <v>0</v>
      </c>
      <c r="BX8" s="54">
        <v>0</v>
      </c>
      <c r="BY8" s="54">
        <v>0</v>
      </c>
      <c r="BZ8" s="54">
        <f t="shared" si="32"/>
        <v>0</v>
      </c>
      <c r="CA8" s="54">
        <v>750</v>
      </c>
      <c r="CB8" s="54">
        <v>0</v>
      </c>
      <c r="CC8" s="54">
        <f t="shared" si="33"/>
        <v>750</v>
      </c>
      <c r="CD8" s="54">
        <f t="shared" si="34"/>
        <v>0</v>
      </c>
      <c r="CE8" s="54" t="e">
        <f t="shared" si="35"/>
        <v>#DIV/0!</v>
      </c>
      <c r="CF8" s="55">
        <v>0</v>
      </c>
      <c r="CG8" s="55">
        <v>0</v>
      </c>
      <c r="CH8" s="55">
        <v>0</v>
      </c>
      <c r="CI8" s="55">
        <f t="shared" si="36"/>
        <v>0</v>
      </c>
      <c r="CJ8" s="55">
        <v>730</v>
      </c>
      <c r="CK8" s="55">
        <v>0</v>
      </c>
      <c r="CL8" s="55">
        <f t="shared" si="37"/>
        <v>730</v>
      </c>
      <c r="CM8" s="55">
        <f t="shared" si="38"/>
        <v>0</v>
      </c>
      <c r="CN8" s="55" t="e">
        <f t="shared" si="39"/>
        <v>#DIV/0!</v>
      </c>
      <c r="CO8" s="56">
        <v>0</v>
      </c>
      <c r="CP8" s="56">
        <v>0</v>
      </c>
      <c r="CQ8" s="56">
        <v>0</v>
      </c>
      <c r="CR8" s="56">
        <f t="shared" si="40"/>
        <v>0</v>
      </c>
      <c r="CS8" s="56">
        <v>730</v>
      </c>
      <c r="CT8" s="56">
        <v>0</v>
      </c>
      <c r="CU8" s="56">
        <f t="shared" si="41"/>
        <v>730</v>
      </c>
      <c r="CV8" s="56">
        <f t="shared" si="42"/>
        <v>0</v>
      </c>
      <c r="CW8" s="56" t="e">
        <f t="shared" si="43"/>
        <v>#DIV/0!</v>
      </c>
      <c r="CX8" s="57">
        <v>0</v>
      </c>
      <c r="CY8" s="57">
        <v>0</v>
      </c>
      <c r="CZ8" s="57">
        <v>0</v>
      </c>
      <c r="DA8" s="57">
        <f t="shared" si="44"/>
        <v>0</v>
      </c>
      <c r="DB8" s="57">
        <v>600</v>
      </c>
      <c r="DC8" s="57">
        <v>0</v>
      </c>
      <c r="DD8" s="57">
        <f t="shared" si="45"/>
        <v>600</v>
      </c>
      <c r="DE8" s="57">
        <f t="shared" si="46"/>
        <v>0</v>
      </c>
      <c r="DF8" s="57" t="e">
        <f t="shared" si="47"/>
        <v>#DIV/0!</v>
      </c>
    </row>
    <row r="9" spans="1:110" ht="14.25" customHeight="1">
      <c r="A9" s="60"/>
      <c r="B9" s="44"/>
      <c r="C9" s="45">
        <v>0</v>
      </c>
      <c r="D9" s="45">
        <v>30</v>
      </c>
      <c r="E9" s="45">
        <v>18</v>
      </c>
      <c r="F9" s="45">
        <f t="shared" si="0"/>
        <v>12</v>
      </c>
      <c r="G9" s="45">
        <v>900</v>
      </c>
      <c r="H9" s="45">
        <v>50</v>
      </c>
      <c r="I9" s="45">
        <f t="shared" si="1"/>
        <v>850</v>
      </c>
      <c r="J9" s="45">
        <f t="shared" si="2"/>
        <v>10200</v>
      </c>
      <c r="K9" s="45">
        <f t="shared" si="3"/>
        <v>60</v>
      </c>
      <c r="L9" s="47">
        <v>0</v>
      </c>
      <c r="M9" s="47">
        <v>0</v>
      </c>
      <c r="N9" s="47">
        <v>0</v>
      </c>
      <c r="O9" s="47">
        <f t="shared" si="4"/>
        <v>0</v>
      </c>
      <c r="P9" s="47">
        <v>1800</v>
      </c>
      <c r="Q9" s="47">
        <v>0</v>
      </c>
      <c r="R9" s="47">
        <f t="shared" si="5"/>
        <v>1800</v>
      </c>
      <c r="S9" s="47">
        <f t="shared" si="6"/>
        <v>0</v>
      </c>
      <c r="T9" s="47" t="e">
        <f t="shared" si="7"/>
        <v>#DIV/0!</v>
      </c>
      <c r="U9" s="48">
        <v>0</v>
      </c>
      <c r="V9" s="48">
        <v>0</v>
      </c>
      <c r="W9" s="48">
        <v>0</v>
      </c>
      <c r="X9" s="48">
        <f t="shared" si="8"/>
        <v>0</v>
      </c>
      <c r="Y9" s="48">
        <v>910</v>
      </c>
      <c r="Z9" s="48">
        <v>0</v>
      </c>
      <c r="AA9" s="48">
        <f t="shared" si="9"/>
        <v>910</v>
      </c>
      <c r="AB9" s="48">
        <f t="shared" si="10"/>
        <v>0</v>
      </c>
      <c r="AC9" s="48" t="e">
        <f t="shared" si="11"/>
        <v>#DIV/0!</v>
      </c>
      <c r="AD9" s="49">
        <v>0</v>
      </c>
      <c r="AE9" s="49">
        <v>0</v>
      </c>
      <c r="AF9" s="49">
        <v>0</v>
      </c>
      <c r="AG9" s="49">
        <f t="shared" si="12"/>
        <v>0</v>
      </c>
      <c r="AH9" s="49">
        <v>1200</v>
      </c>
      <c r="AI9" s="49">
        <v>0</v>
      </c>
      <c r="AJ9" s="49">
        <f t="shared" si="13"/>
        <v>1200</v>
      </c>
      <c r="AK9" s="49">
        <f t="shared" si="14"/>
        <v>0</v>
      </c>
      <c r="AL9" s="49" t="e">
        <f t="shared" si="15"/>
        <v>#DIV/0!</v>
      </c>
      <c r="AM9" s="50">
        <v>0</v>
      </c>
      <c r="AN9" s="50">
        <v>0</v>
      </c>
      <c r="AO9" s="50">
        <v>0</v>
      </c>
      <c r="AP9" s="50">
        <f t="shared" si="16"/>
        <v>0</v>
      </c>
      <c r="AQ9" s="50">
        <v>600</v>
      </c>
      <c r="AR9" s="50">
        <v>0</v>
      </c>
      <c r="AS9" s="50">
        <f t="shared" si="17"/>
        <v>600</v>
      </c>
      <c r="AT9" s="50">
        <f t="shared" si="18"/>
        <v>0</v>
      </c>
      <c r="AU9" s="50" t="e">
        <f t="shared" si="19"/>
        <v>#DIV/0!</v>
      </c>
      <c r="AV9" s="51">
        <v>0</v>
      </c>
      <c r="AW9" s="51">
        <v>3</v>
      </c>
      <c r="AX9" s="51">
        <v>0</v>
      </c>
      <c r="AY9" s="51">
        <f t="shared" si="20"/>
        <v>3</v>
      </c>
      <c r="AZ9" s="51">
        <v>1500</v>
      </c>
      <c r="BA9" s="51">
        <v>100</v>
      </c>
      <c r="BB9" s="51">
        <f t="shared" si="21"/>
        <v>1400</v>
      </c>
      <c r="BC9" s="51">
        <f t="shared" si="22"/>
        <v>4200</v>
      </c>
      <c r="BD9" s="51">
        <f t="shared" si="23"/>
        <v>0</v>
      </c>
      <c r="BE9" s="52">
        <v>0</v>
      </c>
      <c r="BF9" s="52">
        <v>12</v>
      </c>
      <c r="BG9" s="52">
        <v>0</v>
      </c>
      <c r="BH9" s="52">
        <f t="shared" si="24"/>
        <v>12</v>
      </c>
      <c r="BI9" s="52">
        <v>750</v>
      </c>
      <c r="BJ9" s="52">
        <v>50</v>
      </c>
      <c r="BK9" s="52">
        <f t="shared" si="25"/>
        <v>700</v>
      </c>
      <c r="BL9" s="52">
        <f t="shared" si="26"/>
        <v>8400</v>
      </c>
      <c r="BM9" s="52">
        <f t="shared" si="27"/>
        <v>0</v>
      </c>
      <c r="BN9" s="53">
        <v>0</v>
      </c>
      <c r="BO9" s="53">
        <v>100</v>
      </c>
      <c r="BP9" s="53">
        <v>0</v>
      </c>
      <c r="BQ9" s="53">
        <f t="shared" si="28"/>
        <v>100</v>
      </c>
      <c r="BR9" s="53">
        <v>2450</v>
      </c>
      <c r="BS9" s="53">
        <v>350</v>
      </c>
      <c r="BT9" s="53">
        <f t="shared" si="29"/>
        <v>2100</v>
      </c>
      <c r="BU9" s="53">
        <f t="shared" si="30"/>
        <v>210000</v>
      </c>
      <c r="BV9" s="53">
        <f t="shared" si="31"/>
        <v>0</v>
      </c>
      <c r="BW9" s="54">
        <v>0</v>
      </c>
      <c r="BX9" s="54">
        <v>40</v>
      </c>
      <c r="BY9" s="54">
        <v>31</v>
      </c>
      <c r="BZ9" s="54">
        <f t="shared" si="32"/>
        <v>9</v>
      </c>
      <c r="CA9" s="54">
        <v>750</v>
      </c>
      <c r="CB9" s="54">
        <v>60</v>
      </c>
      <c r="CC9" s="54">
        <f t="shared" si="33"/>
        <v>690</v>
      </c>
      <c r="CD9" s="54">
        <f t="shared" si="34"/>
        <v>6210</v>
      </c>
      <c r="CE9" s="54">
        <f t="shared" si="35"/>
        <v>77.5</v>
      </c>
      <c r="CF9" s="55">
        <v>0</v>
      </c>
      <c r="CG9" s="55">
        <v>20</v>
      </c>
      <c r="CH9" s="55">
        <v>12</v>
      </c>
      <c r="CI9" s="55">
        <f t="shared" si="36"/>
        <v>8</v>
      </c>
      <c r="CJ9" s="55">
        <v>730</v>
      </c>
      <c r="CK9" s="55">
        <v>60</v>
      </c>
      <c r="CL9" s="55">
        <f t="shared" si="37"/>
        <v>670</v>
      </c>
      <c r="CM9" s="55">
        <f t="shared" si="38"/>
        <v>5360</v>
      </c>
      <c r="CN9" s="55">
        <f t="shared" si="39"/>
        <v>60</v>
      </c>
      <c r="CO9" s="56">
        <v>0</v>
      </c>
      <c r="CP9" s="56">
        <v>0</v>
      </c>
      <c r="CQ9" s="56">
        <v>0</v>
      </c>
      <c r="CR9" s="56">
        <f t="shared" si="40"/>
        <v>0</v>
      </c>
      <c r="CS9" s="56">
        <v>730</v>
      </c>
      <c r="CT9" s="56">
        <v>0</v>
      </c>
      <c r="CU9" s="56">
        <f t="shared" si="41"/>
        <v>730</v>
      </c>
      <c r="CV9" s="56">
        <f t="shared" si="42"/>
        <v>0</v>
      </c>
      <c r="CW9" s="56" t="e">
        <f t="shared" si="43"/>
        <v>#DIV/0!</v>
      </c>
      <c r="CX9" s="57">
        <v>0</v>
      </c>
      <c r="CY9" s="57">
        <v>0</v>
      </c>
      <c r="CZ9" s="57">
        <v>0</v>
      </c>
      <c r="DA9" s="57">
        <f t="shared" si="44"/>
        <v>0</v>
      </c>
      <c r="DB9" s="57">
        <v>600</v>
      </c>
      <c r="DC9" s="57">
        <v>0</v>
      </c>
      <c r="DD9" s="57">
        <f t="shared" si="45"/>
        <v>600</v>
      </c>
      <c r="DE9" s="57">
        <f t="shared" si="46"/>
        <v>0</v>
      </c>
      <c r="DF9" s="57" t="e">
        <f t="shared" si="47"/>
        <v>#DIV/0!</v>
      </c>
    </row>
    <row r="10" spans="1:110" ht="14.25" customHeight="1">
      <c r="A10" s="60"/>
      <c r="B10" s="44"/>
      <c r="C10" s="45">
        <v>0</v>
      </c>
      <c r="D10" s="45">
        <v>0</v>
      </c>
      <c r="E10" s="45">
        <v>0</v>
      </c>
      <c r="F10" s="45">
        <f t="shared" si="0"/>
        <v>0</v>
      </c>
      <c r="G10" s="45">
        <v>900</v>
      </c>
      <c r="H10" s="45">
        <v>0</v>
      </c>
      <c r="I10" s="45">
        <f t="shared" si="1"/>
        <v>900</v>
      </c>
      <c r="J10" s="45">
        <f t="shared" si="2"/>
        <v>0</v>
      </c>
      <c r="K10" s="45" t="e">
        <f t="shared" si="3"/>
        <v>#DIV/0!</v>
      </c>
      <c r="L10" s="47">
        <v>0</v>
      </c>
      <c r="M10" s="47">
        <v>0</v>
      </c>
      <c r="N10" s="47">
        <v>0</v>
      </c>
      <c r="O10" s="47">
        <f t="shared" si="4"/>
        <v>0</v>
      </c>
      <c r="P10" s="47">
        <v>1800</v>
      </c>
      <c r="Q10" s="47">
        <v>0</v>
      </c>
      <c r="R10" s="47">
        <f t="shared" si="5"/>
        <v>1800</v>
      </c>
      <c r="S10" s="47">
        <f t="shared" si="6"/>
        <v>0</v>
      </c>
      <c r="T10" s="47" t="e">
        <f t="shared" si="7"/>
        <v>#DIV/0!</v>
      </c>
      <c r="U10" s="48">
        <v>0</v>
      </c>
      <c r="V10" s="48">
        <v>0</v>
      </c>
      <c r="W10" s="48">
        <v>0</v>
      </c>
      <c r="X10" s="48">
        <f t="shared" si="8"/>
        <v>0</v>
      </c>
      <c r="Y10" s="48">
        <v>910</v>
      </c>
      <c r="Z10" s="48">
        <v>0</v>
      </c>
      <c r="AA10" s="48">
        <f t="shared" si="9"/>
        <v>910</v>
      </c>
      <c r="AB10" s="48">
        <f t="shared" si="10"/>
        <v>0</v>
      </c>
      <c r="AC10" s="48" t="e">
        <f t="shared" si="11"/>
        <v>#DIV/0!</v>
      </c>
      <c r="AD10" s="49">
        <v>0</v>
      </c>
      <c r="AE10" s="49">
        <v>0</v>
      </c>
      <c r="AF10" s="49">
        <v>0</v>
      </c>
      <c r="AG10" s="49">
        <f t="shared" si="12"/>
        <v>0</v>
      </c>
      <c r="AH10" s="49">
        <v>1200</v>
      </c>
      <c r="AI10" s="49">
        <v>0</v>
      </c>
      <c r="AJ10" s="49">
        <f t="shared" si="13"/>
        <v>1200</v>
      </c>
      <c r="AK10" s="49">
        <f t="shared" si="14"/>
        <v>0</v>
      </c>
      <c r="AL10" s="49" t="e">
        <f t="shared" si="15"/>
        <v>#DIV/0!</v>
      </c>
      <c r="AM10" s="50">
        <v>0</v>
      </c>
      <c r="AN10" s="50">
        <v>0</v>
      </c>
      <c r="AO10" s="50">
        <v>0</v>
      </c>
      <c r="AP10" s="50">
        <f t="shared" si="16"/>
        <v>0</v>
      </c>
      <c r="AQ10" s="50">
        <v>600</v>
      </c>
      <c r="AR10" s="50">
        <v>0</v>
      </c>
      <c r="AS10" s="50">
        <f t="shared" si="17"/>
        <v>600</v>
      </c>
      <c r="AT10" s="50">
        <f t="shared" si="18"/>
        <v>0</v>
      </c>
      <c r="AU10" s="50" t="e">
        <f t="shared" si="19"/>
        <v>#DIV/0!</v>
      </c>
      <c r="AV10" s="51">
        <v>0</v>
      </c>
      <c r="AW10" s="51">
        <v>0</v>
      </c>
      <c r="AX10" s="51">
        <v>0</v>
      </c>
      <c r="AY10" s="51">
        <f t="shared" si="20"/>
        <v>0</v>
      </c>
      <c r="AZ10" s="51">
        <v>1500</v>
      </c>
      <c r="BA10" s="51">
        <v>0</v>
      </c>
      <c r="BB10" s="51">
        <f t="shared" si="21"/>
        <v>1500</v>
      </c>
      <c r="BC10" s="51">
        <f t="shared" si="22"/>
        <v>0</v>
      </c>
      <c r="BD10" s="51" t="e">
        <f t="shared" si="23"/>
        <v>#DIV/0!</v>
      </c>
      <c r="BE10" s="52">
        <v>0</v>
      </c>
      <c r="BF10" s="52">
        <v>0</v>
      </c>
      <c r="BG10" s="52">
        <v>0</v>
      </c>
      <c r="BH10" s="52">
        <f t="shared" si="24"/>
        <v>0</v>
      </c>
      <c r="BI10" s="52">
        <v>750</v>
      </c>
      <c r="BJ10" s="52">
        <v>0</v>
      </c>
      <c r="BK10" s="52">
        <f t="shared" si="25"/>
        <v>750</v>
      </c>
      <c r="BL10" s="52">
        <f t="shared" si="26"/>
        <v>0</v>
      </c>
      <c r="BM10" s="52" t="e">
        <f t="shared" si="27"/>
        <v>#DIV/0!</v>
      </c>
      <c r="BN10" s="53">
        <v>0</v>
      </c>
      <c r="BO10" s="53">
        <v>88</v>
      </c>
      <c r="BP10" s="53">
        <v>0</v>
      </c>
      <c r="BQ10" s="53">
        <f t="shared" si="28"/>
        <v>88</v>
      </c>
      <c r="BR10" s="53">
        <v>2450</v>
      </c>
      <c r="BS10" s="53">
        <v>250</v>
      </c>
      <c r="BT10" s="53">
        <f t="shared" si="29"/>
        <v>2200</v>
      </c>
      <c r="BU10" s="53">
        <f t="shared" si="30"/>
        <v>193600</v>
      </c>
      <c r="BV10" s="53">
        <f t="shared" si="31"/>
        <v>0</v>
      </c>
      <c r="BW10" s="54">
        <v>0</v>
      </c>
      <c r="BX10" s="54">
        <v>60</v>
      </c>
      <c r="BY10" s="54">
        <v>33</v>
      </c>
      <c r="BZ10" s="54">
        <f t="shared" si="32"/>
        <v>27</v>
      </c>
      <c r="CA10" s="54">
        <v>750</v>
      </c>
      <c r="CB10" s="54">
        <v>60</v>
      </c>
      <c r="CC10" s="54">
        <f t="shared" si="33"/>
        <v>690</v>
      </c>
      <c r="CD10" s="54">
        <f t="shared" si="34"/>
        <v>18630</v>
      </c>
      <c r="CE10" s="54">
        <f t="shared" si="35"/>
        <v>55.000000000000007</v>
      </c>
      <c r="CF10" s="55">
        <v>0</v>
      </c>
      <c r="CG10" s="55">
        <v>0</v>
      </c>
      <c r="CH10" s="55">
        <v>0</v>
      </c>
      <c r="CI10" s="55">
        <f t="shared" si="36"/>
        <v>0</v>
      </c>
      <c r="CJ10" s="55">
        <v>730</v>
      </c>
      <c r="CK10" s="55">
        <v>0</v>
      </c>
      <c r="CL10" s="55">
        <f t="shared" si="37"/>
        <v>730</v>
      </c>
      <c r="CM10" s="55">
        <f t="shared" si="38"/>
        <v>0</v>
      </c>
      <c r="CN10" s="55" t="e">
        <f t="shared" si="39"/>
        <v>#DIV/0!</v>
      </c>
      <c r="CO10" s="56">
        <v>0</v>
      </c>
      <c r="CP10" s="56">
        <v>0</v>
      </c>
      <c r="CQ10" s="56">
        <v>0</v>
      </c>
      <c r="CR10" s="56">
        <f t="shared" si="40"/>
        <v>0</v>
      </c>
      <c r="CS10" s="56">
        <v>730</v>
      </c>
      <c r="CT10" s="56">
        <v>0</v>
      </c>
      <c r="CU10" s="56">
        <f t="shared" si="41"/>
        <v>730</v>
      </c>
      <c r="CV10" s="56">
        <f t="shared" si="42"/>
        <v>0</v>
      </c>
      <c r="CW10" s="56" t="e">
        <f t="shared" si="43"/>
        <v>#DIV/0!</v>
      </c>
      <c r="CX10" s="57">
        <v>0</v>
      </c>
      <c r="CY10" s="57">
        <v>0</v>
      </c>
      <c r="CZ10" s="57">
        <v>0</v>
      </c>
      <c r="DA10" s="57">
        <f t="shared" si="44"/>
        <v>0</v>
      </c>
      <c r="DB10" s="57">
        <v>600</v>
      </c>
      <c r="DC10" s="57">
        <v>0</v>
      </c>
      <c r="DD10" s="57">
        <f t="shared" si="45"/>
        <v>600</v>
      </c>
      <c r="DE10" s="57">
        <f t="shared" si="46"/>
        <v>0</v>
      </c>
      <c r="DF10" s="57" t="e">
        <f t="shared" si="47"/>
        <v>#DIV/0!</v>
      </c>
    </row>
    <row r="11" spans="1:110" ht="14.25" customHeight="1">
      <c r="A11" s="60"/>
      <c r="B11" s="44"/>
      <c r="C11" s="45">
        <v>0</v>
      </c>
      <c r="D11" s="45">
        <v>0</v>
      </c>
      <c r="E11" s="45">
        <v>0</v>
      </c>
      <c r="F11" s="45">
        <f t="shared" si="0"/>
        <v>0</v>
      </c>
      <c r="G11" s="45">
        <v>900</v>
      </c>
      <c r="H11" s="45">
        <v>0</v>
      </c>
      <c r="I11" s="45">
        <f t="shared" si="1"/>
        <v>900</v>
      </c>
      <c r="J11" s="45">
        <f t="shared" si="2"/>
        <v>0</v>
      </c>
      <c r="K11" s="45" t="e">
        <f t="shared" si="3"/>
        <v>#DIV/0!</v>
      </c>
      <c r="L11" s="47">
        <v>0</v>
      </c>
      <c r="M11" s="47">
        <v>0</v>
      </c>
      <c r="N11" s="47">
        <v>0</v>
      </c>
      <c r="O11" s="47">
        <f t="shared" si="4"/>
        <v>0</v>
      </c>
      <c r="P11" s="47">
        <v>1800</v>
      </c>
      <c r="Q11" s="47">
        <v>0</v>
      </c>
      <c r="R11" s="47">
        <f t="shared" si="5"/>
        <v>1800</v>
      </c>
      <c r="S11" s="47">
        <f t="shared" si="6"/>
        <v>0</v>
      </c>
      <c r="T11" s="47" t="e">
        <f t="shared" si="7"/>
        <v>#DIV/0!</v>
      </c>
      <c r="U11" s="48">
        <v>0</v>
      </c>
      <c r="V11" s="48">
        <v>0</v>
      </c>
      <c r="W11" s="48">
        <v>0</v>
      </c>
      <c r="X11" s="48">
        <f t="shared" si="8"/>
        <v>0</v>
      </c>
      <c r="Y11" s="48">
        <v>910</v>
      </c>
      <c r="Z11" s="48">
        <v>0</v>
      </c>
      <c r="AA11" s="48">
        <f t="shared" si="9"/>
        <v>910</v>
      </c>
      <c r="AB11" s="48">
        <f t="shared" si="10"/>
        <v>0</v>
      </c>
      <c r="AC11" s="48" t="e">
        <f t="shared" si="11"/>
        <v>#DIV/0!</v>
      </c>
      <c r="AD11" s="49">
        <v>0</v>
      </c>
      <c r="AE11" s="49">
        <v>0</v>
      </c>
      <c r="AF11" s="49">
        <v>0</v>
      </c>
      <c r="AG11" s="49">
        <f t="shared" si="12"/>
        <v>0</v>
      </c>
      <c r="AH11" s="49">
        <v>1200</v>
      </c>
      <c r="AI11" s="49">
        <v>0</v>
      </c>
      <c r="AJ11" s="49">
        <f t="shared" si="13"/>
        <v>1200</v>
      </c>
      <c r="AK11" s="49">
        <f t="shared" si="14"/>
        <v>0</v>
      </c>
      <c r="AL11" s="49" t="e">
        <f t="shared" si="15"/>
        <v>#DIV/0!</v>
      </c>
      <c r="AM11" s="50">
        <v>0</v>
      </c>
      <c r="AN11" s="50">
        <v>0</v>
      </c>
      <c r="AO11" s="50">
        <v>0</v>
      </c>
      <c r="AP11" s="50">
        <f t="shared" si="16"/>
        <v>0</v>
      </c>
      <c r="AQ11" s="50">
        <v>600</v>
      </c>
      <c r="AR11" s="50">
        <v>0</v>
      </c>
      <c r="AS11" s="50">
        <f t="shared" si="17"/>
        <v>600</v>
      </c>
      <c r="AT11" s="50">
        <f t="shared" si="18"/>
        <v>0</v>
      </c>
      <c r="AU11" s="50" t="e">
        <f t="shared" si="19"/>
        <v>#DIV/0!</v>
      </c>
      <c r="AV11" s="51">
        <v>0</v>
      </c>
      <c r="AW11" s="51">
        <v>0</v>
      </c>
      <c r="AX11" s="51">
        <v>0</v>
      </c>
      <c r="AY11" s="51">
        <f t="shared" si="20"/>
        <v>0</v>
      </c>
      <c r="AZ11" s="51">
        <v>1500</v>
      </c>
      <c r="BA11" s="51">
        <v>0</v>
      </c>
      <c r="BB11" s="51">
        <f t="shared" si="21"/>
        <v>1500</v>
      </c>
      <c r="BC11" s="51">
        <f t="shared" si="22"/>
        <v>0</v>
      </c>
      <c r="BD11" s="51" t="e">
        <f t="shared" si="23"/>
        <v>#DIV/0!</v>
      </c>
      <c r="BE11" s="52">
        <v>0</v>
      </c>
      <c r="BF11" s="52">
        <v>0</v>
      </c>
      <c r="BG11" s="52">
        <v>0</v>
      </c>
      <c r="BH11" s="52">
        <f t="shared" si="24"/>
        <v>0</v>
      </c>
      <c r="BI11" s="52">
        <v>750</v>
      </c>
      <c r="BJ11" s="52">
        <v>0</v>
      </c>
      <c r="BK11" s="52">
        <f t="shared" si="25"/>
        <v>750</v>
      </c>
      <c r="BL11" s="52">
        <f t="shared" si="26"/>
        <v>0</v>
      </c>
      <c r="BM11" s="52" t="e">
        <f t="shared" si="27"/>
        <v>#DIV/0!</v>
      </c>
      <c r="BN11" s="53">
        <v>0</v>
      </c>
      <c r="BO11" s="53">
        <v>0</v>
      </c>
      <c r="BP11" s="53">
        <v>0</v>
      </c>
      <c r="BQ11" s="53">
        <f t="shared" si="28"/>
        <v>0</v>
      </c>
      <c r="BR11" s="53">
        <v>2450</v>
      </c>
      <c r="BS11" s="53">
        <v>0</v>
      </c>
      <c r="BT11" s="53">
        <f t="shared" si="29"/>
        <v>2450</v>
      </c>
      <c r="BU11" s="53">
        <f t="shared" si="30"/>
        <v>0</v>
      </c>
      <c r="BV11" s="53" t="e">
        <f t="shared" si="31"/>
        <v>#DIV/0!</v>
      </c>
      <c r="BW11" s="54">
        <v>0</v>
      </c>
      <c r="BX11" s="54">
        <v>0</v>
      </c>
      <c r="BY11" s="54">
        <v>0</v>
      </c>
      <c r="BZ11" s="54">
        <f t="shared" si="32"/>
        <v>0</v>
      </c>
      <c r="CA11" s="54">
        <v>750</v>
      </c>
      <c r="CB11" s="54">
        <v>0</v>
      </c>
      <c r="CC11" s="54">
        <f t="shared" si="33"/>
        <v>750</v>
      </c>
      <c r="CD11" s="54">
        <f t="shared" si="34"/>
        <v>0</v>
      </c>
      <c r="CE11" s="54" t="e">
        <f t="shared" si="35"/>
        <v>#DIV/0!</v>
      </c>
      <c r="CF11" s="55">
        <v>0</v>
      </c>
      <c r="CG11" s="55">
        <v>0</v>
      </c>
      <c r="CH11" s="55">
        <v>0</v>
      </c>
      <c r="CI11" s="55">
        <f t="shared" si="36"/>
        <v>0</v>
      </c>
      <c r="CJ11" s="55">
        <v>730</v>
      </c>
      <c r="CK11" s="55">
        <v>0</v>
      </c>
      <c r="CL11" s="55">
        <f t="shared" si="37"/>
        <v>730</v>
      </c>
      <c r="CM11" s="55">
        <f t="shared" si="38"/>
        <v>0</v>
      </c>
      <c r="CN11" s="55" t="e">
        <f t="shared" si="39"/>
        <v>#DIV/0!</v>
      </c>
      <c r="CO11" s="56">
        <v>0</v>
      </c>
      <c r="CP11" s="56">
        <v>0</v>
      </c>
      <c r="CQ11" s="56">
        <v>0</v>
      </c>
      <c r="CR11" s="56">
        <f t="shared" si="40"/>
        <v>0</v>
      </c>
      <c r="CS11" s="56">
        <v>730</v>
      </c>
      <c r="CT11" s="56">
        <v>0</v>
      </c>
      <c r="CU11" s="56">
        <f t="shared" si="41"/>
        <v>730</v>
      </c>
      <c r="CV11" s="56">
        <f t="shared" si="42"/>
        <v>0</v>
      </c>
      <c r="CW11" s="56" t="e">
        <f t="shared" si="43"/>
        <v>#DIV/0!</v>
      </c>
      <c r="CX11" s="57">
        <v>0</v>
      </c>
      <c r="CY11" s="57">
        <v>0</v>
      </c>
      <c r="CZ11" s="57">
        <v>0</v>
      </c>
      <c r="DA11" s="57">
        <f t="shared" si="44"/>
        <v>0</v>
      </c>
      <c r="DB11" s="57">
        <v>600</v>
      </c>
      <c r="DC11" s="57">
        <v>0</v>
      </c>
      <c r="DD11" s="57">
        <f t="shared" si="45"/>
        <v>600</v>
      </c>
      <c r="DE11" s="57">
        <f t="shared" si="46"/>
        <v>0</v>
      </c>
      <c r="DF11" s="57" t="e">
        <f t="shared" si="47"/>
        <v>#DIV/0!</v>
      </c>
    </row>
    <row r="12" spans="1:110" ht="14.25" customHeight="1">
      <c r="A12" s="60"/>
      <c r="B12" s="44"/>
      <c r="C12" s="45">
        <v>0</v>
      </c>
      <c r="D12" s="45">
        <v>0</v>
      </c>
      <c r="E12" s="45">
        <v>0</v>
      </c>
      <c r="F12" s="45">
        <f t="shared" si="0"/>
        <v>0</v>
      </c>
      <c r="G12" s="45">
        <v>900</v>
      </c>
      <c r="H12" s="45">
        <v>0</v>
      </c>
      <c r="I12" s="45">
        <f t="shared" si="1"/>
        <v>900</v>
      </c>
      <c r="J12" s="45">
        <f t="shared" si="2"/>
        <v>0</v>
      </c>
      <c r="K12" s="45" t="e">
        <f t="shared" si="3"/>
        <v>#DIV/0!</v>
      </c>
      <c r="L12" s="47">
        <v>0</v>
      </c>
      <c r="M12" s="47">
        <v>0</v>
      </c>
      <c r="N12" s="47">
        <v>0</v>
      </c>
      <c r="O12" s="47">
        <f t="shared" si="4"/>
        <v>0</v>
      </c>
      <c r="P12" s="47">
        <v>1800</v>
      </c>
      <c r="Q12" s="47">
        <v>0</v>
      </c>
      <c r="R12" s="47">
        <f t="shared" si="5"/>
        <v>1800</v>
      </c>
      <c r="S12" s="47">
        <f t="shared" si="6"/>
        <v>0</v>
      </c>
      <c r="T12" s="47" t="e">
        <f t="shared" si="7"/>
        <v>#DIV/0!</v>
      </c>
      <c r="U12" s="48">
        <v>0</v>
      </c>
      <c r="V12" s="48">
        <v>0</v>
      </c>
      <c r="W12" s="48">
        <v>0</v>
      </c>
      <c r="X12" s="48">
        <f t="shared" si="8"/>
        <v>0</v>
      </c>
      <c r="Y12" s="48">
        <v>910</v>
      </c>
      <c r="Z12" s="48">
        <v>0</v>
      </c>
      <c r="AA12" s="48">
        <f t="shared" si="9"/>
        <v>910</v>
      </c>
      <c r="AB12" s="48">
        <f t="shared" si="10"/>
        <v>0</v>
      </c>
      <c r="AC12" s="48" t="e">
        <f t="shared" si="11"/>
        <v>#DIV/0!</v>
      </c>
      <c r="AD12" s="49">
        <v>0</v>
      </c>
      <c r="AE12" s="49">
        <v>0</v>
      </c>
      <c r="AF12" s="49">
        <v>0</v>
      </c>
      <c r="AG12" s="49">
        <f t="shared" si="12"/>
        <v>0</v>
      </c>
      <c r="AH12" s="49">
        <v>1200</v>
      </c>
      <c r="AI12" s="49">
        <v>0</v>
      </c>
      <c r="AJ12" s="49">
        <f t="shared" si="13"/>
        <v>1200</v>
      </c>
      <c r="AK12" s="49">
        <f t="shared" si="14"/>
        <v>0</v>
      </c>
      <c r="AL12" s="49" t="e">
        <f t="shared" si="15"/>
        <v>#DIV/0!</v>
      </c>
      <c r="AM12" s="50">
        <v>0</v>
      </c>
      <c r="AN12" s="50">
        <v>0</v>
      </c>
      <c r="AO12" s="50">
        <v>0</v>
      </c>
      <c r="AP12" s="50">
        <f t="shared" si="16"/>
        <v>0</v>
      </c>
      <c r="AQ12" s="50">
        <v>600</v>
      </c>
      <c r="AR12" s="50">
        <v>0</v>
      </c>
      <c r="AS12" s="50">
        <f t="shared" si="17"/>
        <v>600</v>
      </c>
      <c r="AT12" s="50">
        <f t="shared" si="18"/>
        <v>0</v>
      </c>
      <c r="AU12" s="50" t="e">
        <f t="shared" si="19"/>
        <v>#DIV/0!</v>
      </c>
      <c r="AV12" s="51">
        <v>0</v>
      </c>
      <c r="AW12" s="51">
        <v>0</v>
      </c>
      <c r="AX12" s="51">
        <v>0</v>
      </c>
      <c r="AY12" s="51">
        <f t="shared" si="20"/>
        <v>0</v>
      </c>
      <c r="AZ12" s="51">
        <v>1500</v>
      </c>
      <c r="BA12" s="51">
        <v>0</v>
      </c>
      <c r="BB12" s="51">
        <f t="shared" si="21"/>
        <v>1500</v>
      </c>
      <c r="BC12" s="51">
        <f t="shared" si="22"/>
        <v>0</v>
      </c>
      <c r="BD12" s="51" t="e">
        <f t="shared" si="23"/>
        <v>#DIV/0!</v>
      </c>
      <c r="BE12" s="52">
        <v>0</v>
      </c>
      <c r="BF12" s="52">
        <v>0</v>
      </c>
      <c r="BG12" s="52">
        <v>0</v>
      </c>
      <c r="BH12" s="52">
        <f t="shared" si="24"/>
        <v>0</v>
      </c>
      <c r="BI12" s="52">
        <v>750</v>
      </c>
      <c r="BJ12" s="52">
        <v>0</v>
      </c>
      <c r="BK12" s="52">
        <f t="shared" si="25"/>
        <v>750</v>
      </c>
      <c r="BL12" s="52">
        <f t="shared" si="26"/>
        <v>0</v>
      </c>
      <c r="BM12" s="52" t="e">
        <f t="shared" si="27"/>
        <v>#DIV/0!</v>
      </c>
      <c r="BN12" s="53">
        <v>0</v>
      </c>
      <c r="BO12" s="53">
        <v>0</v>
      </c>
      <c r="BP12" s="53">
        <v>0</v>
      </c>
      <c r="BQ12" s="53">
        <f t="shared" si="28"/>
        <v>0</v>
      </c>
      <c r="BR12" s="53">
        <v>2450</v>
      </c>
      <c r="BS12" s="53">
        <v>0</v>
      </c>
      <c r="BT12" s="53">
        <f t="shared" si="29"/>
        <v>2450</v>
      </c>
      <c r="BU12" s="53">
        <f t="shared" si="30"/>
        <v>0</v>
      </c>
      <c r="BV12" s="53" t="e">
        <f t="shared" si="31"/>
        <v>#DIV/0!</v>
      </c>
      <c r="BW12" s="54">
        <v>0</v>
      </c>
      <c r="BX12" s="54">
        <v>0</v>
      </c>
      <c r="BY12" s="54">
        <v>0</v>
      </c>
      <c r="BZ12" s="54">
        <f t="shared" si="32"/>
        <v>0</v>
      </c>
      <c r="CA12" s="54">
        <v>750</v>
      </c>
      <c r="CB12" s="54">
        <v>0</v>
      </c>
      <c r="CC12" s="54">
        <f t="shared" si="33"/>
        <v>750</v>
      </c>
      <c r="CD12" s="54">
        <f t="shared" si="34"/>
        <v>0</v>
      </c>
      <c r="CE12" s="54" t="e">
        <f t="shared" si="35"/>
        <v>#DIV/0!</v>
      </c>
      <c r="CF12" s="55">
        <v>0</v>
      </c>
      <c r="CG12" s="55">
        <v>0</v>
      </c>
      <c r="CH12" s="55">
        <v>0</v>
      </c>
      <c r="CI12" s="55">
        <f t="shared" si="36"/>
        <v>0</v>
      </c>
      <c r="CJ12" s="55">
        <v>730</v>
      </c>
      <c r="CK12" s="55">
        <v>0</v>
      </c>
      <c r="CL12" s="55">
        <f t="shared" si="37"/>
        <v>730</v>
      </c>
      <c r="CM12" s="55">
        <f t="shared" si="38"/>
        <v>0</v>
      </c>
      <c r="CN12" s="55" t="e">
        <f t="shared" si="39"/>
        <v>#DIV/0!</v>
      </c>
      <c r="CO12" s="56">
        <v>0</v>
      </c>
      <c r="CP12" s="56">
        <v>0</v>
      </c>
      <c r="CQ12" s="56">
        <v>0</v>
      </c>
      <c r="CR12" s="56">
        <f t="shared" si="40"/>
        <v>0</v>
      </c>
      <c r="CS12" s="56">
        <v>730</v>
      </c>
      <c r="CT12" s="56">
        <v>0</v>
      </c>
      <c r="CU12" s="56">
        <f t="shared" si="41"/>
        <v>730</v>
      </c>
      <c r="CV12" s="56">
        <f t="shared" si="42"/>
        <v>0</v>
      </c>
      <c r="CW12" s="56" t="e">
        <f t="shared" si="43"/>
        <v>#DIV/0!</v>
      </c>
      <c r="CX12" s="57">
        <v>0</v>
      </c>
      <c r="CY12" s="57">
        <v>0</v>
      </c>
      <c r="CZ12" s="57">
        <v>0</v>
      </c>
      <c r="DA12" s="57">
        <f t="shared" si="44"/>
        <v>0</v>
      </c>
      <c r="DB12" s="57">
        <v>600</v>
      </c>
      <c r="DC12" s="57">
        <v>0</v>
      </c>
      <c r="DD12" s="57">
        <f t="shared" si="45"/>
        <v>600</v>
      </c>
      <c r="DE12" s="57">
        <f t="shared" si="46"/>
        <v>0</v>
      </c>
      <c r="DF12" s="57" t="e">
        <f t="shared" si="47"/>
        <v>#DIV/0!</v>
      </c>
    </row>
    <row r="13" spans="1:110" ht="14.25" customHeight="1">
      <c r="A13" s="60"/>
      <c r="B13" s="44"/>
      <c r="C13" s="45">
        <v>0</v>
      </c>
      <c r="D13" s="45">
        <v>0</v>
      </c>
      <c r="E13" s="45">
        <v>0</v>
      </c>
      <c r="F13" s="45">
        <f t="shared" si="0"/>
        <v>0</v>
      </c>
      <c r="G13" s="45">
        <v>900</v>
      </c>
      <c r="H13" s="45">
        <v>0</v>
      </c>
      <c r="I13" s="45">
        <f t="shared" si="1"/>
        <v>900</v>
      </c>
      <c r="J13" s="45">
        <f t="shared" si="2"/>
        <v>0</v>
      </c>
      <c r="K13" s="45" t="e">
        <f t="shared" si="3"/>
        <v>#DIV/0!</v>
      </c>
      <c r="L13" s="47">
        <v>0</v>
      </c>
      <c r="M13" s="47">
        <v>0</v>
      </c>
      <c r="N13" s="47">
        <v>0</v>
      </c>
      <c r="O13" s="47">
        <f t="shared" si="4"/>
        <v>0</v>
      </c>
      <c r="P13" s="47">
        <v>1800</v>
      </c>
      <c r="Q13" s="47">
        <v>0</v>
      </c>
      <c r="R13" s="47">
        <f t="shared" si="5"/>
        <v>1800</v>
      </c>
      <c r="S13" s="47">
        <f t="shared" si="6"/>
        <v>0</v>
      </c>
      <c r="T13" s="47" t="e">
        <f t="shared" si="7"/>
        <v>#DIV/0!</v>
      </c>
      <c r="U13" s="48">
        <v>0</v>
      </c>
      <c r="V13" s="48">
        <v>0</v>
      </c>
      <c r="W13" s="48">
        <v>0</v>
      </c>
      <c r="X13" s="48">
        <f t="shared" si="8"/>
        <v>0</v>
      </c>
      <c r="Y13" s="48">
        <v>910</v>
      </c>
      <c r="Z13" s="48">
        <v>0</v>
      </c>
      <c r="AA13" s="48">
        <f t="shared" si="9"/>
        <v>910</v>
      </c>
      <c r="AB13" s="48">
        <f t="shared" si="10"/>
        <v>0</v>
      </c>
      <c r="AC13" s="48" t="e">
        <f t="shared" si="11"/>
        <v>#DIV/0!</v>
      </c>
      <c r="AD13" s="49">
        <v>0</v>
      </c>
      <c r="AE13" s="49">
        <v>0</v>
      </c>
      <c r="AF13" s="49">
        <v>0</v>
      </c>
      <c r="AG13" s="49">
        <f t="shared" si="12"/>
        <v>0</v>
      </c>
      <c r="AH13" s="49">
        <v>1200</v>
      </c>
      <c r="AI13" s="49">
        <v>0</v>
      </c>
      <c r="AJ13" s="49">
        <f t="shared" si="13"/>
        <v>1200</v>
      </c>
      <c r="AK13" s="49">
        <f t="shared" si="14"/>
        <v>0</v>
      </c>
      <c r="AL13" s="49" t="e">
        <f t="shared" si="15"/>
        <v>#DIV/0!</v>
      </c>
      <c r="AM13" s="50">
        <v>0</v>
      </c>
      <c r="AN13" s="50">
        <v>0</v>
      </c>
      <c r="AO13" s="50">
        <v>0</v>
      </c>
      <c r="AP13" s="50">
        <f t="shared" si="16"/>
        <v>0</v>
      </c>
      <c r="AQ13" s="50">
        <v>600</v>
      </c>
      <c r="AR13" s="50">
        <v>0</v>
      </c>
      <c r="AS13" s="50">
        <f t="shared" si="17"/>
        <v>600</v>
      </c>
      <c r="AT13" s="50">
        <f t="shared" si="18"/>
        <v>0</v>
      </c>
      <c r="AU13" s="50" t="e">
        <f t="shared" si="19"/>
        <v>#DIV/0!</v>
      </c>
      <c r="AV13" s="51">
        <v>0</v>
      </c>
      <c r="AW13" s="51">
        <v>0</v>
      </c>
      <c r="AX13" s="51">
        <v>0</v>
      </c>
      <c r="AY13" s="51">
        <f t="shared" si="20"/>
        <v>0</v>
      </c>
      <c r="AZ13" s="51">
        <v>1500</v>
      </c>
      <c r="BA13" s="51">
        <v>0</v>
      </c>
      <c r="BB13" s="51">
        <f t="shared" si="21"/>
        <v>1500</v>
      </c>
      <c r="BC13" s="51">
        <f t="shared" si="22"/>
        <v>0</v>
      </c>
      <c r="BD13" s="51" t="e">
        <f t="shared" si="23"/>
        <v>#DIV/0!</v>
      </c>
      <c r="BE13" s="52">
        <v>0</v>
      </c>
      <c r="BF13" s="52">
        <v>0</v>
      </c>
      <c r="BG13" s="52">
        <v>0</v>
      </c>
      <c r="BH13" s="52">
        <f t="shared" si="24"/>
        <v>0</v>
      </c>
      <c r="BI13" s="52">
        <v>750</v>
      </c>
      <c r="BJ13" s="52">
        <v>0</v>
      </c>
      <c r="BK13" s="52">
        <f t="shared" si="25"/>
        <v>750</v>
      </c>
      <c r="BL13" s="52">
        <f t="shared" si="26"/>
        <v>0</v>
      </c>
      <c r="BM13" s="52" t="e">
        <f t="shared" si="27"/>
        <v>#DIV/0!</v>
      </c>
      <c r="BN13" s="53">
        <v>0</v>
      </c>
      <c r="BO13" s="53">
        <v>56</v>
      </c>
      <c r="BP13" s="53">
        <v>1</v>
      </c>
      <c r="BQ13" s="53">
        <f t="shared" si="28"/>
        <v>55</v>
      </c>
      <c r="BR13" s="53">
        <v>2450</v>
      </c>
      <c r="BS13" s="53">
        <v>350</v>
      </c>
      <c r="BT13" s="53">
        <f t="shared" si="29"/>
        <v>2100</v>
      </c>
      <c r="BU13" s="53">
        <f t="shared" si="30"/>
        <v>115500</v>
      </c>
      <c r="BV13" s="53">
        <f t="shared" si="31"/>
        <v>1.7857142857142856</v>
      </c>
      <c r="BW13" s="54">
        <v>0</v>
      </c>
      <c r="BX13" s="54">
        <v>20</v>
      </c>
      <c r="BY13" s="54">
        <v>0</v>
      </c>
      <c r="BZ13" s="54">
        <f t="shared" si="32"/>
        <v>20</v>
      </c>
      <c r="CA13" s="54">
        <v>750</v>
      </c>
      <c r="CB13" s="54">
        <v>80</v>
      </c>
      <c r="CC13" s="54">
        <f t="shared" si="33"/>
        <v>670</v>
      </c>
      <c r="CD13" s="54">
        <f t="shared" si="34"/>
        <v>13400</v>
      </c>
      <c r="CE13" s="54">
        <f t="shared" si="35"/>
        <v>0</v>
      </c>
      <c r="CF13" s="55">
        <v>0</v>
      </c>
      <c r="CG13" s="55">
        <v>0</v>
      </c>
      <c r="CH13" s="55">
        <v>0</v>
      </c>
      <c r="CI13" s="55">
        <f t="shared" si="36"/>
        <v>0</v>
      </c>
      <c r="CJ13" s="55">
        <v>730</v>
      </c>
      <c r="CK13" s="55">
        <v>0</v>
      </c>
      <c r="CL13" s="55">
        <f t="shared" si="37"/>
        <v>730</v>
      </c>
      <c r="CM13" s="55">
        <f t="shared" si="38"/>
        <v>0</v>
      </c>
      <c r="CN13" s="55" t="e">
        <f t="shared" si="39"/>
        <v>#DIV/0!</v>
      </c>
      <c r="CO13" s="56">
        <v>0</v>
      </c>
      <c r="CP13" s="56">
        <v>0</v>
      </c>
      <c r="CQ13" s="56">
        <v>0</v>
      </c>
      <c r="CR13" s="56">
        <f t="shared" si="40"/>
        <v>0</v>
      </c>
      <c r="CS13" s="56">
        <v>730</v>
      </c>
      <c r="CT13" s="56">
        <v>0</v>
      </c>
      <c r="CU13" s="56">
        <f t="shared" si="41"/>
        <v>730</v>
      </c>
      <c r="CV13" s="56">
        <f t="shared" si="42"/>
        <v>0</v>
      </c>
      <c r="CW13" s="56" t="e">
        <f t="shared" si="43"/>
        <v>#DIV/0!</v>
      </c>
      <c r="CX13" s="57">
        <v>0</v>
      </c>
      <c r="CY13" s="57">
        <v>0</v>
      </c>
      <c r="CZ13" s="57">
        <v>0</v>
      </c>
      <c r="DA13" s="57">
        <f t="shared" si="44"/>
        <v>0</v>
      </c>
      <c r="DB13" s="57">
        <v>600</v>
      </c>
      <c r="DC13" s="57">
        <v>0</v>
      </c>
      <c r="DD13" s="57">
        <f t="shared" si="45"/>
        <v>600</v>
      </c>
      <c r="DE13" s="57">
        <f t="shared" si="46"/>
        <v>0</v>
      </c>
      <c r="DF13" s="57" t="e">
        <f t="shared" si="47"/>
        <v>#DIV/0!</v>
      </c>
    </row>
    <row r="14" spans="1:110" ht="14.25" customHeight="1">
      <c r="A14" s="60"/>
      <c r="B14" s="44"/>
      <c r="C14" s="45">
        <v>0</v>
      </c>
      <c r="D14" s="45">
        <v>18</v>
      </c>
      <c r="E14" s="45">
        <v>0</v>
      </c>
      <c r="F14" s="45">
        <f t="shared" si="0"/>
        <v>18</v>
      </c>
      <c r="G14" s="45">
        <v>900</v>
      </c>
      <c r="H14" s="45">
        <v>60</v>
      </c>
      <c r="I14" s="45">
        <f t="shared" si="1"/>
        <v>840</v>
      </c>
      <c r="J14" s="45">
        <f t="shared" si="2"/>
        <v>15120</v>
      </c>
      <c r="K14" s="45">
        <f t="shared" si="3"/>
        <v>0</v>
      </c>
      <c r="L14" s="47">
        <v>0</v>
      </c>
      <c r="M14" s="47">
        <v>0</v>
      </c>
      <c r="N14" s="47">
        <v>0</v>
      </c>
      <c r="O14" s="47">
        <f t="shared" si="4"/>
        <v>0</v>
      </c>
      <c r="P14" s="47">
        <v>1800</v>
      </c>
      <c r="Q14" s="47">
        <v>0</v>
      </c>
      <c r="R14" s="47">
        <f t="shared" si="5"/>
        <v>1800</v>
      </c>
      <c r="S14" s="47">
        <f t="shared" si="6"/>
        <v>0</v>
      </c>
      <c r="T14" s="47" t="e">
        <f t="shared" si="7"/>
        <v>#DIV/0!</v>
      </c>
      <c r="U14" s="48">
        <v>0</v>
      </c>
      <c r="V14" s="48">
        <v>0</v>
      </c>
      <c r="W14" s="48">
        <v>0</v>
      </c>
      <c r="X14" s="48">
        <f t="shared" si="8"/>
        <v>0</v>
      </c>
      <c r="Y14" s="48">
        <v>910</v>
      </c>
      <c r="Z14" s="48">
        <v>0</v>
      </c>
      <c r="AA14" s="48">
        <f t="shared" si="9"/>
        <v>910</v>
      </c>
      <c r="AB14" s="48">
        <f t="shared" si="10"/>
        <v>0</v>
      </c>
      <c r="AC14" s="48" t="e">
        <f t="shared" si="11"/>
        <v>#DIV/0!</v>
      </c>
      <c r="AD14" s="49">
        <v>0</v>
      </c>
      <c r="AE14" s="49">
        <v>0</v>
      </c>
      <c r="AF14" s="49">
        <v>0</v>
      </c>
      <c r="AG14" s="49">
        <f t="shared" si="12"/>
        <v>0</v>
      </c>
      <c r="AH14" s="49">
        <v>1200</v>
      </c>
      <c r="AI14" s="49">
        <v>0</v>
      </c>
      <c r="AJ14" s="49">
        <f t="shared" si="13"/>
        <v>1200</v>
      </c>
      <c r="AK14" s="49">
        <f t="shared" si="14"/>
        <v>0</v>
      </c>
      <c r="AL14" s="49" t="e">
        <f t="shared" si="15"/>
        <v>#DIV/0!</v>
      </c>
      <c r="AM14" s="50">
        <v>0</v>
      </c>
      <c r="AN14" s="50">
        <v>0</v>
      </c>
      <c r="AO14" s="50">
        <v>0</v>
      </c>
      <c r="AP14" s="50">
        <f t="shared" si="16"/>
        <v>0</v>
      </c>
      <c r="AQ14" s="50">
        <v>600</v>
      </c>
      <c r="AR14" s="50">
        <v>0</v>
      </c>
      <c r="AS14" s="50">
        <f t="shared" si="17"/>
        <v>600</v>
      </c>
      <c r="AT14" s="50">
        <f t="shared" si="18"/>
        <v>0</v>
      </c>
      <c r="AU14" s="50" t="e">
        <f t="shared" si="19"/>
        <v>#DIV/0!</v>
      </c>
      <c r="AV14" s="51">
        <v>0</v>
      </c>
      <c r="AW14" s="51">
        <v>0</v>
      </c>
      <c r="AX14" s="51">
        <v>0</v>
      </c>
      <c r="AY14" s="51">
        <f t="shared" si="20"/>
        <v>0</v>
      </c>
      <c r="AZ14" s="51">
        <v>1500</v>
      </c>
      <c r="BA14" s="51">
        <v>0</v>
      </c>
      <c r="BB14" s="51">
        <f t="shared" si="21"/>
        <v>1500</v>
      </c>
      <c r="BC14" s="51">
        <f t="shared" si="22"/>
        <v>0</v>
      </c>
      <c r="BD14" s="51" t="e">
        <f t="shared" si="23"/>
        <v>#DIV/0!</v>
      </c>
      <c r="BE14" s="52">
        <v>0</v>
      </c>
      <c r="BF14" s="52">
        <v>0</v>
      </c>
      <c r="BG14" s="52">
        <v>0</v>
      </c>
      <c r="BH14" s="52">
        <f t="shared" si="24"/>
        <v>0</v>
      </c>
      <c r="BI14" s="52">
        <v>750</v>
      </c>
      <c r="BJ14" s="52">
        <v>0</v>
      </c>
      <c r="BK14" s="52">
        <f t="shared" si="25"/>
        <v>750</v>
      </c>
      <c r="BL14" s="52">
        <f t="shared" si="26"/>
        <v>0</v>
      </c>
      <c r="BM14" s="52" t="e">
        <f t="shared" si="27"/>
        <v>#DIV/0!</v>
      </c>
      <c r="BN14" s="53">
        <v>0</v>
      </c>
      <c r="BO14" s="53">
        <v>0</v>
      </c>
      <c r="BP14" s="53">
        <v>0</v>
      </c>
      <c r="BQ14" s="53">
        <f t="shared" si="28"/>
        <v>0</v>
      </c>
      <c r="BR14" s="53">
        <v>2450</v>
      </c>
      <c r="BS14" s="53">
        <v>0</v>
      </c>
      <c r="BT14" s="53">
        <f t="shared" si="29"/>
        <v>2450</v>
      </c>
      <c r="BU14" s="53">
        <f t="shared" si="30"/>
        <v>0</v>
      </c>
      <c r="BV14" s="53" t="e">
        <f t="shared" si="31"/>
        <v>#DIV/0!</v>
      </c>
      <c r="BW14" s="54">
        <v>0</v>
      </c>
      <c r="BX14" s="54">
        <v>0</v>
      </c>
      <c r="BY14" s="54">
        <v>0</v>
      </c>
      <c r="BZ14" s="54">
        <f t="shared" si="32"/>
        <v>0</v>
      </c>
      <c r="CA14" s="54">
        <v>750</v>
      </c>
      <c r="CB14" s="54">
        <v>0</v>
      </c>
      <c r="CC14" s="54">
        <f t="shared" si="33"/>
        <v>750</v>
      </c>
      <c r="CD14" s="54">
        <f t="shared" si="34"/>
        <v>0</v>
      </c>
      <c r="CE14" s="54" t="e">
        <f t="shared" si="35"/>
        <v>#DIV/0!</v>
      </c>
      <c r="CF14" s="55">
        <v>0</v>
      </c>
      <c r="CG14" s="55">
        <v>0</v>
      </c>
      <c r="CH14" s="55">
        <v>0</v>
      </c>
      <c r="CI14" s="55">
        <f t="shared" si="36"/>
        <v>0</v>
      </c>
      <c r="CJ14" s="55">
        <v>730</v>
      </c>
      <c r="CK14" s="55">
        <v>0</v>
      </c>
      <c r="CL14" s="55">
        <f t="shared" si="37"/>
        <v>730</v>
      </c>
      <c r="CM14" s="55">
        <f t="shared" si="38"/>
        <v>0</v>
      </c>
      <c r="CN14" s="55" t="e">
        <f t="shared" si="39"/>
        <v>#DIV/0!</v>
      </c>
      <c r="CO14" s="56">
        <v>0</v>
      </c>
      <c r="CP14" s="56">
        <v>0</v>
      </c>
      <c r="CQ14" s="56">
        <v>0</v>
      </c>
      <c r="CR14" s="56">
        <f t="shared" si="40"/>
        <v>0</v>
      </c>
      <c r="CS14" s="56">
        <v>730</v>
      </c>
      <c r="CT14" s="56">
        <v>0</v>
      </c>
      <c r="CU14" s="56">
        <f t="shared" si="41"/>
        <v>730</v>
      </c>
      <c r="CV14" s="56">
        <f t="shared" si="42"/>
        <v>0</v>
      </c>
      <c r="CW14" s="56" t="e">
        <f t="shared" si="43"/>
        <v>#DIV/0!</v>
      </c>
      <c r="CX14" s="57">
        <v>0</v>
      </c>
      <c r="CY14" s="57">
        <v>0</v>
      </c>
      <c r="CZ14" s="57">
        <v>0</v>
      </c>
      <c r="DA14" s="57">
        <f t="shared" si="44"/>
        <v>0</v>
      </c>
      <c r="DB14" s="57">
        <v>600</v>
      </c>
      <c r="DC14" s="57">
        <v>0</v>
      </c>
      <c r="DD14" s="57">
        <f t="shared" si="45"/>
        <v>600</v>
      </c>
      <c r="DE14" s="57">
        <f t="shared" si="46"/>
        <v>0</v>
      </c>
      <c r="DF14" s="57" t="e">
        <f t="shared" si="47"/>
        <v>#DIV/0!</v>
      </c>
    </row>
    <row r="15" spans="1:110" ht="14.25" customHeight="1">
      <c r="A15" s="60"/>
      <c r="B15" s="44"/>
      <c r="C15" s="45">
        <v>0</v>
      </c>
      <c r="D15" s="45">
        <v>0</v>
      </c>
      <c r="E15" s="45">
        <v>0</v>
      </c>
      <c r="F15" s="45">
        <f t="shared" si="0"/>
        <v>0</v>
      </c>
      <c r="G15" s="45">
        <v>900</v>
      </c>
      <c r="H15" s="45">
        <v>0</v>
      </c>
      <c r="I15" s="45">
        <f t="shared" si="1"/>
        <v>900</v>
      </c>
      <c r="J15" s="45">
        <f t="shared" si="2"/>
        <v>0</v>
      </c>
      <c r="K15" s="45" t="e">
        <f t="shared" si="3"/>
        <v>#DIV/0!</v>
      </c>
      <c r="L15" s="47">
        <v>0</v>
      </c>
      <c r="M15" s="47">
        <v>0</v>
      </c>
      <c r="N15" s="47">
        <v>0</v>
      </c>
      <c r="O15" s="47">
        <f t="shared" si="4"/>
        <v>0</v>
      </c>
      <c r="P15" s="47">
        <v>1800</v>
      </c>
      <c r="Q15" s="47">
        <v>0</v>
      </c>
      <c r="R15" s="47">
        <f t="shared" si="5"/>
        <v>1800</v>
      </c>
      <c r="S15" s="47">
        <f t="shared" si="6"/>
        <v>0</v>
      </c>
      <c r="T15" s="47" t="e">
        <f t="shared" si="7"/>
        <v>#DIV/0!</v>
      </c>
      <c r="U15" s="48">
        <v>0</v>
      </c>
      <c r="V15" s="48">
        <v>0</v>
      </c>
      <c r="W15" s="48">
        <v>0</v>
      </c>
      <c r="X15" s="48">
        <f t="shared" si="8"/>
        <v>0</v>
      </c>
      <c r="Y15" s="48">
        <v>910</v>
      </c>
      <c r="Z15" s="48">
        <v>0</v>
      </c>
      <c r="AA15" s="48">
        <f t="shared" si="9"/>
        <v>910</v>
      </c>
      <c r="AB15" s="48">
        <f t="shared" si="10"/>
        <v>0</v>
      </c>
      <c r="AC15" s="48" t="e">
        <f t="shared" si="11"/>
        <v>#DIV/0!</v>
      </c>
      <c r="AD15" s="49">
        <v>0</v>
      </c>
      <c r="AE15" s="49">
        <v>0</v>
      </c>
      <c r="AF15" s="49">
        <v>0</v>
      </c>
      <c r="AG15" s="49">
        <f t="shared" si="12"/>
        <v>0</v>
      </c>
      <c r="AH15" s="49">
        <v>1200</v>
      </c>
      <c r="AI15" s="49">
        <v>0</v>
      </c>
      <c r="AJ15" s="49">
        <f t="shared" si="13"/>
        <v>1200</v>
      </c>
      <c r="AK15" s="49">
        <f t="shared" si="14"/>
        <v>0</v>
      </c>
      <c r="AL15" s="49" t="e">
        <f t="shared" si="15"/>
        <v>#DIV/0!</v>
      </c>
      <c r="AM15" s="50">
        <v>0</v>
      </c>
      <c r="AN15" s="50">
        <v>0</v>
      </c>
      <c r="AO15" s="50">
        <v>0</v>
      </c>
      <c r="AP15" s="50">
        <f t="shared" si="16"/>
        <v>0</v>
      </c>
      <c r="AQ15" s="50">
        <v>600</v>
      </c>
      <c r="AR15" s="50">
        <v>0</v>
      </c>
      <c r="AS15" s="50">
        <f t="shared" si="17"/>
        <v>600</v>
      </c>
      <c r="AT15" s="50">
        <f t="shared" si="18"/>
        <v>0</v>
      </c>
      <c r="AU15" s="50" t="e">
        <f t="shared" si="19"/>
        <v>#DIV/0!</v>
      </c>
      <c r="AV15" s="51">
        <v>0</v>
      </c>
      <c r="AW15" s="51">
        <v>0</v>
      </c>
      <c r="AX15" s="51">
        <v>0</v>
      </c>
      <c r="AY15" s="51">
        <f t="shared" si="20"/>
        <v>0</v>
      </c>
      <c r="AZ15" s="51">
        <v>1500</v>
      </c>
      <c r="BA15" s="51">
        <v>0</v>
      </c>
      <c r="BB15" s="51">
        <f t="shared" si="21"/>
        <v>1500</v>
      </c>
      <c r="BC15" s="51">
        <f t="shared" si="22"/>
        <v>0</v>
      </c>
      <c r="BD15" s="51" t="e">
        <f t="shared" si="23"/>
        <v>#DIV/0!</v>
      </c>
      <c r="BE15" s="52">
        <v>0</v>
      </c>
      <c r="BF15" s="52">
        <v>0</v>
      </c>
      <c r="BG15" s="52">
        <v>0</v>
      </c>
      <c r="BH15" s="52">
        <f t="shared" si="24"/>
        <v>0</v>
      </c>
      <c r="BI15" s="52">
        <v>750</v>
      </c>
      <c r="BJ15" s="52">
        <v>0</v>
      </c>
      <c r="BK15" s="52">
        <f t="shared" si="25"/>
        <v>750</v>
      </c>
      <c r="BL15" s="52">
        <f t="shared" si="26"/>
        <v>0</v>
      </c>
      <c r="BM15" s="52" t="e">
        <f t="shared" si="27"/>
        <v>#DIV/0!</v>
      </c>
      <c r="BN15" s="53">
        <v>0</v>
      </c>
      <c r="BO15" s="53">
        <v>8</v>
      </c>
      <c r="BP15" s="53">
        <v>1</v>
      </c>
      <c r="BQ15" s="53">
        <f t="shared" si="28"/>
        <v>7</v>
      </c>
      <c r="BR15" s="53">
        <v>2450</v>
      </c>
      <c r="BS15" s="53">
        <v>350</v>
      </c>
      <c r="BT15" s="53">
        <f t="shared" si="29"/>
        <v>2100</v>
      </c>
      <c r="BU15" s="53">
        <f t="shared" si="30"/>
        <v>14700</v>
      </c>
      <c r="BV15" s="53">
        <f t="shared" si="31"/>
        <v>12.5</v>
      </c>
      <c r="BW15" s="54">
        <v>0</v>
      </c>
      <c r="BX15" s="54">
        <v>0</v>
      </c>
      <c r="BY15" s="54">
        <v>0</v>
      </c>
      <c r="BZ15" s="54">
        <f t="shared" si="32"/>
        <v>0</v>
      </c>
      <c r="CA15" s="54">
        <v>750</v>
      </c>
      <c r="CB15" s="54">
        <v>0</v>
      </c>
      <c r="CC15" s="54">
        <f t="shared" si="33"/>
        <v>750</v>
      </c>
      <c r="CD15" s="54">
        <f t="shared" si="34"/>
        <v>0</v>
      </c>
      <c r="CE15" s="54" t="e">
        <f t="shared" si="35"/>
        <v>#DIV/0!</v>
      </c>
      <c r="CF15" s="55">
        <v>0</v>
      </c>
      <c r="CG15" s="55">
        <v>0</v>
      </c>
      <c r="CH15" s="55">
        <v>0</v>
      </c>
      <c r="CI15" s="55">
        <f t="shared" si="36"/>
        <v>0</v>
      </c>
      <c r="CJ15" s="55">
        <v>730</v>
      </c>
      <c r="CK15" s="55">
        <v>0</v>
      </c>
      <c r="CL15" s="55">
        <f t="shared" si="37"/>
        <v>730</v>
      </c>
      <c r="CM15" s="55">
        <f t="shared" si="38"/>
        <v>0</v>
      </c>
      <c r="CN15" s="55" t="e">
        <f t="shared" si="39"/>
        <v>#DIV/0!</v>
      </c>
      <c r="CO15" s="56">
        <v>0</v>
      </c>
      <c r="CP15" s="56">
        <v>0</v>
      </c>
      <c r="CQ15" s="56">
        <v>0</v>
      </c>
      <c r="CR15" s="56">
        <f t="shared" si="40"/>
        <v>0</v>
      </c>
      <c r="CS15" s="56">
        <v>730</v>
      </c>
      <c r="CT15" s="56">
        <v>0</v>
      </c>
      <c r="CU15" s="56">
        <f t="shared" si="41"/>
        <v>730</v>
      </c>
      <c r="CV15" s="56">
        <f t="shared" si="42"/>
        <v>0</v>
      </c>
      <c r="CW15" s="56" t="e">
        <f t="shared" si="43"/>
        <v>#DIV/0!</v>
      </c>
      <c r="CX15" s="57">
        <v>0</v>
      </c>
      <c r="CY15" s="57">
        <v>40</v>
      </c>
      <c r="CZ15" s="57">
        <v>0</v>
      </c>
      <c r="DA15" s="57">
        <f t="shared" si="44"/>
        <v>40</v>
      </c>
      <c r="DB15" s="57">
        <v>600</v>
      </c>
      <c r="DC15" s="57">
        <v>0</v>
      </c>
      <c r="DD15" s="57">
        <f t="shared" si="45"/>
        <v>600</v>
      </c>
      <c r="DE15" s="57">
        <f t="shared" si="46"/>
        <v>24000</v>
      </c>
      <c r="DF15" s="57">
        <f t="shared" si="47"/>
        <v>0</v>
      </c>
    </row>
    <row r="16" spans="1:110" ht="14.25" customHeight="1">
      <c r="A16" s="60"/>
      <c r="B16" s="44"/>
      <c r="C16" s="45">
        <v>0</v>
      </c>
      <c r="D16" s="45">
        <v>0</v>
      </c>
      <c r="E16" s="45">
        <v>0</v>
      </c>
      <c r="F16" s="45">
        <f t="shared" si="0"/>
        <v>0</v>
      </c>
      <c r="G16" s="45">
        <v>900</v>
      </c>
      <c r="H16" s="45">
        <v>0</v>
      </c>
      <c r="I16" s="45">
        <f t="shared" si="1"/>
        <v>900</v>
      </c>
      <c r="J16" s="45">
        <f t="shared" si="2"/>
        <v>0</v>
      </c>
      <c r="K16" s="45" t="e">
        <f t="shared" si="3"/>
        <v>#DIV/0!</v>
      </c>
      <c r="L16" s="47">
        <v>0</v>
      </c>
      <c r="M16" s="47">
        <v>0</v>
      </c>
      <c r="N16" s="47">
        <v>0</v>
      </c>
      <c r="O16" s="47">
        <f t="shared" si="4"/>
        <v>0</v>
      </c>
      <c r="P16" s="47">
        <v>1800</v>
      </c>
      <c r="Q16" s="47">
        <v>0</v>
      </c>
      <c r="R16" s="47">
        <f t="shared" si="5"/>
        <v>1800</v>
      </c>
      <c r="S16" s="47">
        <f t="shared" si="6"/>
        <v>0</v>
      </c>
      <c r="T16" s="47" t="e">
        <f t="shared" si="7"/>
        <v>#DIV/0!</v>
      </c>
      <c r="U16" s="48">
        <v>0</v>
      </c>
      <c r="V16" s="48">
        <v>0</v>
      </c>
      <c r="W16" s="48">
        <v>0</v>
      </c>
      <c r="X16" s="48">
        <f t="shared" si="8"/>
        <v>0</v>
      </c>
      <c r="Y16" s="48">
        <v>910</v>
      </c>
      <c r="Z16" s="48">
        <v>0</v>
      </c>
      <c r="AA16" s="48">
        <f t="shared" si="9"/>
        <v>910</v>
      </c>
      <c r="AB16" s="48">
        <f t="shared" si="10"/>
        <v>0</v>
      </c>
      <c r="AC16" s="48" t="e">
        <f t="shared" si="11"/>
        <v>#DIV/0!</v>
      </c>
      <c r="AD16" s="49">
        <v>0</v>
      </c>
      <c r="AE16" s="49">
        <v>0</v>
      </c>
      <c r="AF16" s="49">
        <v>0</v>
      </c>
      <c r="AG16" s="49">
        <f t="shared" si="12"/>
        <v>0</v>
      </c>
      <c r="AH16" s="49">
        <v>1200</v>
      </c>
      <c r="AI16" s="49">
        <v>0</v>
      </c>
      <c r="AJ16" s="49">
        <f t="shared" si="13"/>
        <v>1200</v>
      </c>
      <c r="AK16" s="49">
        <f t="shared" si="14"/>
        <v>0</v>
      </c>
      <c r="AL16" s="49" t="e">
        <f t="shared" si="15"/>
        <v>#DIV/0!</v>
      </c>
      <c r="AM16" s="50">
        <v>0</v>
      </c>
      <c r="AN16" s="50">
        <v>0</v>
      </c>
      <c r="AO16" s="50">
        <v>0</v>
      </c>
      <c r="AP16" s="50">
        <f t="shared" si="16"/>
        <v>0</v>
      </c>
      <c r="AQ16" s="50">
        <v>600</v>
      </c>
      <c r="AR16" s="50">
        <v>0</v>
      </c>
      <c r="AS16" s="50">
        <f t="shared" si="17"/>
        <v>600</v>
      </c>
      <c r="AT16" s="50">
        <f t="shared" si="18"/>
        <v>0</v>
      </c>
      <c r="AU16" s="50" t="e">
        <f t="shared" si="19"/>
        <v>#DIV/0!</v>
      </c>
      <c r="AV16" s="51">
        <v>0</v>
      </c>
      <c r="AW16" s="51">
        <v>0</v>
      </c>
      <c r="AX16" s="51">
        <v>0</v>
      </c>
      <c r="AY16" s="51">
        <f t="shared" si="20"/>
        <v>0</v>
      </c>
      <c r="AZ16" s="51">
        <v>1500</v>
      </c>
      <c r="BA16" s="51">
        <v>0</v>
      </c>
      <c r="BB16" s="51">
        <f t="shared" si="21"/>
        <v>1500</v>
      </c>
      <c r="BC16" s="51">
        <f t="shared" si="22"/>
        <v>0</v>
      </c>
      <c r="BD16" s="51" t="e">
        <f t="shared" si="23"/>
        <v>#DIV/0!</v>
      </c>
      <c r="BE16" s="52">
        <v>0</v>
      </c>
      <c r="BF16" s="52">
        <v>0</v>
      </c>
      <c r="BG16" s="52">
        <v>0</v>
      </c>
      <c r="BH16" s="52">
        <f t="shared" si="24"/>
        <v>0</v>
      </c>
      <c r="BI16" s="52">
        <v>750</v>
      </c>
      <c r="BJ16" s="52">
        <v>0</v>
      </c>
      <c r="BK16" s="52">
        <f t="shared" si="25"/>
        <v>750</v>
      </c>
      <c r="BL16" s="52">
        <f t="shared" si="26"/>
        <v>0</v>
      </c>
      <c r="BM16" s="52" t="e">
        <f t="shared" si="27"/>
        <v>#DIV/0!</v>
      </c>
      <c r="BN16" s="53">
        <v>0</v>
      </c>
      <c r="BO16" s="53">
        <v>0</v>
      </c>
      <c r="BP16" s="53">
        <v>0</v>
      </c>
      <c r="BQ16" s="53">
        <f t="shared" si="28"/>
        <v>0</v>
      </c>
      <c r="BR16" s="53">
        <v>2450</v>
      </c>
      <c r="BS16" s="53">
        <v>0</v>
      </c>
      <c r="BT16" s="53">
        <f t="shared" si="29"/>
        <v>2450</v>
      </c>
      <c r="BU16" s="53">
        <f t="shared" si="30"/>
        <v>0</v>
      </c>
      <c r="BV16" s="53" t="e">
        <f t="shared" si="31"/>
        <v>#DIV/0!</v>
      </c>
      <c r="BW16" s="54">
        <v>0</v>
      </c>
      <c r="BX16" s="54">
        <v>0</v>
      </c>
      <c r="BY16" s="54">
        <v>0</v>
      </c>
      <c r="BZ16" s="54">
        <f t="shared" si="32"/>
        <v>0</v>
      </c>
      <c r="CA16" s="54">
        <v>750</v>
      </c>
      <c r="CB16" s="54">
        <v>0</v>
      </c>
      <c r="CC16" s="54">
        <f t="shared" si="33"/>
        <v>750</v>
      </c>
      <c r="CD16" s="54">
        <f t="shared" si="34"/>
        <v>0</v>
      </c>
      <c r="CE16" s="54" t="e">
        <f t="shared" si="35"/>
        <v>#DIV/0!</v>
      </c>
      <c r="CF16" s="55">
        <v>0</v>
      </c>
      <c r="CG16" s="55">
        <v>0</v>
      </c>
      <c r="CH16" s="55">
        <v>0</v>
      </c>
      <c r="CI16" s="55">
        <f t="shared" si="36"/>
        <v>0</v>
      </c>
      <c r="CJ16" s="55">
        <v>730</v>
      </c>
      <c r="CK16" s="55">
        <v>0</v>
      </c>
      <c r="CL16" s="55">
        <f t="shared" si="37"/>
        <v>730</v>
      </c>
      <c r="CM16" s="55">
        <f t="shared" si="38"/>
        <v>0</v>
      </c>
      <c r="CN16" s="55" t="e">
        <f t="shared" si="39"/>
        <v>#DIV/0!</v>
      </c>
      <c r="CO16" s="56">
        <v>0</v>
      </c>
      <c r="CP16" s="56">
        <v>0</v>
      </c>
      <c r="CQ16" s="56">
        <v>0</v>
      </c>
      <c r="CR16" s="56">
        <f t="shared" si="40"/>
        <v>0</v>
      </c>
      <c r="CS16" s="56">
        <v>730</v>
      </c>
      <c r="CT16" s="56">
        <v>0</v>
      </c>
      <c r="CU16" s="56">
        <f t="shared" si="41"/>
        <v>730</v>
      </c>
      <c r="CV16" s="56">
        <f t="shared" si="42"/>
        <v>0</v>
      </c>
      <c r="CW16" s="56" t="e">
        <f t="shared" si="43"/>
        <v>#DIV/0!</v>
      </c>
      <c r="CX16" s="57">
        <v>0</v>
      </c>
      <c r="CY16" s="57">
        <v>0</v>
      </c>
      <c r="CZ16" s="57">
        <v>0</v>
      </c>
      <c r="DA16" s="57">
        <f t="shared" si="44"/>
        <v>0</v>
      </c>
      <c r="DB16" s="57">
        <v>600</v>
      </c>
      <c r="DC16" s="57">
        <v>0</v>
      </c>
      <c r="DD16" s="57">
        <f t="shared" si="45"/>
        <v>600</v>
      </c>
      <c r="DE16" s="57">
        <f t="shared" si="46"/>
        <v>0</v>
      </c>
      <c r="DF16" s="57" t="e">
        <f t="shared" si="47"/>
        <v>#DIV/0!</v>
      </c>
    </row>
    <row r="17" spans="1:110" ht="14.25" customHeight="1">
      <c r="A17" s="60"/>
      <c r="B17" s="44"/>
      <c r="C17" s="45">
        <v>0</v>
      </c>
      <c r="D17" s="45">
        <v>0</v>
      </c>
      <c r="E17" s="45">
        <v>0</v>
      </c>
      <c r="F17" s="45">
        <f t="shared" si="0"/>
        <v>0</v>
      </c>
      <c r="G17" s="45">
        <v>900</v>
      </c>
      <c r="H17" s="45">
        <v>0</v>
      </c>
      <c r="I17" s="45">
        <f t="shared" si="1"/>
        <v>900</v>
      </c>
      <c r="J17" s="45">
        <f t="shared" si="2"/>
        <v>0</v>
      </c>
      <c r="K17" s="45" t="e">
        <f t="shared" si="3"/>
        <v>#DIV/0!</v>
      </c>
      <c r="L17" s="47">
        <v>0</v>
      </c>
      <c r="M17" s="47">
        <v>0</v>
      </c>
      <c r="N17" s="47">
        <v>0</v>
      </c>
      <c r="O17" s="47">
        <f t="shared" si="4"/>
        <v>0</v>
      </c>
      <c r="P17" s="47">
        <v>1800</v>
      </c>
      <c r="Q17" s="47">
        <v>0</v>
      </c>
      <c r="R17" s="47">
        <f t="shared" si="5"/>
        <v>1800</v>
      </c>
      <c r="S17" s="47">
        <f t="shared" si="6"/>
        <v>0</v>
      </c>
      <c r="T17" s="47" t="e">
        <f t="shared" si="7"/>
        <v>#DIV/0!</v>
      </c>
      <c r="U17" s="48">
        <v>0</v>
      </c>
      <c r="V17" s="48">
        <v>0</v>
      </c>
      <c r="W17" s="48">
        <v>0</v>
      </c>
      <c r="X17" s="48">
        <f t="shared" si="8"/>
        <v>0</v>
      </c>
      <c r="Y17" s="48">
        <v>910</v>
      </c>
      <c r="Z17" s="48">
        <v>0</v>
      </c>
      <c r="AA17" s="48">
        <f t="shared" si="9"/>
        <v>910</v>
      </c>
      <c r="AB17" s="48">
        <f t="shared" si="10"/>
        <v>0</v>
      </c>
      <c r="AC17" s="48" t="e">
        <f t="shared" si="11"/>
        <v>#DIV/0!</v>
      </c>
      <c r="AD17" s="49">
        <v>0</v>
      </c>
      <c r="AE17" s="49">
        <v>0</v>
      </c>
      <c r="AF17" s="49">
        <v>0</v>
      </c>
      <c r="AG17" s="49">
        <f t="shared" si="12"/>
        <v>0</v>
      </c>
      <c r="AH17" s="49">
        <v>1200</v>
      </c>
      <c r="AI17" s="49">
        <v>0</v>
      </c>
      <c r="AJ17" s="49">
        <f t="shared" si="13"/>
        <v>1200</v>
      </c>
      <c r="AK17" s="49">
        <f t="shared" si="14"/>
        <v>0</v>
      </c>
      <c r="AL17" s="49" t="e">
        <f t="shared" si="15"/>
        <v>#DIV/0!</v>
      </c>
      <c r="AM17" s="50">
        <v>0</v>
      </c>
      <c r="AN17" s="50">
        <v>0</v>
      </c>
      <c r="AO17" s="50">
        <v>0</v>
      </c>
      <c r="AP17" s="50">
        <f t="shared" si="16"/>
        <v>0</v>
      </c>
      <c r="AQ17" s="50">
        <v>600</v>
      </c>
      <c r="AR17" s="50">
        <v>0</v>
      </c>
      <c r="AS17" s="50">
        <f t="shared" si="17"/>
        <v>600</v>
      </c>
      <c r="AT17" s="50">
        <f t="shared" si="18"/>
        <v>0</v>
      </c>
      <c r="AU17" s="50" t="e">
        <f t="shared" si="19"/>
        <v>#DIV/0!</v>
      </c>
      <c r="AV17" s="51">
        <v>0</v>
      </c>
      <c r="AW17" s="51">
        <v>0</v>
      </c>
      <c r="AX17" s="51">
        <v>0</v>
      </c>
      <c r="AY17" s="51">
        <f t="shared" si="20"/>
        <v>0</v>
      </c>
      <c r="AZ17" s="51">
        <v>1500</v>
      </c>
      <c r="BA17" s="51">
        <v>0</v>
      </c>
      <c r="BB17" s="51">
        <f t="shared" si="21"/>
        <v>1500</v>
      </c>
      <c r="BC17" s="51">
        <f t="shared" si="22"/>
        <v>0</v>
      </c>
      <c r="BD17" s="51" t="e">
        <f t="shared" si="23"/>
        <v>#DIV/0!</v>
      </c>
      <c r="BE17" s="52">
        <v>0</v>
      </c>
      <c r="BF17" s="52">
        <v>0</v>
      </c>
      <c r="BG17" s="52">
        <v>0</v>
      </c>
      <c r="BH17" s="52">
        <f t="shared" si="24"/>
        <v>0</v>
      </c>
      <c r="BI17" s="52">
        <v>750</v>
      </c>
      <c r="BJ17" s="52">
        <v>0</v>
      </c>
      <c r="BK17" s="52">
        <f t="shared" si="25"/>
        <v>750</v>
      </c>
      <c r="BL17" s="52">
        <f t="shared" si="26"/>
        <v>0</v>
      </c>
      <c r="BM17" s="52" t="e">
        <f t="shared" si="27"/>
        <v>#DIV/0!</v>
      </c>
      <c r="BN17" s="53">
        <v>0</v>
      </c>
      <c r="BO17" s="53">
        <v>0</v>
      </c>
      <c r="BP17" s="53">
        <v>0</v>
      </c>
      <c r="BQ17" s="53">
        <f t="shared" si="28"/>
        <v>0</v>
      </c>
      <c r="BR17" s="53">
        <v>2450</v>
      </c>
      <c r="BS17" s="53">
        <v>0</v>
      </c>
      <c r="BT17" s="53">
        <f t="shared" si="29"/>
        <v>2450</v>
      </c>
      <c r="BU17" s="53">
        <f t="shared" si="30"/>
        <v>0</v>
      </c>
      <c r="BV17" s="53" t="e">
        <f t="shared" si="31"/>
        <v>#DIV/0!</v>
      </c>
      <c r="BW17" s="54">
        <v>0</v>
      </c>
      <c r="BX17" s="54">
        <v>0</v>
      </c>
      <c r="BY17" s="54">
        <v>0</v>
      </c>
      <c r="BZ17" s="54">
        <f t="shared" si="32"/>
        <v>0</v>
      </c>
      <c r="CA17" s="54">
        <v>750</v>
      </c>
      <c r="CB17" s="54">
        <v>0</v>
      </c>
      <c r="CC17" s="54">
        <f t="shared" si="33"/>
        <v>750</v>
      </c>
      <c r="CD17" s="54">
        <f t="shared" si="34"/>
        <v>0</v>
      </c>
      <c r="CE17" s="54" t="e">
        <f t="shared" si="35"/>
        <v>#DIV/0!</v>
      </c>
      <c r="CF17" s="55">
        <v>0</v>
      </c>
      <c r="CG17" s="55">
        <v>0</v>
      </c>
      <c r="CH17" s="55">
        <v>0</v>
      </c>
      <c r="CI17" s="55">
        <f t="shared" si="36"/>
        <v>0</v>
      </c>
      <c r="CJ17" s="55">
        <v>730</v>
      </c>
      <c r="CK17" s="55">
        <v>0</v>
      </c>
      <c r="CL17" s="55">
        <f t="shared" si="37"/>
        <v>730</v>
      </c>
      <c r="CM17" s="55">
        <f t="shared" si="38"/>
        <v>0</v>
      </c>
      <c r="CN17" s="55" t="e">
        <f t="shared" si="39"/>
        <v>#DIV/0!</v>
      </c>
      <c r="CO17" s="56">
        <v>0</v>
      </c>
      <c r="CP17" s="56">
        <v>0</v>
      </c>
      <c r="CQ17" s="56">
        <v>0</v>
      </c>
      <c r="CR17" s="56">
        <f t="shared" si="40"/>
        <v>0</v>
      </c>
      <c r="CS17" s="56">
        <v>730</v>
      </c>
      <c r="CT17" s="56">
        <v>0</v>
      </c>
      <c r="CU17" s="56">
        <f t="shared" si="41"/>
        <v>730</v>
      </c>
      <c r="CV17" s="56">
        <f t="shared" si="42"/>
        <v>0</v>
      </c>
      <c r="CW17" s="56" t="e">
        <f t="shared" si="43"/>
        <v>#DIV/0!</v>
      </c>
      <c r="CX17" s="57">
        <v>0</v>
      </c>
      <c r="CY17" s="57">
        <v>0</v>
      </c>
      <c r="CZ17" s="57">
        <v>0</v>
      </c>
      <c r="DA17" s="57">
        <f t="shared" si="44"/>
        <v>0</v>
      </c>
      <c r="DB17" s="57">
        <v>600</v>
      </c>
      <c r="DC17" s="57">
        <v>0</v>
      </c>
      <c r="DD17" s="57">
        <f t="shared" si="45"/>
        <v>600</v>
      </c>
      <c r="DE17" s="57">
        <f t="shared" si="46"/>
        <v>0</v>
      </c>
      <c r="DF17" s="57" t="e">
        <f t="shared" si="47"/>
        <v>#DIV/0!</v>
      </c>
    </row>
    <row r="18" spans="1:110" ht="14.25" customHeight="1">
      <c r="A18" s="60"/>
      <c r="B18" s="44"/>
      <c r="C18" s="45">
        <v>0</v>
      </c>
      <c r="D18" s="45">
        <v>0</v>
      </c>
      <c r="E18" s="45">
        <v>0</v>
      </c>
      <c r="F18" s="45">
        <f t="shared" si="0"/>
        <v>0</v>
      </c>
      <c r="G18" s="45">
        <v>900</v>
      </c>
      <c r="H18" s="45">
        <v>0</v>
      </c>
      <c r="I18" s="45">
        <f t="shared" si="1"/>
        <v>900</v>
      </c>
      <c r="J18" s="45">
        <f t="shared" si="2"/>
        <v>0</v>
      </c>
      <c r="K18" s="45" t="e">
        <f t="shared" si="3"/>
        <v>#DIV/0!</v>
      </c>
      <c r="L18" s="47">
        <v>0</v>
      </c>
      <c r="M18" s="47">
        <v>0</v>
      </c>
      <c r="N18" s="47">
        <v>0</v>
      </c>
      <c r="O18" s="47">
        <f t="shared" si="4"/>
        <v>0</v>
      </c>
      <c r="P18" s="47">
        <v>1800</v>
      </c>
      <c r="Q18" s="47">
        <v>0</v>
      </c>
      <c r="R18" s="47">
        <f t="shared" si="5"/>
        <v>1800</v>
      </c>
      <c r="S18" s="47">
        <f t="shared" si="6"/>
        <v>0</v>
      </c>
      <c r="T18" s="47" t="e">
        <f t="shared" si="7"/>
        <v>#DIV/0!</v>
      </c>
      <c r="U18" s="48">
        <v>0</v>
      </c>
      <c r="V18" s="48">
        <v>0</v>
      </c>
      <c r="W18" s="48">
        <v>0</v>
      </c>
      <c r="X18" s="48">
        <f t="shared" si="8"/>
        <v>0</v>
      </c>
      <c r="Y18" s="48">
        <v>910</v>
      </c>
      <c r="Z18" s="48">
        <v>0</v>
      </c>
      <c r="AA18" s="48">
        <f t="shared" si="9"/>
        <v>910</v>
      </c>
      <c r="AB18" s="48">
        <f t="shared" si="10"/>
        <v>0</v>
      </c>
      <c r="AC18" s="48" t="e">
        <f t="shared" si="11"/>
        <v>#DIV/0!</v>
      </c>
      <c r="AD18" s="49">
        <v>0</v>
      </c>
      <c r="AE18" s="49">
        <v>0</v>
      </c>
      <c r="AF18" s="49">
        <v>0</v>
      </c>
      <c r="AG18" s="49">
        <f t="shared" si="12"/>
        <v>0</v>
      </c>
      <c r="AH18" s="49">
        <v>1200</v>
      </c>
      <c r="AI18" s="49">
        <v>0</v>
      </c>
      <c r="AJ18" s="49">
        <f t="shared" si="13"/>
        <v>1200</v>
      </c>
      <c r="AK18" s="49">
        <f t="shared" si="14"/>
        <v>0</v>
      </c>
      <c r="AL18" s="49" t="e">
        <f t="shared" si="15"/>
        <v>#DIV/0!</v>
      </c>
      <c r="AM18" s="50">
        <v>0</v>
      </c>
      <c r="AN18" s="50">
        <v>0</v>
      </c>
      <c r="AO18" s="50">
        <v>0</v>
      </c>
      <c r="AP18" s="50">
        <f t="shared" si="16"/>
        <v>0</v>
      </c>
      <c r="AQ18" s="50">
        <v>600</v>
      </c>
      <c r="AR18" s="50">
        <v>0</v>
      </c>
      <c r="AS18" s="50">
        <f t="shared" si="17"/>
        <v>600</v>
      </c>
      <c r="AT18" s="50">
        <f t="shared" si="18"/>
        <v>0</v>
      </c>
      <c r="AU18" s="50" t="e">
        <f t="shared" si="19"/>
        <v>#DIV/0!</v>
      </c>
      <c r="AV18" s="51">
        <v>0</v>
      </c>
      <c r="AW18" s="51">
        <v>0</v>
      </c>
      <c r="AX18" s="51">
        <v>0</v>
      </c>
      <c r="AY18" s="51">
        <f t="shared" si="20"/>
        <v>0</v>
      </c>
      <c r="AZ18" s="51">
        <v>1500</v>
      </c>
      <c r="BA18" s="51">
        <v>0</v>
      </c>
      <c r="BB18" s="51">
        <f t="shared" si="21"/>
        <v>1500</v>
      </c>
      <c r="BC18" s="51">
        <f t="shared" si="22"/>
        <v>0</v>
      </c>
      <c r="BD18" s="51" t="e">
        <f t="shared" si="23"/>
        <v>#DIV/0!</v>
      </c>
      <c r="BE18" s="52">
        <v>0</v>
      </c>
      <c r="BF18" s="52">
        <v>0</v>
      </c>
      <c r="BG18" s="52">
        <v>0</v>
      </c>
      <c r="BH18" s="52">
        <f t="shared" si="24"/>
        <v>0</v>
      </c>
      <c r="BI18" s="52">
        <v>750</v>
      </c>
      <c r="BJ18" s="52">
        <v>0</v>
      </c>
      <c r="BK18" s="52">
        <f t="shared" si="25"/>
        <v>750</v>
      </c>
      <c r="BL18" s="52">
        <f t="shared" si="26"/>
        <v>0</v>
      </c>
      <c r="BM18" s="52" t="e">
        <f t="shared" si="27"/>
        <v>#DIV/0!</v>
      </c>
      <c r="BN18" s="53">
        <v>0</v>
      </c>
      <c r="BO18" s="53">
        <v>68</v>
      </c>
      <c r="BP18" s="53">
        <v>4</v>
      </c>
      <c r="BQ18" s="53">
        <f t="shared" si="28"/>
        <v>64</v>
      </c>
      <c r="BR18" s="53">
        <v>2450</v>
      </c>
      <c r="BS18" s="53">
        <v>350</v>
      </c>
      <c r="BT18" s="53">
        <f t="shared" si="29"/>
        <v>2100</v>
      </c>
      <c r="BU18" s="53">
        <f t="shared" si="30"/>
        <v>134400</v>
      </c>
      <c r="BV18" s="53">
        <f t="shared" si="31"/>
        <v>5.8823529411764701</v>
      </c>
      <c r="BW18" s="54">
        <v>0</v>
      </c>
      <c r="BX18" s="54">
        <v>40</v>
      </c>
      <c r="BY18" s="54">
        <v>39</v>
      </c>
      <c r="BZ18" s="54">
        <f t="shared" si="32"/>
        <v>1</v>
      </c>
      <c r="CA18" s="54">
        <v>750</v>
      </c>
      <c r="CB18" s="54">
        <v>56</v>
      </c>
      <c r="CC18" s="54">
        <f t="shared" si="33"/>
        <v>694</v>
      </c>
      <c r="CD18" s="54">
        <f t="shared" si="34"/>
        <v>694</v>
      </c>
      <c r="CE18" s="54">
        <f t="shared" si="35"/>
        <v>97.5</v>
      </c>
      <c r="CF18" s="55">
        <v>0</v>
      </c>
      <c r="CG18" s="55">
        <v>40</v>
      </c>
      <c r="CH18" s="55">
        <v>3</v>
      </c>
      <c r="CI18" s="55">
        <f t="shared" si="36"/>
        <v>37</v>
      </c>
      <c r="CJ18" s="55">
        <v>730</v>
      </c>
      <c r="CK18" s="55">
        <v>60</v>
      </c>
      <c r="CL18" s="55">
        <f t="shared" si="37"/>
        <v>670</v>
      </c>
      <c r="CM18" s="55">
        <f t="shared" si="38"/>
        <v>24790</v>
      </c>
      <c r="CN18" s="55">
        <f t="shared" si="39"/>
        <v>7.5</v>
      </c>
      <c r="CO18" s="56">
        <v>0</v>
      </c>
      <c r="CP18" s="56">
        <v>0</v>
      </c>
      <c r="CQ18" s="56">
        <v>0</v>
      </c>
      <c r="CR18" s="56">
        <f t="shared" si="40"/>
        <v>0</v>
      </c>
      <c r="CS18" s="56">
        <v>730</v>
      </c>
      <c r="CT18" s="56">
        <v>0</v>
      </c>
      <c r="CU18" s="56">
        <f t="shared" si="41"/>
        <v>730</v>
      </c>
      <c r="CV18" s="56">
        <f t="shared" si="42"/>
        <v>0</v>
      </c>
      <c r="CW18" s="56" t="e">
        <f t="shared" si="43"/>
        <v>#DIV/0!</v>
      </c>
      <c r="CX18" s="57">
        <v>0</v>
      </c>
      <c r="CY18" s="57">
        <v>0</v>
      </c>
      <c r="CZ18" s="57">
        <v>0</v>
      </c>
      <c r="DA18" s="57">
        <f t="shared" si="44"/>
        <v>0</v>
      </c>
      <c r="DB18" s="57">
        <v>600</v>
      </c>
      <c r="DC18" s="57">
        <v>0</v>
      </c>
      <c r="DD18" s="57">
        <f t="shared" si="45"/>
        <v>600</v>
      </c>
      <c r="DE18" s="57">
        <f t="shared" si="46"/>
        <v>0</v>
      </c>
      <c r="DF18" s="57" t="e">
        <f t="shared" si="47"/>
        <v>#DIV/0!</v>
      </c>
    </row>
    <row r="19" spans="1:110" ht="14.25" customHeight="1">
      <c r="A19" s="60"/>
      <c r="B19" s="44"/>
      <c r="C19" s="45">
        <v>0</v>
      </c>
      <c r="D19" s="45">
        <v>0</v>
      </c>
      <c r="E19" s="45">
        <v>0</v>
      </c>
      <c r="F19" s="45">
        <f t="shared" si="0"/>
        <v>0</v>
      </c>
      <c r="G19" s="45">
        <v>900</v>
      </c>
      <c r="H19" s="45">
        <v>0</v>
      </c>
      <c r="I19" s="45">
        <f t="shared" si="1"/>
        <v>900</v>
      </c>
      <c r="J19" s="45">
        <f t="shared" si="2"/>
        <v>0</v>
      </c>
      <c r="K19" s="45" t="e">
        <f t="shared" si="3"/>
        <v>#DIV/0!</v>
      </c>
      <c r="L19" s="47">
        <v>0</v>
      </c>
      <c r="M19" s="47">
        <v>0</v>
      </c>
      <c r="N19" s="47">
        <v>0</v>
      </c>
      <c r="O19" s="47">
        <f t="shared" si="4"/>
        <v>0</v>
      </c>
      <c r="P19" s="47">
        <v>1800</v>
      </c>
      <c r="Q19" s="47">
        <v>0</v>
      </c>
      <c r="R19" s="47">
        <f t="shared" si="5"/>
        <v>1800</v>
      </c>
      <c r="S19" s="47">
        <f t="shared" si="6"/>
        <v>0</v>
      </c>
      <c r="T19" s="47" t="e">
        <f t="shared" si="7"/>
        <v>#DIV/0!</v>
      </c>
      <c r="U19" s="48">
        <v>0</v>
      </c>
      <c r="V19" s="48">
        <v>0</v>
      </c>
      <c r="W19" s="48">
        <v>0</v>
      </c>
      <c r="X19" s="48">
        <f t="shared" si="8"/>
        <v>0</v>
      </c>
      <c r="Y19" s="48">
        <v>910</v>
      </c>
      <c r="Z19" s="48">
        <v>0</v>
      </c>
      <c r="AA19" s="48">
        <f t="shared" si="9"/>
        <v>910</v>
      </c>
      <c r="AB19" s="48">
        <f t="shared" si="10"/>
        <v>0</v>
      </c>
      <c r="AC19" s="48" t="e">
        <f t="shared" si="11"/>
        <v>#DIV/0!</v>
      </c>
      <c r="AD19" s="49">
        <v>0</v>
      </c>
      <c r="AE19" s="49">
        <v>0</v>
      </c>
      <c r="AF19" s="49">
        <v>0</v>
      </c>
      <c r="AG19" s="49">
        <f t="shared" si="12"/>
        <v>0</v>
      </c>
      <c r="AH19" s="49">
        <v>1200</v>
      </c>
      <c r="AI19" s="49">
        <v>0</v>
      </c>
      <c r="AJ19" s="49">
        <f t="shared" si="13"/>
        <v>1200</v>
      </c>
      <c r="AK19" s="49">
        <f t="shared" si="14"/>
        <v>0</v>
      </c>
      <c r="AL19" s="49" t="e">
        <f t="shared" si="15"/>
        <v>#DIV/0!</v>
      </c>
      <c r="AM19" s="50">
        <v>0</v>
      </c>
      <c r="AN19" s="50">
        <v>0</v>
      </c>
      <c r="AO19" s="50">
        <v>0</v>
      </c>
      <c r="AP19" s="50">
        <f t="shared" si="16"/>
        <v>0</v>
      </c>
      <c r="AQ19" s="50">
        <v>600</v>
      </c>
      <c r="AR19" s="50">
        <v>0</v>
      </c>
      <c r="AS19" s="50">
        <f t="shared" si="17"/>
        <v>600</v>
      </c>
      <c r="AT19" s="50">
        <f t="shared" si="18"/>
        <v>0</v>
      </c>
      <c r="AU19" s="50" t="e">
        <f t="shared" si="19"/>
        <v>#DIV/0!</v>
      </c>
      <c r="AV19" s="51">
        <v>0</v>
      </c>
      <c r="AW19" s="51">
        <v>0</v>
      </c>
      <c r="AX19" s="51">
        <v>0</v>
      </c>
      <c r="AY19" s="51">
        <f t="shared" si="20"/>
        <v>0</v>
      </c>
      <c r="AZ19" s="51">
        <v>1500</v>
      </c>
      <c r="BA19" s="51">
        <v>0</v>
      </c>
      <c r="BB19" s="51">
        <f t="shared" si="21"/>
        <v>1500</v>
      </c>
      <c r="BC19" s="51">
        <f t="shared" si="22"/>
        <v>0</v>
      </c>
      <c r="BD19" s="51" t="e">
        <f t="shared" si="23"/>
        <v>#DIV/0!</v>
      </c>
      <c r="BE19" s="52">
        <v>0</v>
      </c>
      <c r="BF19" s="52">
        <v>0</v>
      </c>
      <c r="BG19" s="52">
        <v>0</v>
      </c>
      <c r="BH19" s="52">
        <f t="shared" si="24"/>
        <v>0</v>
      </c>
      <c r="BI19" s="52">
        <v>750</v>
      </c>
      <c r="BJ19" s="52">
        <v>0</v>
      </c>
      <c r="BK19" s="52">
        <f t="shared" si="25"/>
        <v>750</v>
      </c>
      <c r="BL19" s="52">
        <f t="shared" si="26"/>
        <v>0</v>
      </c>
      <c r="BM19" s="52" t="e">
        <f t="shared" si="27"/>
        <v>#DIV/0!</v>
      </c>
      <c r="BN19" s="53">
        <v>0</v>
      </c>
      <c r="BO19" s="53">
        <v>0</v>
      </c>
      <c r="BP19" s="53">
        <v>0</v>
      </c>
      <c r="BQ19" s="53">
        <f t="shared" si="28"/>
        <v>0</v>
      </c>
      <c r="BR19" s="53">
        <v>2450</v>
      </c>
      <c r="BS19" s="53">
        <v>0</v>
      </c>
      <c r="BT19" s="53">
        <f t="shared" si="29"/>
        <v>2450</v>
      </c>
      <c r="BU19" s="53">
        <f t="shared" si="30"/>
        <v>0</v>
      </c>
      <c r="BV19" s="53" t="e">
        <f t="shared" si="31"/>
        <v>#DIV/0!</v>
      </c>
      <c r="BW19" s="54">
        <v>0</v>
      </c>
      <c r="BX19" s="54">
        <v>0</v>
      </c>
      <c r="BY19" s="54">
        <v>0</v>
      </c>
      <c r="BZ19" s="54">
        <f t="shared" si="32"/>
        <v>0</v>
      </c>
      <c r="CA19" s="54">
        <v>750</v>
      </c>
      <c r="CB19" s="54">
        <v>0</v>
      </c>
      <c r="CC19" s="54">
        <f t="shared" si="33"/>
        <v>750</v>
      </c>
      <c r="CD19" s="54">
        <f t="shared" si="34"/>
        <v>0</v>
      </c>
      <c r="CE19" s="54" t="e">
        <f t="shared" si="35"/>
        <v>#DIV/0!</v>
      </c>
      <c r="CF19" s="55">
        <v>0</v>
      </c>
      <c r="CG19" s="55">
        <v>0</v>
      </c>
      <c r="CH19" s="55">
        <v>0</v>
      </c>
      <c r="CI19" s="55">
        <f t="shared" si="36"/>
        <v>0</v>
      </c>
      <c r="CJ19" s="55">
        <v>730</v>
      </c>
      <c r="CK19" s="55">
        <v>0</v>
      </c>
      <c r="CL19" s="55">
        <f t="shared" si="37"/>
        <v>730</v>
      </c>
      <c r="CM19" s="55">
        <f t="shared" si="38"/>
        <v>0</v>
      </c>
      <c r="CN19" s="55" t="e">
        <f t="shared" si="39"/>
        <v>#DIV/0!</v>
      </c>
      <c r="CO19" s="56">
        <v>0</v>
      </c>
      <c r="CP19" s="56">
        <v>0</v>
      </c>
      <c r="CQ19" s="56">
        <v>0</v>
      </c>
      <c r="CR19" s="56">
        <f t="shared" si="40"/>
        <v>0</v>
      </c>
      <c r="CS19" s="56">
        <v>730</v>
      </c>
      <c r="CT19" s="56">
        <v>0</v>
      </c>
      <c r="CU19" s="56">
        <f t="shared" si="41"/>
        <v>730</v>
      </c>
      <c r="CV19" s="56">
        <f t="shared" si="42"/>
        <v>0</v>
      </c>
      <c r="CW19" s="56" t="e">
        <f t="shared" si="43"/>
        <v>#DIV/0!</v>
      </c>
      <c r="CX19" s="57">
        <v>0</v>
      </c>
      <c r="CY19" s="57">
        <v>0</v>
      </c>
      <c r="CZ19" s="57">
        <v>0</v>
      </c>
      <c r="DA19" s="57">
        <f t="shared" si="44"/>
        <v>0</v>
      </c>
      <c r="DB19" s="57">
        <v>600</v>
      </c>
      <c r="DC19" s="57">
        <v>0</v>
      </c>
      <c r="DD19" s="57">
        <f t="shared" si="45"/>
        <v>600</v>
      </c>
      <c r="DE19" s="57">
        <f t="shared" si="46"/>
        <v>0</v>
      </c>
      <c r="DF19" s="57" t="e">
        <f t="shared" si="47"/>
        <v>#DIV/0!</v>
      </c>
    </row>
    <row r="20" spans="1:110" ht="14.25" customHeight="1">
      <c r="A20" s="60"/>
      <c r="B20" s="44"/>
      <c r="C20" s="45">
        <v>0</v>
      </c>
      <c r="D20" s="45">
        <v>0</v>
      </c>
      <c r="E20" s="45">
        <v>0</v>
      </c>
      <c r="F20" s="45">
        <f t="shared" si="0"/>
        <v>0</v>
      </c>
      <c r="G20" s="45">
        <v>900</v>
      </c>
      <c r="H20" s="45">
        <v>0</v>
      </c>
      <c r="I20" s="45">
        <f t="shared" si="1"/>
        <v>900</v>
      </c>
      <c r="J20" s="45">
        <f t="shared" si="2"/>
        <v>0</v>
      </c>
      <c r="K20" s="45" t="e">
        <f t="shared" si="3"/>
        <v>#DIV/0!</v>
      </c>
      <c r="L20" s="47">
        <v>0</v>
      </c>
      <c r="M20" s="47">
        <v>0</v>
      </c>
      <c r="N20" s="47">
        <v>0</v>
      </c>
      <c r="O20" s="47">
        <f t="shared" si="4"/>
        <v>0</v>
      </c>
      <c r="P20" s="47">
        <v>1800</v>
      </c>
      <c r="Q20" s="47">
        <v>0</v>
      </c>
      <c r="R20" s="47">
        <f t="shared" si="5"/>
        <v>1800</v>
      </c>
      <c r="S20" s="47">
        <f t="shared" si="6"/>
        <v>0</v>
      </c>
      <c r="T20" s="47" t="e">
        <f t="shared" si="7"/>
        <v>#DIV/0!</v>
      </c>
      <c r="U20" s="48">
        <v>0</v>
      </c>
      <c r="V20" s="48">
        <v>0</v>
      </c>
      <c r="W20" s="48">
        <v>0</v>
      </c>
      <c r="X20" s="48">
        <f t="shared" si="8"/>
        <v>0</v>
      </c>
      <c r="Y20" s="48">
        <v>910</v>
      </c>
      <c r="Z20" s="48">
        <v>0</v>
      </c>
      <c r="AA20" s="48">
        <f t="shared" si="9"/>
        <v>910</v>
      </c>
      <c r="AB20" s="48">
        <f t="shared" si="10"/>
        <v>0</v>
      </c>
      <c r="AC20" s="48" t="e">
        <f t="shared" si="11"/>
        <v>#DIV/0!</v>
      </c>
      <c r="AD20" s="49">
        <v>0</v>
      </c>
      <c r="AE20" s="49">
        <v>0</v>
      </c>
      <c r="AF20" s="49">
        <v>0</v>
      </c>
      <c r="AG20" s="49">
        <f t="shared" si="12"/>
        <v>0</v>
      </c>
      <c r="AH20" s="49">
        <v>1200</v>
      </c>
      <c r="AI20" s="49">
        <v>0</v>
      </c>
      <c r="AJ20" s="49">
        <f t="shared" si="13"/>
        <v>1200</v>
      </c>
      <c r="AK20" s="49">
        <f t="shared" si="14"/>
        <v>0</v>
      </c>
      <c r="AL20" s="49" t="e">
        <f t="shared" si="15"/>
        <v>#DIV/0!</v>
      </c>
      <c r="AM20" s="50">
        <v>0</v>
      </c>
      <c r="AN20" s="50">
        <v>0</v>
      </c>
      <c r="AO20" s="50">
        <v>0</v>
      </c>
      <c r="AP20" s="50">
        <f t="shared" si="16"/>
        <v>0</v>
      </c>
      <c r="AQ20" s="50">
        <v>600</v>
      </c>
      <c r="AR20" s="50">
        <v>0</v>
      </c>
      <c r="AS20" s="50">
        <f t="shared" si="17"/>
        <v>600</v>
      </c>
      <c r="AT20" s="50">
        <f t="shared" si="18"/>
        <v>0</v>
      </c>
      <c r="AU20" s="50" t="e">
        <f t="shared" si="19"/>
        <v>#DIV/0!</v>
      </c>
      <c r="AV20" s="51">
        <v>0</v>
      </c>
      <c r="AW20" s="51">
        <v>0</v>
      </c>
      <c r="AX20" s="51">
        <v>0</v>
      </c>
      <c r="AY20" s="51">
        <f t="shared" si="20"/>
        <v>0</v>
      </c>
      <c r="AZ20" s="51">
        <v>1500</v>
      </c>
      <c r="BA20" s="51">
        <v>0</v>
      </c>
      <c r="BB20" s="51">
        <f t="shared" si="21"/>
        <v>1500</v>
      </c>
      <c r="BC20" s="51">
        <f t="shared" si="22"/>
        <v>0</v>
      </c>
      <c r="BD20" s="51" t="e">
        <f t="shared" si="23"/>
        <v>#DIV/0!</v>
      </c>
      <c r="BE20" s="52">
        <v>0</v>
      </c>
      <c r="BF20" s="52">
        <v>0</v>
      </c>
      <c r="BG20" s="52">
        <v>0</v>
      </c>
      <c r="BH20" s="52">
        <f t="shared" si="24"/>
        <v>0</v>
      </c>
      <c r="BI20" s="52">
        <v>750</v>
      </c>
      <c r="BJ20" s="52">
        <v>0</v>
      </c>
      <c r="BK20" s="52">
        <f t="shared" si="25"/>
        <v>750</v>
      </c>
      <c r="BL20" s="52">
        <f t="shared" si="26"/>
        <v>0</v>
      </c>
      <c r="BM20" s="52" t="e">
        <f t="shared" si="27"/>
        <v>#DIV/0!</v>
      </c>
      <c r="BN20" s="53">
        <v>0</v>
      </c>
      <c r="BO20" s="53">
        <v>8</v>
      </c>
      <c r="BP20" s="53">
        <v>4</v>
      </c>
      <c r="BQ20" s="53">
        <f t="shared" si="28"/>
        <v>4</v>
      </c>
      <c r="BR20" s="53">
        <v>2450</v>
      </c>
      <c r="BS20" s="53">
        <v>350</v>
      </c>
      <c r="BT20" s="53">
        <f t="shared" si="29"/>
        <v>2100</v>
      </c>
      <c r="BU20" s="53">
        <f t="shared" si="30"/>
        <v>8400</v>
      </c>
      <c r="BV20" s="53">
        <f t="shared" si="31"/>
        <v>50</v>
      </c>
      <c r="BW20" s="54">
        <v>0</v>
      </c>
      <c r="BX20" s="54">
        <v>20</v>
      </c>
      <c r="BY20" s="54">
        <v>19</v>
      </c>
      <c r="BZ20" s="54">
        <f t="shared" si="32"/>
        <v>1</v>
      </c>
      <c r="CA20" s="54">
        <v>750</v>
      </c>
      <c r="CB20" s="54">
        <v>0</v>
      </c>
      <c r="CC20" s="54">
        <f t="shared" si="33"/>
        <v>750</v>
      </c>
      <c r="CD20" s="54">
        <f t="shared" si="34"/>
        <v>750</v>
      </c>
      <c r="CE20" s="54">
        <f t="shared" si="35"/>
        <v>95</v>
      </c>
      <c r="CF20" s="55">
        <v>0</v>
      </c>
      <c r="CG20" s="55">
        <v>0</v>
      </c>
      <c r="CH20" s="55">
        <v>0</v>
      </c>
      <c r="CI20" s="55">
        <f t="shared" si="36"/>
        <v>0</v>
      </c>
      <c r="CJ20" s="55">
        <v>730</v>
      </c>
      <c r="CK20" s="55">
        <v>0</v>
      </c>
      <c r="CL20" s="55">
        <f t="shared" si="37"/>
        <v>730</v>
      </c>
      <c r="CM20" s="55">
        <f t="shared" si="38"/>
        <v>0</v>
      </c>
      <c r="CN20" s="55" t="e">
        <f t="shared" si="39"/>
        <v>#DIV/0!</v>
      </c>
      <c r="CO20" s="56">
        <v>0</v>
      </c>
      <c r="CP20" s="56">
        <v>0</v>
      </c>
      <c r="CQ20" s="56">
        <v>0</v>
      </c>
      <c r="CR20" s="56">
        <f t="shared" si="40"/>
        <v>0</v>
      </c>
      <c r="CS20" s="56">
        <v>730</v>
      </c>
      <c r="CT20" s="56">
        <v>0</v>
      </c>
      <c r="CU20" s="56">
        <f t="shared" si="41"/>
        <v>730</v>
      </c>
      <c r="CV20" s="56">
        <f t="shared" si="42"/>
        <v>0</v>
      </c>
      <c r="CW20" s="56" t="e">
        <f t="shared" si="43"/>
        <v>#DIV/0!</v>
      </c>
      <c r="CX20" s="57">
        <v>0</v>
      </c>
      <c r="CY20" s="57">
        <v>0</v>
      </c>
      <c r="CZ20" s="57">
        <v>0</v>
      </c>
      <c r="DA20" s="57">
        <f t="shared" si="44"/>
        <v>0</v>
      </c>
      <c r="DB20" s="57">
        <v>600</v>
      </c>
      <c r="DC20" s="57">
        <v>0</v>
      </c>
      <c r="DD20" s="57">
        <f t="shared" si="45"/>
        <v>600</v>
      </c>
      <c r="DE20" s="57">
        <f t="shared" si="46"/>
        <v>0</v>
      </c>
      <c r="DF20" s="57" t="e">
        <f t="shared" si="47"/>
        <v>#DIV/0!</v>
      </c>
    </row>
    <row r="21" spans="1:110" ht="14.25" customHeight="1">
      <c r="A21" s="60"/>
      <c r="B21" s="44"/>
      <c r="C21" s="45">
        <v>0</v>
      </c>
      <c r="D21" s="45">
        <v>0</v>
      </c>
      <c r="E21" s="45">
        <v>0</v>
      </c>
      <c r="F21" s="45">
        <f t="shared" si="0"/>
        <v>0</v>
      </c>
      <c r="G21" s="45">
        <v>900</v>
      </c>
      <c r="H21" s="45">
        <v>0</v>
      </c>
      <c r="I21" s="45">
        <f t="shared" si="1"/>
        <v>900</v>
      </c>
      <c r="J21" s="45">
        <f t="shared" si="2"/>
        <v>0</v>
      </c>
      <c r="K21" s="45" t="e">
        <f t="shared" si="3"/>
        <v>#DIV/0!</v>
      </c>
      <c r="L21" s="47">
        <v>0</v>
      </c>
      <c r="M21" s="47">
        <v>0</v>
      </c>
      <c r="N21" s="47">
        <v>0</v>
      </c>
      <c r="O21" s="47">
        <f t="shared" si="4"/>
        <v>0</v>
      </c>
      <c r="P21" s="47">
        <v>1800</v>
      </c>
      <c r="Q21" s="47">
        <v>0</v>
      </c>
      <c r="R21" s="47">
        <f t="shared" si="5"/>
        <v>1800</v>
      </c>
      <c r="S21" s="47">
        <f t="shared" si="6"/>
        <v>0</v>
      </c>
      <c r="T21" s="47" t="e">
        <f t="shared" si="7"/>
        <v>#DIV/0!</v>
      </c>
      <c r="U21" s="48">
        <v>0</v>
      </c>
      <c r="V21" s="48">
        <v>0</v>
      </c>
      <c r="W21" s="48">
        <v>0</v>
      </c>
      <c r="X21" s="48">
        <f t="shared" si="8"/>
        <v>0</v>
      </c>
      <c r="Y21" s="48">
        <v>910</v>
      </c>
      <c r="Z21" s="48">
        <v>0</v>
      </c>
      <c r="AA21" s="48">
        <f t="shared" si="9"/>
        <v>910</v>
      </c>
      <c r="AB21" s="48">
        <f t="shared" si="10"/>
        <v>0</v>
      </c>
      <c r="AC21" s="48" t="e">
        <f t="shared" si="11"/>
        <v>#DIV/0!</v>
      </c>
      <c r="AD21" s="49">
        <v>0</v>
      </c>
      <c r="AE21" s="49">
        <v>0</v>
      </c>
      <c r="AF21" s="49">
        <v>0</v>
      </c>
      <c r="AG21" s="49">
        <f t="shared" si="12"/>
        <v>0</v>
      </c>
      <c r="AH21" s="49">
        <v>1200</v>
      </c>
      <c r="AI21" s="49">
        <v>0</v>
      </c>
      <c r="AJ21" s="49">
        <f t="shared" si="13"/>
        <v>1200</v>
      </c>
      <c r="AK21" s="49">
        <f t="shared" si="14"/>
        <v>0</v>
      </c>
      <c r="AL21" s="49" t="e">
        <f t="shared" si="15"/>
        <v>#DIV/0!</v>
      </c>
      <c r="AM21" s="50">
        <v>0</v>
      </c>
      <c r="AN21" s="50">
        <v>0</v>
      </c>
      <c r="AO21" s="50">
        <v>0</v>
      </c>
      <c r="AP21" s="50">
        <f t="shared" si="16"/>
        <v>0</v>
      </c>
      <c r="AQ21" s="50">
        <v>600</v>
      </c>
      <c r="AR21" s="50">
        <v>0</v>
      </c>
      <c r="AS21" s="50">
        <f t="shared" si="17"/>
        <v>600</v>
      </c>
      <c r="AT21" s="50">
        <f t="shared" si="18"/>
        <v>0</v>
      </c>
      <c r="AU21" s="50" t="e">
        <f t="shared" si="19"/>
        <v>#DIV/0!</v>
      </c>
      <c r="AV21" s="51">
        <v>0</v>
      </c>
      <c r="AW21" s="51">
        <v>0</v>
      </c>
      <c r="AX21" s="51">
        <v>0</v>
      </c>
      <c r="AY21" s="51">
        <f t="shared" si="20"/>
        <v>0</v>
      </c>
      <c r="AZ21" s="51">
        <v>1500</v>
      </c>
      <c r="BA21" s="51">
        <v>0</v>
      </c>
      <c r="BB21" s="51">
        <f t="shared" si="21"/>
        <v>1500</v>
      </c>
      <c r="BC21" s="51">
        <f t="shared" si="22"/>
        <v>0</v>
      </c>
      <c r="BD21" s="51" t="e">
        <f t="shared" si="23"/>
        <v>#DIV/0!</v>
      </c>
      <c r="BE21" s="52">
        <v>0</v>
      </c>
      <c r="BF21" s="52">
        <v>0</v>
      </c>
      <c r="BG21" s="52">
        <v>0</v>
      </c>
      <c r="BH21" s="52">
        <f t="shared" si="24"/>
        <v>0</v>
      </c>
      <c r="BI21" s="52">
        <v>750</v>
      </c>
      <c r="BJ21" s="52">
        <v>0</v>
      </c>
      <c r="BK21" s="52">
        <f t="shared" si="25"/>
        <v>750</v>
      </c>
      <c r="BL21" s="52">
        <f t="shared" si="26"/>
        <v>0</v>
      </c>
      <c r="BM21" s="52" t="e">
        <f t="shared" si="27"/>
        <v>#DIV/0!</v>
      </c>
      <c r="BN21" s="53">
        <v>0</v>
      </c>
      <c r="BO21" s="53">
        <v>24</v>
      </c>
      <c r="BP21" s="53">
        <v>0</v>
      </c>
      <c r="BQ21" s="53">
        <f t="shared" si="28"/>
        <v>24</v>
      </c>
      <c r="BR21" s="53">
        <v>2450</v>
      </c>
      <c r="BS21" s="53">
        <v>350</v>
      </c>
      <c r="BT21" s="53">
        <f t="shared" si="29"/>
        <v>2100</v>
      </c>
      <c r="BU21" s="53">
        <f t="shared" si="30"/>
        <v>50400</v>
      </c>
      <c r="BV21" s="53">
        <f t="shared" si="31"/>
        <v>0</v>
      </c>
      <c r="BW21" s="54">
        <v>0</v>
      </c>
      <c r="BX21" s="54">
        <v>0</v>
      </c>
      <c r="BY21" s="54">
        <v>0</v>
      </c>
      <c r="BZ21" s="54">
        <f t="shared" si="32"/>
        <v>0</v>
      </c>
      <c r="CA21" s="54">
        <v>750</v>
      </c>
      <c r="CB21" s="54">
        <v>0</v>
      </c>
      <c r="CC21" s="54">
        <f t="shared" si="33"/>
        <v>750</v>
      </c>
      <c r="CD21" s="54">
        <f t="shared" si="34"/>
        <v>0</v>
      </c>
      <c r="CE21" s="54" t="e">
        <f t="shared" si="35"/>
        <v>#DIV/0!</v>
      </c>
      <c r="CF21" s="55">
        <v>0</v>
      </c>
      <c r="CG21" s="55">
        <v>0</v>
      </c>
      <c r="CH21" s="55">
        <v>0</v>
      </c>
      <c r="CI21" s="55">
        <f t="shared" si="36"/>
        <v>0</v>
      </c>
      <c r="CJ21" s="55">
        <v>730</v>
      </c>
      <c r="CK21" s="55">
        <v>0</v>
      </c>
      <c r="CL21" s="55">
        <f t="shared" si="37"/>
        <v>730</v>
      </c>
      <c r="CM21" s="55">
        <f t="shared" si="38"/>
        <v>0</v>
      </c>
      <c r="CN21" s="55" t="e">
        <f t="shared" si="39"/>
        <v>#DIV/0!</v>
      </c>
      <c r="CO21" s="56">
        <v>0</v>
      </c>
      <c r="CP21" s="56">
        <v>0</v>
      </c>
      <c r="CQ21" s="56">
        <v>0</v>
      </c>
      <c r="CR21" s="56">
        <f t="shared" si="40"/>
        <v>0</v>
      </c>
      <c r="CS21" s="56">
        <v>730</v>
      </c>
      <c r="CT21" s="56">
        <v>0</v>
      </c>
      <c r="CU21" s="56">
        <f t="shared" si="41"/>
        <v>730</v>
      </c>
      <c r="CV21" s="56">
        <f t="shared" si="42"/>
        <v>0</v>
      </c>
      <c r="CW21" s="56" t="e">
        <f t="shared" si="43"/>
        <v>#DIV/0!</v>
      </c>
      <c r="CX21" s="57">
        <v>0</v>
      </c>
      <c r="CY21" s="57">
        <v>0</v>
      </c>
      <c r="CZ21" s="57">
        <v>0</v>
      </c>
      <c r="DA21" s="57">
        <f t="shared" si="44"/>
        <v>0</v>
      </c>
      <c r="DB21" s="57">
        <v>600</v>
      </c>
      <c r="DC21" s="57">
        <v>0</v>
      </c>
      <c r="DD21" s="57">
        <f t="shared" si="45"/>
        <v>600</v>
      </c>
      <c r="DE21" s="57">
        <f t="shared" si="46"/>
        <v>0</v>
      </c>
      <c r="DF21" s="57" t="e">
        <f t="shared" si="47"/>
        <v>#DIV/0!</v>
      </c>
    </row>
    <row r="22" spans="1:110" ht="14.25" customHeight="1">
      <c r="A22" s="60"/>
      <c r="B22" s="44"/>
      <c r="C22" s="45">
        <v>0</v>
      </c>
      <c r="D22" s="45">
        <v>0</v>
      </c>
      <c r="E22" s="45">
        <v>0</v>
      </c>
      <c r="F22" s="45">
        <f t="shared" si="0"/>
        <v>0</v>
      </c>
      <c r="G22" s="45">
        <v>900</v>
      </c>
      <c r="H22" s="45">
        <v>0</v>
      </c>
      <c r="I22" s="45">
        <f t="shared" si="1"/>
        <v>900</v>
      </c>
      <c r="J22" s="45">
        <f t="shared" si="2"/>
        <v>0</v>
      </c>
      <c r="K22" s="45" t="e">
        <f t="shared" si="3"/>
        <v>#DIV/0!</v>
      </c>
      <c r="L22" s="47">
        <v>0</v>
      </c>
      <c r="M22" s="47">
        <v>0</v>
      </c>
      <c r="N22" s="47">
        <v>0</v>
      </c>
      <c r="O22" s="47">
        <f t="shared" si="4"/>
        <v>0</v>
      </c>
      <c r="P22" s="47">
        <v>1800</v>
      </c>
      <c r="Q22" s="47">
        <v>0</v>
      </c>
      <c r="R22" s="47">
        <f t="shared" si="5"/>
        <v>1800</v>
      </c>
      <c r="S22" s="47">
        <f t="shared" si="6"/>
        <v>0</v>
      </c>
      <c r="T22" s="47" t="e">
        <f t="shared" si="7"/>
        <v>#DIV/0!</v>
      </c>
      <c r="U22" s="48">
        <v>0</v>
      </c>
      <c r="V22" s="48">
        <v>0</v>
      </c>
      <c r="W22" s="48">
        <v>0</v>
      </c>
      <c r="X22" s="48">
        <f t="shared" si="8"/>
        <v>0</v>
      </c>
      <c r="Y22" s="48">
        <v>910</v>
      </c>
      <c r="Z22" s="48">
        <v>0</v>
      </c>
      <c r="AA22" s="48">
        <f t="shared" si="9"/>
        <v>910</v>
      </c>
      <c r="AB22" s="48">
        <f t="shared" si="10"/>
        <v>0</v>
      </c>
      <c r="AC22" s="48" t="e">
        <f t="shared" si="11"/>
        <v>#DIV/0!</v>
      </c>
      <c r="AD22" s="49">
        <v>0</v>
      </c>
      <c r="AE22" s="49">
        <v>0</v>
      </c>
      <c r="AF22" s="49">
        <v>0</v>
      </c>
      <c r="AG22" s="49">
        <f t="shared" si="12"/>
        <v>0</v>
      </c>
      <c r="AH22" s="49">
        <v>1200</v>
      </c>
      <c r="AI22" s="49">
        <v>0</v>
      </c>
      <c r="AJ22" s="49">
        <f t="shared" si="13"/>
        <v>1200</v>
      </c>
      <c r="AK22" s="49">
        <f t="shared" si="14"/>
        <v>0</v>
      </c>
      <c r="AL22" s="49" t="e">
        <f t="shared" si="15"/>
        <v>#DIV/0!</v>
      </c>
      <c r="AM22" s="50">
        <v>0</v>
      </c>
      <c r="AN22" s="50">
        <v>0</v>
      </c>
      <c r="AO22" s="50">
        <v>0</v>
      </c>
      <c r="AP22" s="50">
        <f t="shared" si="16"/>
        <v>0</v>
      </c>
      <c r="AQ22" s="50">
        <v>600</v>
      </c>
      <c r="AR22" s="50">
        <v>0</v>
      </c>
      <c r="AS22" s="50">
        <f t="shared" si="17"/>
        <v>600</v>
      </c>
      <c r="AT22" s="50">
        <f t="shared" si="18"/>
        <v>0</v>
      </c>
      <c r="AU22" s="50" t="e">
        <f t="shared" si="19"/>
        <v>#DIV/0!</v>
      </c>
      <c r="AV22" s="51">
        <v>0</v>
      </c>
      <c r="AW22" s="51">
        <v>0</v>
      </c>
      <c r="AX22" s="51">
        <v>0</v>
      </c>
      <c r="AY22" s="51">
        <f t="shared" si="20"/>
        <v>0</v>
      </c>
      <c r="AZ22" s="51">
        <v>1500</v>
      </c>
      <c r="BA22" s="51">
        <v>0</v>
      </c>
      <c r="BB22" s="51">
        <f t="shared" si="21"/>
        <v>1500</v>
      </c>
      <c r="BC22" s="51">
        <f t="shared" si="22"/>
        <v>0</v>
      </c>
      <c r="BD22" s="51" t="e">
        <f t="shared" si="23"/>
        <v>#DIV/0!</v>
      </c>
      <c r="BE22" s="52">
        <v>0</v>
      </c>
      <c r="BF22" s="52">
        <v>0</v>
      </c>
      <c r="BG22" s="52">
        <v>0</v>
      </c>
      <c r="BH22" s="52">
        <f t="shared" si="24"/>
        <v>0</v>
      </c>
      <c r="BI22" s="52">
        <v>750</v>
      </c>
      <c r="BJ22" s="52">
        <v>0</v>
      </c>
      <c r="BK22" s="52">
        <f t="shared" si="25"/>
        <v>750</v>
      </c>
      <c r="BL22" s="52">
        <f t="shared" si="26"/>
        <v>0</v>
      </c>
      <c r="BM22" s="52" t="e">
        <f t="shared" si="27"/>
        <v>#DIV/0!</v>
      </c>
      <c r="BN22" s="53">
        <v>0</v>
      </c>
      <c r="BO22" s="53">
        <v>8</v>
      </c>
      <c r="BP22" s="53">
        <v>2</v>
      </c>
      <c r="BQ22" s="53">
        <f t="shared" si="28"/>
        <v>6</v>
      </c>
      <c r="BR22" s="53">
        <v>2450</v>
      </c>
      <c r="BS22" s="53">
        <v>350</v>
      </c>
      <c r="BT22" s="53">
        <f t="shared" si="29"/>
        <v>2100</v>
      </c>
      <c r="BU22" s="53">
        <f t="shared" si="30"/>
        <v>12600</v>
      </c>
      <c r="BV22" s="53">
        <f t="shared" si="31"/>
        <v>25</v>
      </c>
      <c r="BW22" s="54">
        <v>0</v>
      </c>
      <c r="BX22" s="54">
        <v>0</v>
      </c>
      <c r="BY22" s="54">
        <v>0</v>
      </c>
      <c r="BZ22" s="54">
        <f t="shared" si="32"/>
        <v>0</v>
      </c>
      <c r="CA22" s="54">
        <v>750</v>
      </c>
      <c r="CB22" s="54">
        <v>0</v>
      </c>
      <c r="CC22" s="54">
        <f t="shared" si="33"/>
        <v>750</v>
      </c>
      <c r="CD22" s="54">
        <f t="shared" si="34"/>
        <v>0</v>
      </c>
      <c r="CE22" s="54" t="e">
        <f t="shared" si="35"/>
        <v>#DIV/0!</v>
      </c>
      <c r="CF22" s="55">
        <v>0</v>
      </c>
      <c r="CG22" s="55">
        <v>0</v>
      </c>
      <c r="CH22" s="55">
        <v>0</v>
      </c>
      <c r="CI22" s="55">
        <f t="shared" si="36"/>
        <v>0</v>
      </c>
      <c r="CJ22" s="55">
        <v>730</v>
      </c>
      <c r="CK22" s="55">
        <v>0</v>
      </c>
      <c r="CL22" s="55">
        <f t="shared" si="37"/>
        <v>730</v>
      </c>
      <c r="CM22" s="55">
        <f t="shared" si="38"/>
        <v>0</v>
      </c>
      <c r="CN22" s="55" t="e">
        <f t="shared" si="39"/>
        <v>#DIV/0!</v>
      </c>
      <c r="CO22" s="56">
        <v>0</v>
      </c>
      <c r="CP22" s="56">
        <v>0</v>
      </c>
      <c r="CQ22" s="56">
        <v>0</v>
      </c>
      <c r="CR22" s="56">
        <f t="shared" si="40"/>
        <v>0</v>
      </c>
      <c r="CS22" s="56">
        <v>730</v>
      </c>
      <c r="CT22" s="56">
        <v>0</v>
      </c>
      <c r="CU22" s="56">
        <f t="shared" si="41"/>
        <v>730</v>
      </c>
      <c r="CV22" s="56">
        <f t="shared" si="42"/>
        <v>0</v>
      </c>
      <c r="CW22" s="56" t="e">
        <f t="shared" si="43"/>
        <v>#DIV/0!</v>
      </c>
      <c r="CX22" s="57">
        <v>0</v>
      </c>
      <c r="CY22" s="57">
        <v>0</v>
      </c>
      <c r="CZ22" s="57">
        <v>0</v>
      </c>
      <c r="DA22" s="57">
        <f t="shared" si="44"/>
        <v>0</v>
      </c>
      <c r="DB22" s="57">
        <v>600</v>
      </c>
      <c r="DC22" s="57">
        <v>0</v>
      </c>
      <c r="DD22" s="57">
        <f t="shared" si="45"/>
        <v>600</v>
      </c>
      <c r="DE22" s="57">
        <f t="shared" si="46"/>
        <v>0</v>
      </c>
      <c r="DF22" s="57" t="e">
        <f t="shared" si="47"/>
        <v>#DIV/0!</v>
      </c>
    </row>
    <row r="23" spans="1:110" ht="14.25" customHeight="1">
      <c r="A23" s="60"/>
      <c r="B23" s="44"/>
      <c r="C23" s="45">
        <v>0</v>
      </c>
      <c r="D23" s="45">
        <v>0</v>
      </c>
      <c r="E23" s="45">
        <v>0</v>
      </c>
      <c r="F23" s="45">
        <f t="shared" si="0"/>
        <v>0</v>
      </c>
      <c r="G23" s="45">
        <v>900</v>
      </c>
      <c r="H23" s="45">
        <v>0</v>
      </c>
      <c r="I23" s="45">
        <f t="shared" si="1"/>
        <v>900</v>
      </c>
      <c r="J23" s="45">
        <f t="shared" si="2"/>
        <v>0</v>
      </c>
      <c r="K23" s="45" t="e">
        <f t="shared" si="3"/>
        <v>#DIV/0!</v>
      </c>
      <c r="L23" s="47">
        <v>0</v>
      </c>
      <c r="M23" s="47">
        <v>0</v>
      </c>
      <c r="N23" s="47">
        <v>0</v>
      </c>
      <c r="O23" s="47">
        <f t="shared" si="4"/>
        <v>0</v>
      </c>
      <c r="P23" s="47">
        <v>1800</v>
      </c>
      <c r="Q23" s="47">
        <v>0</v>
      </c>
      <c r="R23" s="47">
        <f t="shared" si="5"/>
        <v>1800</v>
      </c>
      <c r="S23" s="47">
        <f t="shared" si="6"/>
        <v>0</v>
      </c>
      <c r="T23" s="47" t="e">
        <f t="shared" si="7"/>
        <v>#DIV/0!</v>
      </c>
      <c r="U23" s="48">
        <v>0</v>
      </c>
      <c r="V23" s="48">
        <v>0</v>
      </c>
      <c r="W23" s="48">
        <v>0</v>
      </c>
      <c r="X23" s="48">
        <f t="shared" si="8"/>
        <v>0</v>
      </c>
      <c r="Y23" s="48">
        <v>910</v>
      </c>
      <c r="Z23" s="48">
        <v>0</v>
      </c>
      <c r="AA23" s="48">
        <f t="shared" si="9"/>
        <v>910</v>
      </c>
      <c r="AB23" s="48">
        <f t="shared" si="10"/>
        <v>0</v>
      </c>
      <c r="AC23" s="48" t="e">
        <f t="shared" si="11"/>
        <v>#DIV/0!</v>
      </c>
      <c r="AD23" s="49">
        <v>0</v>
      </c>
      <c r="AE23" s="49">
        <v>0</v>
      </c>
      <c r="AF23" s="49">
        <v>0</v>
      </c>
      <c r="AG23" s="49">
        <f t="shared" si="12"/>
        <v>0</v>
      </c>
      <c r="AH23" s="49">
        <v>1200</v>
      </c>
      <c r="AI23" s="49">
        <v>0</v>
      </c>
      <c r="AJ23" s="49">
        <f t="shared" si="13"/>
        <v>1200</v>
      </c>
      <c r="AK23" s="49">
        <f t="shared" si="14"/>
        <v>0</v>
      </c>
      <c r="AL23" s="49" t="e">
        <f t="shared" si="15"/>
        <v>#DIV/0!</v>
      </c>
      <c r="AM23" s="50">
        <v>0</v>
      </c>
      <c r="AN23" s="50">
        <v>0</v>
      </c>
      <c r="AO23" s="50">
        <v>0</v>
      </c>
      <c r="AP23" s="50">
        <f t="shared" si="16"/>
        <v>0</v>
      </c>
      <c r="AQ23" s="50">
        <v>600</v>
      </c>
      <c r="AR23" s="50">
        <v>0</v>
      </c>
      <c r="AS23" s="50">
        <f t="shared" si="17"/>
        <v>600</v>
      </c>
      <c r="AT23" s="50">
        <f t="shared" si="18"/>
        <v>0</v>
      </c>
      <c r="AU23" s="50" t="e">
        <f t="shared" si="19"/>
        <v>#DIV/0!</v>
      </c>
      <c r="AV23" s="51">
        <v>0</v>
      </c>
      <c r="AW23" s="51">
        <v>0</v>
      </c>
      <c r="AX23" s="51">
        <v>0</v>
      </c>
      <c r="AY23" s="51">
        <f t="shared" si="20"/>
        <v>0</v>
      </c>
      <c r="AZ23" s="51">
        <v>1500</v>
      </c>
      <c r="BA23" s="51">
        <v>0</v>
      </c>
      <c r="BB23" s="51">
        <f t="shared" si="21"/>
        <v>1500</v>
      </c>
      <c r="BC23" s="51">
        <f t="shared" si="22"/>
        <v>0</v>
      </c>
      <c r="BD23" s="51" t="e">
        <f t="shared" si="23"/>
        <v>#DIV/0!</v>
      </c>
      <c r="BE23" s="52">
        <v>0</v>
      </c>
      <c r="BF23" s="52">
        <v>0</v>
      </c>
      <c r="BG23" s="52">
        <v>0</v>
      </c>
      <c r="BH23" s="52">
        <f t="shared" si="24"/>
        <v>0</v>
      </c>
      <c r="BI23" s="52">
        <v>750</v>
      </c>
      <c r="BJ23" s="52">
        <v>0</v>
      </c>
      <c r="BK23" s="52">
        <f t="shared" si="25"/>
        <v>750</v>
      </c>
      <c r="BL23" s="52">
        <f t="shared" si="26"/>
        <v>0</v>
      </c>
      <c r="BM23" s="52" t="e">
        <f t="shared" si="27"/>
        <v>#DIV/0!</v>
      </c>
      <c r="BN23" s="53">
        <v>0</v>
      </c>
      <c r="BO23" s="53">
        <v>0</v>
      </c>
      <c r="BP23" s="53">
        <v>0</v>
      </c>
      <c r="BQ23" s="53">
        <f t="shared" si="28"/>
        <v>0</v>
      </c>
      <c r="BR23" s="53">
        <v>2450</v>
      </c>
      <c r="BS23" s="53">
        <v>0</v>
      </c>
      <c r="BT23" s="53">
        <f t="shared" si="29"/>
        <v>2450</v>
      </c>
      <c r="BU23" s="53">
        <f t="shared" si="30"/>
        <v>0</v>
      </c>
      <c r="BV23" s="53" t="e">
        <f t="shared" si="31"/>
        <v>#DIV/0!</v>
      </c>
      <c r="BW23" s="54">
        <v>0</v>
      </c>
      <c r="BX23" s="54">
        <v>0</v>
      </c>
      <c r="BY23" s="54">
        <v>0</v>
      </c>
      <c r="BZ23" s="54">
        <f t="shared" si="32"/>
        <v>0</v>
      </c>
      <c r="CA23" s="54">
        <v>750</v>
      </c>
      <c r="CB23" s="54">
        <v>0</v>
      </c>
      <c r="CC23" s="54">
        <f t="shared" si="33"/>
        <v>750</v>
      </c>
      <c r="CD23" s="54">
        <f t="shared" si="34"/>
        <v>0</v>
      </c>
      <c r="CE23" s="54" t="e">
        <f t="shared" si="35"/>
        <v>#DIV/0!</v>
      </c>
      <c r="CF23" s="55">
        <v>0</v>
      </c>
      <c r="CG23" s="55">
        <v>0</v>
      </c>
      <c r="CH23" s="55">
        <v>0</v>
      </c>
      <c r="CI23" s="55">
        <f t="shared" si="36"/>
        <v>0</v>
      </c>
      <c r="CJ23" s="55">
        <v>730</v>
      </c>
      <c r="CK23" s="55">
        <v>0</v>
      </c>
      <c r="CL23" s="55">
        <f t="shared" si="37"/>
        <v>730</v>
      </c>
      <c r="CM23" s="55">
        <f t="shared" si="38"/>
        <v>0</v>
      </c>
      <c r="CN23" s="55" t="e">
        <f t="shared" si="39"/>
        <v>#DIV/0!</v>
      </c>
      <c r="CO23" s="56">
        <v>0</v>
      </c>
      <c r="CP23" s="56">
        <v>0</v>
      </c>
      <c r="CQ23" s="56">
        <v>0</v>
      </c>
      <c r="CR23" s="56">
        <f t="shared" si="40"/>
        <v>0</v>
      </c>
      <c r="CS23" s="56">
        <v>730</v>
      </c>
      <c r="CT23" s="56">
        <v>0</v>
      </c>
      <c r="CU23" s="56">
        <f t="shared" si="41"/>
        <v>730</v>
      </c>
      <c r="CV23" s="56">
        <f t="shared" si="42"/>
        <v>0</v>
      </c>
      <c r="CW23" s="56" t="e">
        <f t="shared" si="43"/>
        <v>#DIV/0!</v>
      </c>
      <c r="CX23" s="57">
        <v>0</v>
      </c>
      <c r="CY23" s="57">
        <v>0</v>
      </c>
      <c r="CZ23" s="57">
        <v>0</v>
      </c>
      <c r="DA23" s="57">
        <f t="shared" si="44"/>
        <v>0</v>
      </c>
      <c r="DB23" s="57">
        <v>600</v>
      </c>
      <c r="DC23" s="57">
        <v>0</v>
      </c>
      <c r="DD23" s="57">
        <f t="shared" si="45"/>
        <v>600</v>
      </c>
      <c r="DE23" s="57">
        <f t="shared" si="46"/>
        <v>0</v>
      </c>
      <c r="DF23" s="57" t="e">
        <f t="shared" si="47"/>
        <v>#DIV/0!</v>
      </c>
    </row>
    <row r="24" spans="1:110" ht="14.25" customHeight="1">
      <c r="A24" s="60"/>
      <c r="B24" s="44"/>
      <c r="C24" s="45">
        <v>0</v>
      </c>
      <c r="D24" s="45">
        <v>0</v>
      </c>
      <c r="E24" s="45">
        <v>0</v>
      </c>
      <c r="F24" s="45">
        <f t="shared" si="0"/>
        <v>0</v>
      </c>
      <c r="G24" s="45">
        <v>900</v>
      </c>
      <c r="H24" s="45">
        <v>0</v>
      </c>
      <c r="I24" s="45">
        <f t="shared" si="1"/>
        <v>900</v>
      </c>
      <c r="J24" s="45">
        <f t="shared" si="2"/>
        <v>0</v>
      </c>
      <c r="K24" s="45" t="e">
        <f t="shared" si="3"/>
        <v>#DIV/0!</v>
      </c>
      <c r="L24" s="47">
        <v>0</v>
      </c>
      <c r="M24" s="47">
        <v>0</v>
      </c>
      <c r="N24" s="47">
        <v>0</v>
      </c>
      <c r="O24" s="47">
        <f t="shared" si="4"/>
        <v>0</v>
      </c>
      <c r="P24" s="47">
        <v>1800</v>
      </c>
      <c r="Q24" s="47">
        <v>0</v>
      </c>
      <c r="R24" s="47">
        <f t="shared" si="5"/>
        <v>1800</v>
      </c>
      <c r="S24" s="47">
        <f t="shared" si="6"/>
        <v>0</v>
      </c>
      <c r="T24" s="47" t="e">
        <f t="shared" si="7"/>
        <v>#DIV/0!</v>
      </c>
      <c r="U24" s="48">
        <v>0</v>
      </c>
      <c r="V24" s="48">
        <v>0</v>
      </c>
      <c r="W24" s="48">
        <v>0</v>
      </c>
      <c r="X24" s="48">
        <f t="shared" si="8"/>
        <v>0</v>
      </c>
      <c r="Y24" s="48">
        <v>910</v>
      </c>
      <c r="Z24" s="48">
        <v>0</v>
      </c>
      <c r="AA24" s="48">
        <f t="shared" si="9"/>
        <v>910</v>
      </c>
      <c r="AB24" s="48">
        <f t="shared" si="10"/>
        <v>0</v>
      </c>
      <c r="AC24" s="48" t="e">
        <f t="shared" si="11"/>
        <v>#DIV/0!</v>
      </c>
      <c r="AD24" s="49">
        <v>0</v>
      </c>
      <c r="AE24" s="49">
        <v>0</v>
      </c>
      <c r="AF24" s="49">
        <v>0</v>
      </c>
      <c r="AG24" s="49">
        <f t="shared" si="12"/>
        <v>0</v>
      </c>
      <c r="AH24" s="49">
        <v>1200</v>
      </c>
      <c r="AI24" s="49">
        <v>0</v>
      </c>
      <c r="AJ24" s="49">
        <f t="shared" si="13"/>
        <v>1200</v>
      </c>
      <c r="AK24" s="49">
        <f t="shared" si="14"/>
        <v>0</v>
      </c>
      <c r="AL24" s="49" t="e">
        <f t="shared" si="15"/>
        <v>#DIV/0!</v>
      </c>
      <c r="AM24" s="50">
        <v>0</v>
      </c>
      <c r="AN24" s="50">
        <v>0</v>
      </c>
      <c r="AO24" s="50">
        <v>0</v>
      </c>
      <c r="AP24" s="50">
        <f t="shared" si="16"/>
        <v>0</v>
      </c>
      <c r="AQ24" s="50">
        <v>600</v>
      </c>
      <c r="AR24" s="50">
        <v>0</v>
      </c>
      <c r="AS24" s="50">
        <f t="shared" si="17"/>
        <v>600</v>
      </c>
      <c r="AT24" s="50">
        <f t="shared" si="18"/>
        <v>0</v>
      </c>
      <c r="AU24" s="50" t="e">
        <f t="shared" si="19"/>
        <v>#DIV/0!</v>
      </c>
      <c r="AV24" s="51">
        <v>0</v>
      </c>
      <c r="AW24" s="51">
        <v>0</v>
      </c>
      <c r="AX24" s="51">
        <v>0</v>
      </c>
      <c r="AY24" s="51">
        <f t="shared" si="20"/>
        <v>0</v>
      </c>
      <c r="AZ24" s="51">
        <v>1500</v>
      </c>
      <c r="BA24" s="51">
        <v>0</v>
      </c>
      <c r="BB24" s="51">
        <f t="shared" si="21"/>
        <v>1500</v>
      </c>
      <c r="BC24" s="51">
        <f t="shared" si="22"/>
        <v>0</v>
      </c>
      <c r="BD24" s="51" t="e">
        <f t="shared" si="23"/>
        <v>#DIV/0!</v>
      </c>
      <c r="BE24" s="52">
        <v>0</v>
      </c>
      <c r="BF24" s="52">
        <v>0</v>
      </c>
      <c r="BG24" s="52">
        <v>0</v>
      </c>
      <c r="BH24" s="52">
        <f t="shared" si="24"/>
        <v>0</v>
      </c>
      <c r="BI24" s="52">
        <v>750</v>
      </c>
      <c r="BJ24" s="52">
        <v>0</v>
      </c>
      <c r="BK24" s="52">
        <f t="shared" si="25"/>
        <v>750</v>
      </c>
      <c r="BL24" s="52">
        <f t="shared" si="26"/>
        <v>0</v>
      </c>
      <c r="BM24" s="52" t="e">
        <f t="shared" si="27"/>
        <v>#DIV/0!</v>
      </c>
      <c r="BN24" s="53">
        <v>0</v>
      </c>
      <c r="BO24" s="53">
        <v>44</v>
      </c>
      <c r="BP24" s="53">
        <v>4</v>
      </c>
      <c r="BQ24" s="53">
        <f t="shared" si="28"/>
        <v>40</v>
      </c>
      <c r="BR24" s="53">
        <v>2450</v>
      </c>
      <c r="BS24" s="53">
        <v>350</v>
      </c>
      <c r="BT24" s="53">
        <f t="shared" si="29"/>
        <v>2100</v>
      </c>
      <c r="BU24" s="53">
        <f t="shared" si="30"/>
        <v>84000</v>
      </c>
      <c r="BV24" s="53">
        <f t="shared" si="31"/>
        <v>9.0909090909090917</v>
      </c>
      <c r="BW24" s="54">
        <v>0</v>
      </c>
      <c r="BX24" s="54">
        <v>20</v>
      </c>
      <c r="BY24" s="54">
        <v>1</v>
      </c>
      <c r="BZ24" s="54">
        <f t="shared" si="32"/>
        <v>19</v>
      </c>
      <c r="CA24" s="54">
        <v>750</v>
      </c>
      <c r="CB24" s="54">
        <v>70</v>
      </c>
      <c r="CC24" s="54">
        <f t="shared" si="33"/>
        <v>680</v>
      </c>
      <c r="CD24" s="54">
        <f t="shared" si="34"/>
        <v>12920</v>
      </c>
      <c r="CE24" s="54">
        <f t="shared" si="35"/>
        <v>5</v>
      </c>
      <c r="CF24" s="55">
        <v>0</v>
      </c>
      <c r="CG24" s="55">
        <v>0</v>
      </c>
      <c r="CH24" s="55">
        <v>0</v>
      </c>
      <c r="CI24" s="55">
        <f t="shared" si="36"/>
        <v>0</v>
      </c>
      <c r="CJ24" s="55">
        <v>730</v>
      </c>
      <c r="CK24" s="55">
        <v>0</v>
      </c>
      <c r="CL24" s="55">
        <f t="shared" si="37"/>
        <v>730</v>
      </c>
      <c r="CM24" s="55">
        <f t="shared" si="38"/>
        <v>0</v>
      </c>
      <c r="CN24" s="55" t="e">
        <f t="shared" si="39"/>
        <v>#DIV/0!</v>
      </c>
      <c r="CO24" s="56">
        <v>0</v>
      </c>
      <c r="CP24" s="56">
        <v>0</v>
      </c>
      <c r="CQ24" s="56">
        <v>0</v>
      </c>
      <c r="CR24" s="56">
        <f t="shared" si="40"/>
        <v>0</v>
      </c>
      <c r="CS24" s="56">
        <v>730</v>
      </c>
      <c r="CT24" s="56">
        <v>0</v>
      </c>
      <c r="CU24" s="56">
        <f t="shared" si="41"/>
        <v>730</v>
      </c>
      <c r="CV24" s="56">
        <f t="shared" si="42"/>
        <v>0</v>
      </c>
      <c r="CW24" s="56" t="e">
        <f t="shared" si="43"/>
        <v>#DIV/0!</v>
      </c>
      <c r="CX24" s="57">
        <v>0</v>
      </c>
      <c r="CY24" s="57">
        <v>0</v>
      </c>
      <c r="CZ24" s="57">
        <v>0</v>
      </c>
      <c r="DA24" s="57">
        <f t="shared" si="44"/>
        <v>0</v>
      </c>
      <c r="DB24" s="57">
        <v>600</v>
      </c>
      <c r="DC24" s="57">
        <v>0</v>
      </c>
      <c r="DD24" s="57">
        <f t="shared" si="45"/>
        <v>600</v>
      </c>
      <c r="DE24" s="57">
        <f t="shared" si="46"/>
        <v>0</v>
      </c>
      <c r="DF24" s="57" t="e">
        <f t="shared" si="47"/>
        <v>#DIV/0!</v>
      </c>
    </row>
    <row r="25" spans="1:110" ht="14.25" customHeight="1">
      <c r="A25" s="60"/>
      <c r="B25" s="44"/>
      <c r="C25" s="45">
        <v>0</v>
      </c>
      <c r="D25" s="45">
        <v>0</v>
      </c>
      <c r="E25" s="45">
        <v>0</v>
      </c>
      <c r="F25" s="45">
        <f t="shared" si="0"/>
        <v>0</v>
      </c>
      <c r="G25" s="45">
        <v>900</v>
      </c>
      <c r="H25" s="45">
        <v>0</v>
      </c>
      <c r="I25" s="45">
        <f t="shared" si="1"/>
        <v>900</v>
      </c>
      <c r="J25" s="45">
        <f t="shared" si="2"/>
        <v>0</v>
      </c>
      <c r="K25" s="45" t="e">
        <f t="shared" si="3"/>
        <v>#DIV/0!</v>
      </c>
      <c r="L25" s="47">
        <v>0</v>
      </c>
      <c r="M25" s="47">
        <v>0</v>
      </c>
      <c r="N25" s="47">
        <v>0</v>
      </c>
      <c r="O25" s="47">
        <f t="shared" si="4"/>
        <v>0</v>
      </c>
      <c r="P25" s="47">
        <v>1800</v>
      </c>
      <c r="Q25" s="47">
        <v>0</v>
      </c>
      <c r="R25" s="47">
        <f t="shared" si="5"/>
        <v>1800</v>
      </c>
      <c r="S25" s="47">
        <f t="shared" si="6"/>
        <v>0</v>
      </c>
      <c r="T25" s="47" t="e">
        <f t="shared" si="7"/>
        <v>#DIV/0!</v>
      </c>
      <c r="U25" s="48">
        <v>0</v>
      </c>
      <c r="V25" s="48">
        <v>0</v>
      </c>
      <c r="W25" s="48">
        <v>0</v>
      </c>
      <c r="X25" s="48">
        <f t="shared" si="8"/>
        <v>0</v>
      </c>
      <c r="Y25" s="48">
        <v>910</v>
      </c>
      <c r="Z25" s="48">
        <v>0</v>
      </c>
      <c r="AA25" s="48">
        <f t="shared" si="9"/>
        <v>910</v>
      </c>
      <c r="AB25" s="48">
        <f t="shared" si="10"/>
        <v>0</v>
      </c>
      <c r="AC25" s="48" t="e">
        <f t="shared" si="11"/>
        <v>#DIV/0!</v>
      </c>
      <c r="AD25" s="49">
        <v>0</v>
      </c>
      <c r="AE25" s="49">
        <v>0</v>
      </c>
      <c r="AF25" s="49">
        <v>0</v>
      </c>
      <c r="AG25" s="49">
        <f t="shared" si="12"/>
        <v>0</v>
      </c>
      <c r="AH25" s="49">
        <v>1200</v>
      </c>
      <c r="AI25" s="49">
        <v>0</v>
      </c>
      <c r="AJ25" s="49">
        <f t="shared" si="13"/>
        <v>1200</v>
      </c>
      <c r="AK25" s="49">
        <f t="shared" si="14"/>
        <v>0</v>
      </c>
      <c r="AL25" s="49" t="e">
        <f t="shared" si="15"/>
        <v>#DIV/0!</v>
      </c>
      <c r="AM25" s="50">
        <v>0</v>
      </c>
      <c r="AN25" s="50">
        <v>0</v>
      </c>
      <c r="AO25" s="50">
        <v>0</v>
      </c>
      <c r="AP25" s="50">
        <f t="shared" si="16"/>
        <v>0</v>
      </c>
      <c r="AQ25" s="50">
        <v>600</v>
      </c>
      <c r="AR25" s="50">
        <v>0</v>
      </c>
      <c r="AS25" s="50">
        <f t="shared" si="17"/>
        <v>600</v>
      </c>
      <c r="AT25" s="50">
        <f t="shared" si="18"/>
        <v>0</v>
      </c>
      <c r="AU25" s="50" t="e">
        <f t="shared" si="19"/>
        <v>#DIV/0!</v>
      </c>
      <c r="AV25" s="51">
        <v>0</v>
      </c>
      <c r="AW25" s="51">
        <v>0</v>
      </c>
      <c r="AX25" s="51">
        <v>0</v>
      </c>
      <c r="AY25" s="51">
        <f t="shared" si="20"/>
        <v>0</v>
      </c>
      <c r="AZ25" s="51">
        <v>1500</v>
      </c>
      <c r="BA25" s="51">
        <v>0</v>
      </c>
      <c r="BB25" s="51">
        <f t="shared" si="21"/>
        <v>1500</v>
      </c>
      <c r="BC25" s="51">
        <f t="shared" si="22"/>
        <v>0</v>
      </c>
      <c r="BD25" s="51" t="e">
        <f t="shared" si="23"/>
        <v>#DIV/0!</v>
      </c>
      <c r="BE25" s="52">
        <v>0</v>
      </c>
      <c r="BF25" s="52">
        <v>0</v>
      </c>
      <c r="BG25" s="52">
        <v>0</v>
      </c>
      <c r="BH25" s="52">
        <f t="shared" si="24"/>
        <v>0</v>
      </c>
      <c r="BI25" s="52">
        <v>750</v>
      </c>
      <c r="BJ25" s="52">
        <v>0</v>
      </c>
      <c r="BK25" s="52">
        <f t="shared" si="25"/>
        <v>750</v>
      </c>
      <c r="BL25" s="52">
        <f t="shared" si="26"/>
        <v>0</v>
      </c>
      <c r="BM25" s="52" t="e">
        <f t="shared" si="27"/>
        <v>#DIV/0!</v>
      </c>
      <c r="BN25" s="53">
        <v>0</v>
      </c>
      <c r="BO25" s="53">
        <v>0</v>
      </c>
      <c r="BP25" s="53">
        <v>0</v>
      </c>
      <c r="BQ25" s="53">
        <f t="shared" si="28"/>
        <v>0</v>
      </c>
      <c r="BR25" s="53">
        <v>2450</v>
      </c>
      <c r="BS25" s="53">
        <v>0</v>
      </c>
      <c r="BT25" s="53">
        <f t="shared" si="29"/>
        <v>2450</v>
      </c>
      <c r="BU25" s="53">
        <f t="shared" si="30"/>
        <v>0</v>
      </c>
      <c r="BV25" s="53" t="e">
        <f t="shared" si="31"/>
        <v>#DIV/0!</v>
      </c>
      <c r="BW25" s="54">
        <v>0</v>
      </c>
      <c r="BX25" s="54">
        <v>0</v>
      </c>
      <c r="BY25" s="54">
        <v>0</v>
      </c>
      <c r="BZ25" s="54">
        <f t="shared" si="32"/>
        <v>0</v>
      </c>
      <c r="CA25" s="54">
        <v>750</v>
      </c>
      <c r="CB25" s="54">
        <v>0</v>
      </c>
      <c r="CC25" s="54">
        <f t="shared" si="33"/>
        <v>750</v>
      </c>
      <c r="CD25" s="54">
        <f t="shared" si="34"/>
        <v>0</v>
      </c>
      <c r="CE25" s="54" t="e">
        <f t="shared" si="35"/>
        <v>#DIV/0!</v>
      </c>
      <c r="CF25" s="55">
        <v>0</v>
      </c>
      <c r="CG25" s="55">
        <v>0</v>
      </c>
      <c r="CH25" s="55">
        <v>0</v>
      </c>
      <c r="CI25" s="55">
        <f t="shared" si="36"/>
        <v>0</v>
      </c>
      <c r="CJ25" s="55">
        <v>730</v>
      </c>
      <c r="CK25" s="55">
        <v>0</v>
      </c>
      <c r="CL25" s="55">
        <f t="shared" si="37"/>
        <v>730</v>
      </c>
      <c r="CM25" s="55">
        <f t="shared" si="38"/>
        <v>0</v>
      </c>
      <c r="CN25" s="55" t="e">
        <f t="shared" si="39"/>
        <v>#DIV/0!</v>
      </c>
      <c r="CO25" s="56">
        <v>0</v>
      </c>
      <c r="CP25" s="56">
        <v>0</v>
      </c>
      <c r="CQ25" s="56">
        <v>0</v>
      </c>
      <c r="CR25" s="56">
        <f t="shared" si="40"/>
        <v>0</v>
      </c>
      <c r="CS25" s="56">
        <v>730</v>
      </c>
      <c r="CT25" s="56">
        <v>0</v>
      </c>
      <c r="CU25" s="56">
        <f t="shared" si="41"/>
        <v>730</v>
      </c>
      <c r="CV25" s="56">
        <f t="shared" si="42"/>
        <v>0</v>
      </c>
      <c r="CW25" s="56" t="e">
        <f t="shared" si="43"/>
        <v>#DIV/0!</v>
      </c>
      <c r="CX25" s="57">
        <v>0</v>
      </c>
      <c r="CY25" s="57">
        <v>0</v>
      </c>
      <c r="CZ25" s="57">
        <v>0</v>
      </c>
      <c r="DA25" s="57">
        <f t="shared" si="44"/>
        <v>0</v>
      </c>
      <c r="DB25" s="57">
        <v>600</v>
      </c>
      <c r="DC25" s="57">
        <v>0</v>
      </c>
      <c r="DD25" s="57">
        <f t="shared" si="45"/>
        <v>600</v>
      </c>
      <c r="DE25" s="57">
        <f t="shared" si="46"/>
        <v>0</v>
      </c>
      <c r="DF25" s="57" t="e">
        <f t="shared" si="47"/>
        <v>#DIV/0!</v>
      </c>
    </row>
    <row r="27" spans="1:110" ht="15" customHeight="1">
      <c r="E27" s="120" t="s">
        <v>43</v>
      </c>
      <c r="F27">
        <v>800</v>
      </c>
      <c r="N27" s="120" t="s">
        <v>43</v>
      </c>
      <c r="O27">
        <v>1700</v>
      </c>
      <c r="W27" s="120" t="s">
        <v>43</v>
      </c>
      <c r="AG27" s="120" t="s">
        <v>43</v>
      </c>
      <c r="AH27">
        <v>1000</v>
      </c>
      <c r="AP27" s="120" t="s">
        <v>43</v>
      </c>
      <c r="AQ27">
        <v>500</v>
      </c>
      <c r="AX27" s="120" t="s">
        <v>43</v>
      </c>
      <c r="AY27">
        <v>1300</v>
      </c>
      <c r="BG27" s="120" t="s">
        <v>43</v>
      </c>
      <c r="BH27">
        <v>700</v>
      </c>
      <c r="BP27" s="120" t="s">
        <v>43</v>
      </c>
      <c r="BQ27">
        <v>2300</v>
      </c>
      <c r="BZ27" s="120" t="s">
        <v>43</v>
      </c>
      <c r="CA27">
        <v>710</v>
      </c>
      <c r="CG27" s="120" t="s">
        <v>43</v>
      </c>
      <c r="CH27">
        <v>660</v>
      </c>
      <c r="CQ27" s="120" t="s">
        <v>43</v>
      </c>
      <c r="CR27">
        <v>650</v>
      </c>
      <c r="CX27" s="120" t="s">
        <v>43</v>
      </c>
      <c r="CY27">
        <v>500</v>
      </c>
    </row>
  </sheetData>
  <mergeCells count="12">
    <mergeCell ref="BN1:BV1"/>
    <mergeCell ref="BW1:CE1"/>
    <mergeCell ref="CF1:CN1"/>
    <mergeCell ref="CO1:CW1"/>
    <mergeCell ref="CX1:DF1"/>
    <mergeCell ref="AV1:BD1"/>
    <mergeCell ref="BE1:BM1"/>
    <mergeCell ref="C1:K1"/>
    <mergeCell ref="L1:T1"/>
    <mergeCell ref="U1:AC1"/>
    <mergeCell ref="AD1:AL1"/>
    <mergeCell ref="AM1:AU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F51"/>
  <sheetViews>
    <sheetView workbookViewId="0">
      <pane ySplit="2" topLeftCell="A3" activePane="bottomLeft" state="frozen"/>
      <selection pane="bottomLeft" activeCell="C2" sqref="C2"/>
    </sheetView>
  </sheetViews>
  <sheetFormatPr defaultColWidth="14.44140625" defaultRowHeight="15" customHeight="1"/>
  <cols>
    <col min="1" max="1" width="37.44140625" customWidth="1"/>
    <col min="2" max="2" width="15.109375" customWidth="1"/>
    <col min="3" max="5" width="7.88671875" customWidth="1"/>
    <col min="6" max="6" width="16.109375" customWidth="1"/>
    <col min="7" max="7" width="11.88671875" customWidth="1"/>
    <col min="8" max="8" width="7.5546875" customWidth="1"/>
    <col min="9" max="34" width="12" customWidth="1"/>
    <col min="35" max="37" width="7.6640625" customWidth="1"/>
    <col min="38" max="38" width="14.6640625" customWidth="1"/>
    <col min="39" max="39" width="5.5546875" customWidth="1"/>
    <col min="40" max="40" width="7.6640625" customWidth="1"/>
    <col min="41" max="50" width="12.33203125" customWidth="1"/>
    <col min="51" max="53" width="7.6640625" customWidth="1"/>
    <col min="54" max="54" width="15" customWidth="1"/>
    <col min="55" max="55" width="6.5546875" customWidth="1"/>
    <col min="56" max="56" width="7.6640625" customWidth="1"/>
    <col min="57" max="58" width="12.33203125" customWidth="1"/>
    <col min="59" max="61" width="7.6640625" customWidth="1"/>
    <col min="62" max="62" width="14.88671875" customWidth="1"/>
    <col min="63" max="63" width="5.5546875" customWidth="1"/>
    <col min="64" max="64" width="7.6640625" customWidth="1"/>
    <col min="65" max="74" width="12.33203125" customWidth="1"/>
    <col min="75" max="77" width="7.44140625" customWidth="1"/>
    <col min="78" max="78" width="14.6640625" customWidth="1"/>
    <col min="79" max="79" width="5.5546875" customWidth="1"/>
    <col min="80" max="80" width="7.6640625" customWidth="1"/>
    <col min="81" max="110" width="12.33203125" customWidth="1"/>
  </cols>
  <sheetData>
    <row r="1" spans="1:110" ht="14.25" customHeight="1">
      <c r="A1" s="1"/>
      <c r="B1" s="2"/>
      <c r="C1" s="127" t="s">
        <v>0</v>
      </c>
      <c r="D1" s="124"/>
      <c r="E1" s="124"/>
      <c r="F1" s="124"/>
      <c r="G1" s="124"/>
      <c r="H1" s="124"/>
      <c r="I1" s="124"/>
      <c r="J1" s="124"/>
      <c r="K1" s="125"/>
      <c r="L1" s="128" t="s">
        <v>1</v>
      </c>
      <c r="M1" s="124"/>
      <c r="N1" s="124"/>
      <c r="O1" s="124"/>
      <c r="P1" s="124"/>
      <c r="Q1" s="124"/>
      <c r="R1" s="124"/>
      <c r="S1" s="124"/>
      <c r="T1" s="125"/>
      <c r="U1" s="129" t="s">
        <v>2</v>
      </c>
      <c r="V1" s="124"/>
      <c r="W1" s="124"/>
      <c r="X1" s="124"/>
      <c r="Y1" s="124"/>
      <c r="Z1" s="124"/>
      <c r="AA1" s="124"/>
      <c r="AB1" s="124"/>
      <c r="AC1" s="125"/>
      <c r="AD1" s="130" t="s">
        <v>3</v>
      </c>
      <c r="AE1" s="124"/>
      <c r="AF1" s="124"/>
      <c r="AG1" s="124"/>
      <c r="AH1" s="124"/>
      <c r="AI1" s="124"/>
      <c r="AJ1" s="124"/>
      <c r="AK1" s="124"/>
      <c r="AL1" s="125"/>
      <c r="AM1" s="131" t="s">
        <v>4</v>
      </c>
      <c r="AN1" s="124"/>
      <c r="AO1" s="124"/>
      <c r="AP1" s="124"/>
      <c r="AQ1" s="124"/>
      <c r="AR1" s="124"/>
      <c r="AS1" s="124"/>
      <c r="AT1" s="124"/>
      <c r="AU1" s="125"/>
      <c r="AV1" s="123" t="s">
        <v>5</v>
      </c>
      <c r="AW1" s="124"/>
      <c r="AX1" s="124"/>
      <c r="AY1" s="124"/>
      <c r="AZ1" s="124"/>
      <c r="BA1" s="124"/>
      <c r="BB1" s="124"/>
      <c r="BC1" s="124"/>
      <c r="BD1" s="125"/>
      <c r="BE1" s="126" t="s">
        <v>6</v>
      </c>
      <c r="BF1" s="124"/>
      <c r="BG1" s="124"/>
      <c r="BH1" s="124"/>
      <c r="BI1" s="124"/>
      <c r="BJ1" s="124"/>
      <c r="BK1" s="124"/>
      <c r="BL1" s="124"/>
      <c r="BM1" s="125"/>
      <c r="BN1" s="132" t="s">
        <v>7</v>
      </c>
      <c r="BO1" s="124"/>
      <c r="BP1" s="124"/>
      <c r="BQ1" s="124"/>
      <c r="BR1" s="124"/>
      <c r="BS1" s="124"/>
      <c r="BT1" s="124"/>
      <c r="BU1" s="124"/>
      <c r="BV1" s="125"/>
      <c r="BW1" s="133" t="s">
        <v>8</v>
      </c>
      <c r="BX1" s="124"/>
      <c r="BY1" s="124"/>
      <c r="BZ1" s="124"/>
      <c r="CA1" s="124"/>
      <c r="CB1" s="124"/>
      <c r="CC1" s="124"/>
      <c r="CD1" s="124"/>
      <c r="CE1" s="125"/>
      <c r="CF1" s="134" t="s">
        <v>9</v>
      </c>
      <c r="CG1" s="124"/>
      <c r="CH1" s="124"/>
      <c r="CI1" s="124"/>
      <c r="CJ1" s="124"/>
      <c r="CK1" s="124"/>
      <c r="CL1" s="124"/>
      <c r="CM1" s="124"/>
      <c r="CN1" s="125"/>
      <c r="CO1" s="135" t="s">
        <v>10</v>
      </c>
      <c r="CP1" s="124"/>
      <c r="CQ1" s="124"/>
      <c r="CR1" s="124"/>
      <c r="CS1" s="124"/>
      <c r="CT1" s="124"/>
      <c r="CU1" s="124"/>
      <c r="CV1" s="124"/>
      <c r="CW1" s="125"/>
      <c r="CX1" s="136" t="s">
        <v>11</v>
      </c>
      <c r="CY1" s="124"/>
      <c r="CZ1" s="124"/>
      <c r="DA1" s="124"/>
      <c r="DB1" s="124"/>
      <c r="DC1" s="124"/>
      <c r="DD1" s="124"/>
      <c r="DE1" s="124"/>
      <c r="DF1" s="125"/>
    </row>
    <row r="2" spans="1:110" ht="14.25" customHeight="1">
      <c r="A2" s="3" t="s">
        <v>12</v>
      </c>
      <c r="B2" s="58" t="s">
        <v>23</v>
      </c>
      <c r="C2" s="4" t="s">
        <v>14</v>
      </c>
      <c r="D2" s="4" t="s">
        <v>15</v>
      </c>
      <c r="E2" s="4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4" t="s">
        <v>21</v>
      </c>
      <c r="K2" s="4" t="s">
        <v>22</v>
      </c>
      <c r="L2" s="6" t="s">
        <v>14</v>
      </c>
      <c r="M2" s="6" t="s">
        <v>15</v>
      </c>
      <c r="N2" s="6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6" t="s">
        <v>21</v>
      </c>
      <c r="T2" s="6" t="s">
        <v>22</v>
      </c>
      <c r="U2" s="8" t="s">
        <v>14</v>
      </c>
      <c r="V2" s="8" t="s">
        <v>15</v>
      </c>
      <c r="W2" s="8" t="s">
        <v>16</v>
      </c>
      <c r="X2" s="9" t="s">
        <v>17</v>
      </c>
      <c r="Y2" s="9" t="s">
        <v>18</v>
      </c>
      <c r="Z2" s="9" t="s">
        <v>19</v>
      </c>
      <c r="AA2" s="9" t="s">
        <v>20</v>
      </c>
      <c r="AB2" s="8" t="s">
        <v>21</v>
      </c>
      <c r="AC2" s="8" t="s">
        <v>22</v>
      </c>
      <c r="AD2" s="10" t="s">
        <v>14</v>
      </c>
      <c r="AE2" s="10" t="s">
        <v>15</v>
      </c>
      <c r="AF2" s="10" t="s">
        <v>16</v>
      </c>
      <c r="AG2" s="11" t="s">
        <v>17</v>
      </c>
      <c r="AH2" s="11" t="s">
        <v>18</v>
      </c>
      <c r="AI2" s="11" t="s">
        <v>19</v>
      </c>
      <c r="AJ2" s="11" t="s">
        <v>20</v>
      </c>
      <c r="AK2" s="10" t="s">
        <v>21</v>
      </c>
      <c r="AL2" s="10" t="s">
        <v>22</v>
      </c>
      <c r="AM2" s="12" t="s">
        <v>14</v>
      </c>
      <c r="AN2" s="12" t="s">
        <v>15</v>
      </c>
      <c r="AO2" s="12" t="s">
        <v>16</v>
      </c>
      <c r="AP2" s="13" t="s">
        <v>17</v>
      </c>
      <c r="AQ2" s="13" t="s">
        <v>18</v>
      </c>
      <c r="AR2" s="13" t="s">
        <v>19</v>
      </c>
      <c r="AS2" s="13" t="s">
        <v>20</v>
      </c>
      <c r="AT2" s="12" t="s">
        <v>21</v>
      </c>
      <c r="AU2" s="12" t="s">
        <v>22</v>
      </c>
      <c r="AV2" s="14" t="s">
        <v>14</v>
      </c>
      <c r="AW2" s="14" t="s">
        <v>15</v>
      </c>
      <c r="AX2" s="14" t="s">
        <v>16</v>
      </c>
      <c r="AY2" s="15" t="s">
        <v>17</v>
      </c>
      <c r="AZ2" s="15" t="s">
        <v>18</v>
      </c>
      <c r="BA2" s="15" t="s">
        <v>19</v>
      </c>
      <c r="BB2" s="15" t="s">
        <v>20</v>
      </c>
      <c r="BC2" s="14" t="s">
        <v>21</v>
      </c>
      <c r="BD2" s="14" t="s">
        <v>22</v>
      </c>
      <c r="BE2" s="16" t="s">
        <v>14</v>
      </c>
      <c r="BF2" s="16" t="s">
        <v>15</v>
      </c>
      <c r="BG2" s="16" t="s">
        <v>16</v>
      </c>
      <c r="BH2" s="17" t="s">
        <v>17</v>
      </c>
      <c r="BI2" s="17" t="s">
        <v>18</v>
      </c>
      <c r="BJ2" s="17" t="s">
        <v>19</v>
      </c>
      <c r="BK2" s="17" t="s">
        <v>20</v>
      </c>
      <c r="BL2" s="16" t="s">
        <v>21</v>
      </c>
      <c r="BM2" s="16" t="s">
        <v>22</v>
      </c>
      <c r="BN2" s="18" t="s">
        <v>14</v>
      </c>
      <c r="BO2" s="18" t="s">
        <v>15</v>
      </c>
      <c r="BP2" s="18" t="s">
        <v>16</v>
      </c>
      <c r="BQ2" s="19" t="s">
        <v>17</v>
      </c>
      <c r="BR2" s="19" t="s">
        <v>18</v>
      </c>
      <c r="BS2" s="19" t="s">
        <v>19</v>
      </c>
      <c r="BT2" s="19" t="s">
        <v>20</v>
      </c>
      <c r="BU2" s="18" t="s">
        <v>21</v>
      </c>
      <c r="BV2" s="18" t="s">
        <v>22</v>
      </c>
      <c r="BW2" s="20" t="s">
        <v>14</v>
      </c>
      <c r="BX2" s="20" t="s">
        <v>15</v>
      </c>
      <c r="BY2" s="20" t="s">
        <v>16</v>
      </c>
      <c r="BZ2" s="21" t="s">
        <v>17</v>
      </c>
      <c r="CA2" s="21" t="s">
        <v>18</v>
      </c>
      <c r="CB2" s="21" t="s">
        <v>19</v>
      </c>
      <c r="CC2" s="21" t="s">
        <v>20</v>
      </c>
      <c r="CD2" s="20" t="s">
        <v>21</v>
      </c>
      <c r="CE2" s="20" t="s">
        <v>22</v>
      </c>
      <c r="CF2" s="22" t="s">
        <v>14</v>
      </c>
      <c r="CG2" s="22" t="s">
        <v>15</v>
      </c>
      <c r="CH2" s="22" t="s">
        <v>16</v>
      </c>
      <c r="CI2" s="23" t="s">
        <v>17</v>
      </c>
      <c r="CJ2" s="23" t="s">
        <v>18</v>
      </c>
      <c r="CK2" s="23" t="s">
        <v>19</v>
      </c>
      <c r="CL2" s="23" t="s">
        <v>20</v>
      </c>
      <c r="CM2" s="22" t="s">
        <v>21</v>
      </c>
      <c r="CN2" s="22" t="s">
        <v>22</v>
      </c>
      <c r="CO2" s="24" t="s">
        <v>14</v>
      </c>
      <c r="CP2" s="24" t="s">
        <v>15</v>
      </c>
      <c r="CQ2" s="24" t="s">
        <v>16</v>
      </c>
      <c r="CR2" s="25" t="s">
        <v>17</v>
      </c>
      <c r="CS2" s="25" t="s">
        <v>18</v>
      </c>
      <c r="CT2" s="25" t="s">
        <v>19</v>
      </c>
      <c r="CU2" s="25" t="s">
        <v>20</v>
      </c>
      <c r="CV2" s="24" t="s">
        <v>21</v>
      </c>
      <c r="CW2" s="24" t="s">
        <v>22</v>
      </c>
      <c r="CX2" s="26" t="s">
        <v>14</v>
      </c>
      <c r="CY2" s="26" t="s">
        <v>15</v>
      </c>
      <c r="CZ2" s="26" t="s">
        <v>16</v>
      </c>
      <c r="DA2" s="27" t="s">
        <v>17</v>
      </c>
      <c r="DB2" s="27" t="s">
        <v>18</v>
      </c>
      <c r="DC2" s="27" t="s">
        <v>19</v>
      </c>
      <c r="DD2" s="27" t="s">
        <v>20</v>
      </c>
      <c r="DE2" s="26" t="s">
        <v>21</v>
      </c>
      <c r="DF2" s="26" t="s">
        <v>22</v>
      </c>
    </row>
    <row r="3" spans="1:110" ht="14.25" customHeight="1">
      <c r="A3" s="59"/>
      <c r="B3" s="29"/>
      <c r="C3" s="30">
        <v>0</v>
      </c>
      <c r="D3" s="30">
        <v>0</v>
      </c>
      <c r="E3" s="30">
        <v>0</v>
      </c>
      <c r="F3" s="30">
        <f t="shared" ref="F3:F47" si="0">D3-E3</f>
        <v>0</v>
      </c>
      <c r="G3" s="30">
        <v>900</v>
      </c>
      <c r="H3" s="30">
        <v>0</v>
      </c>
      <c r="I3" s="30">
        <f t="shared" ref="I3:I47" si="1">G3-H3</f>
        <v>900</v>
      </c>
      <c r="J3" s="30">
        <f t="shared" ref="J3:J47" si="2">I3*F3</f>
        <v>0</v>
      </c>
      <c r="K3" s="30" t="e">
        <f t="shared" ref="K3:K47" si="3">(E3/D3)*100</f>
        <v>#DIV/0!</v>
      </c>
      <c r="L3" s="32">
        <v>0</v>
      </c>
      <c r="M3" s="32">
        <v>0</v>
      </c>
      <c r="N3" s="32">
        <v>0</v>
      </c>
      <c r="O3" s="32">
        <f t="shared" ref="O3:O47" si="4">M3-N3</f>
        <v>0</v>
      </c>
      <c r="P3" s="32">
        <v>1800</v>
      </c>
      <c r="Q3" s="32">
        <v>0</v>
      </c>
      <c r="R3" s="32">
        <f t="shared" ref="R3:R47" si="5">P3-Q3</f>
        <v>1800</v>
      </c>
      <c r="S3" s="32">
        <f t="shared" ref="S3:S47" si="6">R3*O3</f>
        <v>0</v>
      </c>
      <c r="T3" s="32" t="e">
        <f t="shared" ref="T3:T47" si="7">(N3/M3)*100</f>
        <v>#DIV/0!</v>
      </c>
      <c r="U3" s="33">
        <v>0</v>
      </c>
      <c r="V3" s="33">
        <v>0</v>
      </c>
      <c r="W3" s="33">
        <v>0</v>
      </c>
      <c r="X3" s="33">
        <f t="shared" ref="X3:X47" si="8">V3-W3</f>
        <v>0</v>
      </c>
      <c r="Y3" s="33">
        <v>910</v>
      </c>
      <c r="Z3" s="33">
        <v>0</v>
      </c>
      <c r="AA3" s="33">
        <f t="shared" ref="AA3:AA47" si="9">Y3-Z3</f>
        <v>910</v>
      </c>
      <c r="AB3" s="33">
        <f t="shared" ref="AB3:AB47" si="10">AA3*X3</f>
        <v>0</v>
      </c>
      <c r="AC3" s="33" t="e">
        <f t="shared" ref="AC3:AC47" si="11">(W3/V3)*100</f>
        <v>#DIV/0!</v>
      </c>
      <c r="AD3" s="34">
        <v>0</v>
      </c>
      <c r="AE3" s="34">
        <v>0</v>
      </c>
      <c r="AF3" s="34">
        <v>0</v>
      </c>
      <c r="AG3" s="34">
        <f t="shared" ref="AG3:AG47" si="12">AE3-AF3</f>
        <v>0</v>
      </c>
      <c r="AH3" s="34">
        <v>1200</v>
      </c>
      <c r="AI3" s="34">
        <v>0</v>
      </c>
      <c r="AJ3" s="34">
        <f t="shared" ref="AJ3:AJ47" si="13">AH3-AI3</f>
        <v>1200</v>
      </c>
      <c r="AK3" s="34">
        <f t="shared" ref="AK3:AK47" si="14">AJ3*AG3</f>
        <v>0</v>
      </c>
      <c r="AL3" s="34" t="e">
        <f t="shared" ref="AL3:AL47" si="15">(AF3/AE3)*100</f>
        <v>#DIV/0!</v>
      </c>
      <c r="AM3" s="35">
        <v>0</v>
      </c>
      <c r="AN3" s="35">
        <v>0</v>
      </c>
      <c r="AO3" s="35">
        <v>0</v>
      </c>
      <c r="AP3" s="35">
        <f t="shared" ref="AP3:AP47" si="16">AN3-AO3</f>
        <v>0</v>
      </c>
      <c r="AQ3" s="35">
        <v>600</v>
      </c>
      <c r="AR3" s="35">
        <v>0</v>
      </c>
      <c r="AS3" s="35">
        <f t="shared" ref="AS3:AS47" si="17">AQ3-AR3</f>
        <v>600</v>
      </c>
      <c r="AT3" s="35">
        <f t="shared" ref="AT3:AT47" si="18">AS3*AP3</f>
        <v>0</v>
      </c>
      <c r="AU3" s="35" t="e">
        <f t="shared" ref="AU3:AU47" si="19">(AO3/AN3)*100</f>
        <v>#DIV/0!</v>
      </c>
      <c r="AV3" s="36">
        <v>0</v>
      </c>
      <c r="AW3" s="36">
        <v>0</v>
      </c>
      <c r="AX3" s="36">
        <v>0</v>
      </c>
      <c r="AY3" s="36">
        <f t="shared" ref="AY3:AY47" si="20">AW3-AX3</f>
        <v>0</v>
      </c>
      <c r="AZ3" s="36">
        <v>1500</v>
      </c>
      <c r="BA3" s="36">
        <v>0</v>
      </c>
      <c r="BB3" s="36">
        <f t="shared" ref="BB3:BB47" si="21">AZ3-BA3</f>
        <v>1500</v>
      </c>
      <c r="BC3" s="36">
        <f t="shared" ref="BC3:BC47" si="22">BB3*AY3</f>
        <v>0</v>
      </c>
      <c r="BD3" s="36" t="e">
        <f t="shared" ref="BD3:BD47" si="23">(AX3/AW3)*100</f>
        <v>#DIV/0!</v>
      </c>
      <c r="BE3" s="37">
        <v>0</v>
      </c>
      <c r="BF3" s="37">
        <v>0</v>
      </c>
      <c r="BG3" s="37">
        <v>0</v>
      </c>
      <c r="BH3" s="37">
        <f t="shared" ref="BH3:BH47" si="24">BF3-BG3</f>
        <v>0</v>
      </c>
      <c r="BI3" s="37">
        <v>750</v>
      </c>
      <c r="BJ3" s="37">
        <v>0</v>
      </c>
      <c r="BK3" s="37">
        <f t="shared" ref="BK3:BK47" si="25">BI3-BJ3</f>
        <v>750</v>
      </c>
      <c r="BL3" s="37">
        <f t="shared" ref="BL3:BL47" si="26">BK3*BH3</f>
        <v>0</v>
      </c>
      <c r="BM3" s="37" t="e">
        <f t="shared" ref="BM3:BM47" si="27">(BG3/BF3)*100</f>
        <v>#DIV/0!</v>
      </c>
      <c r="BN3" s="38">
        <v>0</v>
      </c>
      <c r="BO3" s="38">
        <v>0</v>
      </c>
      <c r="BP3" s="38">
        <v>0</v>
      </c>
      <c r="BQ3" s="38">
        <f t="shared" ref="BQ3:BQ47" si="28">BO3-BP3</f>
        <v>0</v>
      </c>
      <c r="BR3" s="38">
        <v>2450</v>
      </c>
      <c r="BS3" s="38">
        <v>0</v>
      </c>
      <c r="BT3" s="38">
        <f t="shared" ref="BT3:BT47" si="29">BR3-BS3</f>
        <v>2450</v>
      </c>
      <c r="BU3" s="38">
        <f t="shared" ref="BU3:BU47" si="30">BT3*BQ3</f>
        <v>0</v>
      </c>
      <c r="BV3" s="38" t="e">
        <f t="shared" ref="BV3:BV47" si="31">(BP3/BO3)*100</f>
        <v>#DIV/0!</v>
      </c>
      <c r="BW3" s="39">
        <v>0</v>
      </c>
      <c r="BX3" s="39">
        <v>0</v>
      </c>
      <c r="BY3" s="39">
        <v>0</v>
      </c>
      <c r="BZ3" s="39">
        <f t="shared" ref="BZ3:BZ47" si="32">BX3-BY3</f>
        <v>0</v>
      </c>
      <c r="CA3" s="39">
        <v>750</v>
      </c>
      <c r="CB3" s="39">
        <v>0</v>
      </c>
      <c r="CC3" s="39">
        <f t="shared" ref="CC3:CC47" si="33">CA3-CB3</f>
        <v>750</v>
      </c>
      <c r="CD3" s="39">
        <f t="shared" ref="CD3:CD47" si="34">CC3*BZ3</f>
        <v>0</v>
      </c>
      <c r="CE3" s="39" t="e">
        <f t="shared" ref="CE3:CE47" si="35">(BY3/BX3)*100</f>
        <v>#DIV/0!</v>
      </c>
      <c r="CF3" s="40">
        <v>0</v>
      </c>
      <c r="CG3" s="40">
        <v>0</v>
      </c>
      <c r="CH3" s="40">
        <v>0</v>
      </c>
      <c r="CI3" s="40">
        <f t="shared" ref="CI3:CI47" si="36">CG3-CH3</f>
        <v>0</v>
      </c>
      <c r="CJ3" s="40">
        <v>730</v>
      </c>
      <c r="CK3" s="40">
        <v>0</v>
      </c>
      <c r="CL3" s="40">
        <f t="shared" ref="CL3:CL47" si="37">CJ3-CK3</f>
        <v>730</v>
      </c>
      <c r="CM3" s="40">
        <f t="shared" ref="CM3:CM47" si="38">CL3*CI3</f>
        <v>0</v>
      </c>
      <c r="CN3" s="40" t="e">
        <f t="shared" ref="CN3:CN47" si="39">(CH3/CG3)*100</f>
        <v>#DIV/0!</v>
      </c>
      <c r="CO3" s="41">
        <v>0</v>
      </c>
      <c r="CP3" s="41">
        <v>0</v>
      </c>
      <c r="CQ3" s="41">
        <v>0</v>
      </c>
      <c r="CR3" s="41">
        <f t="shared" ref="CR3:CR47" si="40">CP3-CQ3</f>
        <v>0</v>
      </c>
      <c r="CS3" s="41">
        <v>730</v>
      </c>
      <c r="CT3" s="41">
        <v>0</v>
      </c>
      <c r="CU3" s="41">
        <f t="shared" ref="CU3:CU47" si="41">CS3-CT3</f>
        <v>730</v>
      </c>
      <c r="CV3" s="41">
        <f t="shared" ref="CV3:CV47" si="42">CU3*CR3</f>
        <v>0</v>
      </c>
      <c r="CW3" s="41" t="e">
        <f t="shared" ref="CW3:CW47" si="43">(CQ3/CP3)*100</f>
        <v>#DIV/0!</v>
      </c>
      <c r="CX3" s="42">
        <v>0</v>
      </c>
      <c r="CY3" s="42">
        <v>0</v>
      </c>
      <c r="CZ3" s="42">
        <v>0</v>
      </c>
      <c r="DA3" s="42">
        <f t="shared" ref="DA3:DA47" si="44">CY3-CZ3</f>
        <v>0</v>
      </c>
      <c r="DB3" s="42">
        <v>600</v>
      </c>
      <c r="DC3" s="42">
        <v>0</v>
      </c>
      <c r="DD3" s="42">
        <f t="shared" ref="DD3:DD47" si="45">DB3-DC3</f>
        <v>600</v>
      </c>
      <c r="DE3" s="42">
        <f t="shared" ref="DE3:DE47" si="46">DD3*DA3</f>
        <v>0</v>
      </c>
      <c r="DF3" s="42" t="e">
        <f t="shared" ref="DF3:DF47" si="47">(CZ3/CY3)*100</f>
        <v>#DIV/0!</v>
      </c>
    </row>
    <row r="4" spans="1:110" ht="14.25" customHeight="1">
      <c r="A4" s="60"/>
      <c r="B4" s="44"/>
      <c r="C4" s="45">
        <v>0</v>
      </c>
      <c r="D4" s="45">
        <v>0</v>
      </c>
      <c r="E4" s="45">
        <v>0</v>
      </c>
      <c r="F4" s="45">
        <f t="shared" si="0"/>
        <v>0</v>
      </c>
      <c r="G4" s="45">
        <v>900</v>
      </c>
      <c r="H4" s="45">
        <v>0</v>
      </c>
      <c r="I4" s="45">
        <f t="shared" si="1"/>
        <v>900</v>
      </c>
      <c r="J4" s="45">
        <f t="shared" si="2"/>
        <v>0</v>
      </c>
      <c r="K4" s="45" t="e">
        <f t="shared" si="3"/>
        <v>#DIV/0!</v>
      </c>
      <c r="L4" s="47">
        <v>0</v>
      </c>
      <c r="M4" s="47">
        <v>0</v>
      </c>
      <c r="N4" s="47">
        <v>0</v>
      </c>
      <c r="O4" s="47">
        <f t="shared" si="4"/>
        <v>0</v>
      </c>
      <c r="P4" s="47">
        <v>1800</v>
      </c>
      <c r="Q4" s="47">
        <v>0</v>
      </c>
      <c r="R4" s="47">
        <f t="shared" si="5"/>
        <v>1800</v>
      </c>
      <c r="S4" s="47">
        <f t="shared" si="6"/>
        <v>0</v>
      </c>
      <c r="T4" s="47" t="e">
        <f t="shared" si="7"/>
        <v>#DIV/0!</v>
      </c>
      <c r="U4" s="48">
        <v>0</v>
      </c>
      <c r="V4" s="48">
        <v>0</v>
      </c>
      <c r="W4" s="48">
        <v>0</v>
      </c>
      <c r="X4" s="48">
        <f t="shared" si="8"/>
        <v>0</v>
      </c>
      <c r="Y4" s="48">
        <v>910</v>
      </c>
      <c r="Z4" s="48">
        <v>0</v>
      </c>
      <c r="AA4" s="48">
        <f t="shared" si="9"/>
        <v>910</v>
      </c>
      <c r="AB4" s="48">
        <f t="shared" si="10"/>
        <v>0</v>
      </c>
      <c r="AC4" s="48" t="e">
        <f t="shared" si="11"/>
        <v>#DIV/0!</v>
      </c>
      <c r="AD4" s="49">
        <v>0</v>
      </c>
      <c r="AE4" s="49">
        <v>0</v>
      </c>
      <c r="AF4" s="49">
        <v>0</v>
      </c>
      <c r="AG4" s="49">
        <f t="shared" si="12"/>
        <v>0</v>
      </c>
      <c r="AH4" s="49">
        <v>1200</v>
      </c>
      <c r="AI4" s="49">
        <v>0</v>
      </c>
      <c r="AJ4" s="49">
        <f t="shared" si="13"/>
        <v>1200</v>
      </c>
      <c r="AK4" s="49">
        <f t="shared" si="14"/>
        <v>0</v>
      </c>
      <c r="AL4" s="49" t="e">
        <f t="shared" si="15"/>
        <v>#DIV/0!</v>
      </c>
      <c r="AM4" s="50">
        <v>0</v>
      </c>
      <c r="AN4" s="50">
        <v>0</v>
      </c>
      <c r="AO4" s="50">
        <v>0</v>
      </c>
      <c r="AP4" s="50">
        <f t="shared" si="16"/>
        <v>0</v>
      </c>
      <c r="AQ4" s="50">
        <v>600</v>
      </c>
      <c r="AR4" s="50">
        <v>0</v>
      </c>
      <c r="AS4" s="50">
        <f t="shared" si="17"/>
        <v>600</v>
      </c>
      <c r="AT4" s="50">
        <f t="shared" si="18"/>
        <v>0</v>
      </c>
      <c r="AU4" s="50" t="e">
        <f t="shared" si="19"/>
        <v>#DIV/0!</v>
      </c>
      <c r="AV4" s="51">
        <v>0</v>
      </c>
      <c r="AW4" s="51">
        <v>0</v>
      </c>
      <c r="AX4" s="51">
        <v>0</v>
      </c>
      <c r="AY4" s="51">
        <f t="shared" si="20"/>
        <v>0</v>
      </c>
      <c r="AZ4" s="51">
        <v>1500</v>
      </c>
      <c r="BA4" s="51">
        <v>0</v>
      </c>
      <c r="BB4" s="51">
        <f t="shared" si="21"/>
        <v>1500</v>
      </c>
      <c r="BC4" s="51">
        <f t="shared" si="22"/>
        <v>0</v>
      </c>
      <c r="BD4" s="51" t="e">
        <f t="shared" si="23"/>
        <v>#DIV/0!</v>
      </c>
      <c r="BE4" s="52">
        <v>0</v>
      </c>
      <c r="BF4" s="52">
        <v>0</v>
      </c>
      <c r="BG4" s="52">
        <v>0</v>
      </c>
      <c r="BH4" s="52">
        <f t="shared" si="24"/>
        <v>0</v>
      </c>
      <c r="BI4" s="52">
        <v>750</v>
      </c>
      <c r="BJ4" s="52">
        <v>0</v>
      </c>
      <c r="BK4" s="52">
        <f t="shared" si="25"/>
        <v>750</v>
      </c>
      <c r="BL4" s="52">
        <f t="shared" si="26"/>
        <v>0</v>
      </c>
      <c r="BM4" s="52" t="e">
        <f t="shared" si="27"/>
        <v>#DIV/0!</v>
      </c>
      <c r="BN4" s="53">
        <v>0</v>
      </c>
      <c r="BO4" s="53">
        <v>0</v>
      </c>
      <c r="BP4" s="53">
        <v>0</v>
      </c>
      <c r="BQ4" s="53">
        <f t="shared" si="28"/>
        <v>0</v>
      </c>
      <c r="BR4" s="53">
        <v>2450</v>
      </c>
      <c r="BS4" s="53">
        <v>0</v>
      </c>
      <c r="BT4" s="53">
        <f t="shared" si="29"/>
        <v>2450</v>
      </c>
      <c r="BU4" s="53">
        <f t="shared" si="30"/>
        <v>0</v>
      </c>
      <c r="BV4" s="53" t="e">
        <f t="shared" si="31"/>
        <v>#DIV/0!</v>
      </c>
      <c r="BW4" s="54">
        <v>0</v>
      </c>
      <c r="BX4" s="54">
        <v>0</v>
      </c>
      <c r="BY4" s="54">
        <v>0</v>
      </c>
      <c r="BZ4" s="54">
        <f t="shared" si="32"/>
        <v>0</v>
      </c>
      <c r="CA4" s="54">
        <v>750</v>
      </c>
      <c r="CB4" s="54">
        <v>0</v>
      </c>
      <c r="CC4" s="54">
        <f t="shared" si="33"/>
        <v>750</v>
      </c>
      <c r="CD4" s="54">
        <f t="shared" si="34"/>
        <v>0</v>
      </c>
      <c r="CE4" s="54" t="e">
        <f t="shared" si="35"/>
        <v>#DIV/0!</v>
      </c>
      <c r="CF4" s="55">
        <v>0</v>
      </c>
      <c r="CG4" s="55">
        <v>0</v>
      </c>
      <c r="CH4" s="55">
        <v>0</v>
      </c>
      <c r="CI4" s="55">
        <f t="shared" si="36"/>
        <v>0</v>
      </c>
      <c r="CJ4" s="55">
        <v>730</v>
      </c>
      <c r="CK4" s="55">
        <v>0</v>
      </c>
      <c r="CL4" s="55">
        <f t="shared" si="37"/>
        <v>730</v>
      </c>
      <c r="CM4" s="55">
        <f t="shared" si="38"/>
        <v>0</v>
      </c>
      <c r="CN4" s="55" t="e">
        <f t="shared" si="39"/>
        <v>#DIV/0!</v>
      </c>
      <c r="CO4" s="56">
        <v>0</v>
      </c>
      <c r="CP4" s="56">
        <v>0</v>
      </c>
      <c r="CQ4" s="56">
        <v>0</v>
      </c>
      <c r="CR4" s="56">
        <f t="shared" si="40"/>
        <v>0</v>
      </c>
      <c r="CS4" s="56">
        <v>730</v>
      </c>
      <c r="CT4" s="56">
        <v>0</v>
      </c>
      <c r="CU4" s="56">
        <f t="shared" si="41"/>
        <v>730</v>
      </c>
      <c r="CV4" s="56">
        <f t="shared" si="42"/>
        <v>0</v>
      </c>
      <c r="CW4" s="56" t="e">
        <f t="shared" si="43"/>
        <v>#DIV/0!</v>
      </c>
      <c r="CX4" s="57">
        <v>0</v>
      </c>
      <c r="CY4" s="57">
        <v>0</v>
      </c>
      <c r="CZ4" s="57">
        <v>0</v>
      </c>
      <c r="DA4" s="57">
        <f t="shared" si="44"/>
        <v>0</v>
      </c>
      <c r="DB4" s="57">
        <v>600</v>
      </c>
      <c r="DC4" s="57">
        <v>0</v>
      </c>
      <c r="DD4" s="57">
        <f t="shared" si="45"/>
        <v>600</v>
      </c>
      <c r="DE4" s="57">
        <f t="shared" si="46"/>
        <v>0</v>
      </c>
      <c r="DF4" s="57" t="e">
        <f t="shared" si="47"/>
        <v>#DIV/0!</v>
      </c>
    </row>
    <row r="5" spans="1:110" ht="14.25" customHeight="1">
      <c r="A5" s="60"/>
      <c r="B5" s="44"/>
      <c r="C5" s="45">
        <v>0</v>
      </c>
      <c r="D5" s="45">
        <v>0</v>
      </c>
      <c r="E5" s="45">
        <v>0</v>
      </c>
      <c r="F5" s="45">
        <f t="shared" si="0"/>
        <v>0</v>
      </c>
      <c r="G5" s="45">
        <v>900</v>
      </c>
      <c r="H5" s="45">
        <v>0</v>
      </c>
      <c r="I5" s="45">
        <f t="shared" si="1"/>
        <v>900</v>
      </c>
      <c r="J5" s="45">
        <f t="shared" si="2"/>
        <v>0</v>
      </c>
      <c r="K5" s="45" t="e">
        <f t="shared" si="3"/>
        <v>#DIV/0!</v>
      </c>
      <c r="L5" s="47">
        <v>0</v>
      </c>
      <c r="M5" s="47">
        <v>0</v>
      </c>
      <c r="N5" s="47">
        <v>0</v>
      </c>
      <c r="O5" s="47">
        <f t="shared" si="4"/>
        <v>0</v>
      </c>
      <c r="P5" s="47">
        <v>1800</v>
      </c>
      <c r="Q5" s="47">
        <v>0</v>
      </c>
      <c r="R5" s="47">
        <f t="shared" si="5"/>
        <v>1800</v>
      </c>
      <c r="S5" s="47">
        <f t="shared" si="6"/>
        <v>0</v>
      </c>
      <c r="T5" s="47" t="e">
        <f t="shared" si="7"/>
        <v>#DIV/0!</v>
      </c>
      <c r="U5" s="48">
        <v>0</v>
      </c>
      <c r="V5" s="48">
        <v>0</v>
      </c>
      <c r="W5" s="48">
        <v>0</v>
      </c>
      <c r="X5" s="48">
        <f t="shared" si="8"/>
        <v>0</v>
      </c>
      <c r="Y5" s="48">
        <v>910</v>
      </c>
      <c r="Z5" s="48">
        <v>0</v>
      </c>
      <c r="AA5" s="48">
        <f t="shared" si="9"/>
        <v>910</v>
      </c>
      <c r="AB5" s="48">
        <f t="shared" si="10"/>
        <v>0</v>
      </c>
      <c r="AC5" s="48" t="e">
        <f t="shared" si="11"/>
        <v>#DIV/0!</v>
      </c>
      <c r="AD5" s="49">
        <v>0</v>
      </c>
      <c r="AE5" s="49">
        <v>0</v>
      </c>
      <c r="AF5" s="49">
        <v>0</v>
      </c>
      <c r="AG5" s="49">
        <f t="shared" si="12"/>
        <v>0</v>
      </c>
      <c r="AH5" s="49">
        <v>1200</v>
      </c>
      <c r="AI5" s="49">
        <v>0</v>
      </c>
      <c r="AJ5" s="49">
        <f t="shared" si="13"/>
        <v>1200</v>
      </c>
      <c r="AK5" s="49">
        <f t="shared" si="14"/>
        <v>0</v>
      </c>
      <c r="AL5" s="49" t="e">
        <f t="shared" si="15"/>
        <v>#DIV/0!</v>
      </c>
      <c r="AM5" s="50">
        <v>0</v>
      </c>
      <c r="AN5" s="50">
        <v>0</v>
      </c>
      <c r="AO5" s="50">
        <v>0</v>
      </c>
      <c r="AP5" s="50">
        <f t="shared" si="16"/>
        <v>0</v>
      </c>
      <c r="AQ5" s="50">
        <v>600</v>
      </c>
      <c r="AR5" s="50">
        <v>0</v>
      </c>
      <c r="AS5" s="50">
        <f t="shared" si="17"/>
        <v>600</v>
      </c>
      <c r="AT5" s="50">
        <f t="shared" si="18"/>
        <v>0</v>
      </c>
      <c r="AU5" s="50" t="e">
        <f t="shared" si="19"/>
        <v>#DIV/0!</v>
      </c>
      <c r="AV5" s="51">
        <v>0</v>
      </c>
      <c r="AW5" s="51">
        <v>0</v>
      </c>
      <c r="AX5" s="51">
        <v>0</v>
      </c>
      <c r="AY5" s="51">
        <f t="shared" si="20"/>
        <v>0</v>
      </c>
      <c r="AZ5" s="51">
        <v>1500</v>
      </c>
      <c r="BA5" s="51">
        <v>0</v>
      </c>
      <c r="BB5" s="51">
        <f t="shared" si="21"/>
        <v>1500</v>
      </c>
      <c r="BC5" s="51">
        <f t="shared" si="22"/>
        <v>0</v>
      </c>
      <c r="BD5" s="51" t="e">
        <f t="shared" si="23"/>
        <v>#DIV/0!</v>
      </c>
      <c r="BE5" s="52">
        <v>0</v>
      </c>
      <c r="BF5" s="52">
        <v>0</v>
      </c>
      <c r="BG5" s="52">
        <v>0</v>
      </c>
      <c r="BH5" s="52">
        <f t="shared" si="24"/>
        <v>0</v>
      </c>
      <c r="BI5" s="52">
        <v>750</v>
      </c>
      <c r="BJ5" s="52">
        <v>0</v>
      </c>
      <c r="BK5" s="52">
        <f t="shared" si="25"/>
        <v>750</v>
      </c>
      <c r="BL5" s="52">
        <f t="shared" si="26"/>
        <v>0</v>
      </c>
      <c r="BM5" s="52" t="e">
        <f t="shared" si="27"/>
        <v>#DIV/0!</v>
      </c>
      <c r="BN5" s="53">
        <v>0</v>
      </c>
      <c r="BO5" s="53">
        <v>0</v>
      </c>
      <c r="BP5" s="53">
        <v>0</v>
      </c>
      <c r="BQ5" s="53">
        <f t="shared" si="28"/>
        <v>0</v>
      </c>
      <c r="BR5" s="53">
        <v>2450</v>
      </c>
      <c r="BS5" s="53">
        <v>0</v>
      </c>
      <c r="BT5" s="53">
        <f t="shared" si="29"/>
        <v>2450</v>
      </c>
      <c r="BU5" s="53">
        <f t="shared" si="30"/>
        <v>0</v>
      </c>
      <c r="BV5" s="53" t="e">
        <f t="shared" si="31"/>
        <v>#DIV/0!</v>
      </c>
      <c r="BW5" s="54">
        <v>0</v>
      </c>
      <c r="BX5" s="54">
        <v>0</v>
      </c>
      <c r="BY5" s="54">
        <v>0</v>
      </c>
      <c r="BZ5" s="54">
        <f t="shared" si="32"/>
        <v>0</v>
      </c>
      <c r="CA5" s="54">
        <v>750</v>
      </c>
      <c r="CB5" s="54">
        <v>0</v>
      </c>
      <c r="CC5" s="54">
        <f t="shared" si="33"/>
        <v>750</v>
      </c>
      <c r="CD5" s="54">
        <f t="shared" si="34"/>
        <v>0</v>
      </c>
      <c r="CE5" s="54" t="e">
        <f t="shared" si="35"/>
        <v>#DIV/0!</v>
      </c>
      <c r="CF5" s="55">
        <v>0</v>
      </c>
      <c r="CG5" s="55">
        <v>0</v>
      </c>
      <c r="CH5" s="55">
        <v>0</v>
      </c>
      <c r="CI5" s="55">
        <f t="shared" si="36"/>
        <v>0</v>
      </c>
      <c r="CJ5" s="55">
        <v>730</v>
      </c>
      <c r="CK5" s="55">
        <v>0</v>
      </c>
      <c r="CL5" s="55">
        <f t="shared" si="37"/>
        <v>730</v>
      </c>
      <c r="CM5" s="55">
        <f t="shared" si="38"/>
        <v>0</v>
      </c>
      <c r="CN5" s="55" t="e">
        <f t="shared" si="39"/>
        <v>#DIV/0!</v>
      </c>
      <c r="CO5" s="56">
        <v>0</v>
      </c>
      <c r="CP5" s="56">
        <v>0</v>
      </c>
      <c r="CQ5" s="56">
        <v>0</v>
      </c>
      <c r="CR5" s="56">
        <f t="shared" si="40"/>
        <v>0</v>
      </c>
      <c r="CS5" s="56">
        <v>730</v>
      </c>
      <c r="CT5" s="56">
        <v>0</v>
      </c>
      <c r="CU5" s="56">
        <f t="shared" si="41"/>
        <v>730</v>
      </c>
      <c r="CV5" s="56">
        <f t="shared" si="42"/>
        <v>0</v>
      </c>
      <c r="CW5" s="56" t="e">
        <f t="shared" si="43"/>
        <v>#DIV/0!</v>
      </c>
      <c r="CX5" s="57">
        <v>0</v>
      </c>
      <c r="CY5" s="57">
        <v>0</v>
      </c>
      <c r="CZ5" s="57">
        <v>0</v>
      </c>
      <c r="DA5" s="57">
        <f t="shared" si="44"/>
        <v>0</v>
      </c>
      <c r="DB5" s="57">
        <v>600</v>
      </c>
      <c r="DC5" s="57">
        <v>0</v>
      </c>
      <c r="DD5" s="57">
        <f t="shared" si="45"/>
        <v>600</v>
      </c>
      <c r="DE5" s="57">
        <f t="shared" si="46"/>
        <v>0</v>
      </c>
      <c r="DF5" s="57" t="e">
        <f t="shared" si="47"/>
        <v>#DIV/0!</v>
      </c>
    </row>
    <row r="6" spans="1:110" ht="14.25" customHeight="1">
      <c r="A6" s="60"/>
      <c r="B6" s="44"/>
      <c r="C6" s="45">
        <v>0</v>
      </c>
      <c r="D6" s="45">
        <v>0</v>
      </c>
      <c r="E6" s="45">
        <v>0</v>
      </c>
      <c r="F6" s="45">
        <f t="shared" si="0"/>
        <v>0</v>
      </c>
      <c r="G6" s="45">
        <v>900</v>
      </c>
      <c r="H6" s="45">
        <v>0</v>
      </c>
      <c r="I6" s="45">
        <f t="shared" si="1"/>
        <v>900</v>
      </c>
      <c r="J6" s="45">
        <f t="shared" si="2"/>
        <v>0</v>
      </c>
      <c r="K6" s="45" t="e">
        <f t="shared" si="3"/>
        <v>#DIV/0!</v>
      </c>
      <c r="L6" s="47">
        <v>0</v>
      </c>
      <c r="M6" s="47">
        <v>0</v>
      </c>
      <c r="N6" s="47">
        <v>0</v>
      </c>
      <c r="O6" s="47">
        <f t="shared" si="4"/>
        <v>0</v>
      </c>
      <c r="P6" s="47">
        <v>1800</v>
      </c>
      <c r="Q6" s="47">
        <v>0</v>
      </c>
      <c r="R6" s="47">
        <f t="shared" si="5"/>
        <v>1800</v>
      </c>
      <c r="S6" s="47">
        <f t="shared" si="6"/>
        <v>0</v>
      </c>
      <c r="T6" s="47" t="e">
        <f t="shared" si="7"/>
        <v>#DIV/0!</v>
      </c>
      <c r="U6" s="48">
        <v>0</v>
      </c>
      <c r="V6" s="48">
        <v>0</v>
      </c>
      <c r="W6" s="48">
        <v>0</v>
      </c>
      <c r="X6" s="48">
        <f t="shared" si="8"/>
        <v>0</v>
      </c>
      <c r="Y6" s="48">
        <v>910</v>
      </c>
      <c r="Z6" s="48">
        <v>0</v>
      </c>
      <c r="AA6" s="48">
        <f t="shared" si="9"/>
        <v>910</v>
      </c>
      <c r="AB6" s="48">
        <f t="shared" si="10"/>
        <v>0</v>
      </c>
      <c r="AC6" s="48" t="e">
        <f t="shared" si="11"/>
        <v>#DIV/0!</v>
      </c>
      <c r="AD6" s="49">
        <v>0</v>
      </c>
      <c r="AE6" s="49">
        <v>0</v>
      </c>
      <c r="AF6" s="49">
        <v>0</v>
      </c>
      <c r="AG6" s="49">
        <f t="shared" si="12"/>
        <v>0</v>
      </c>
      <c r="AH6" s="49">
        <v>1200</v>
      </c>
      <c r="AI6" s="49">
        <v>0</v>
      </c>
      <c r="AJ6" s="49">
        <f t="shared" si="13"/>
        <v>1200</v>
      </c>
      <c r="AK6" s="49">
        <f t="shared" si="14"/>
        <v>0</v>
      </c>
      <c r="AL6" s="49" t="e">
        <f t="shared" si="15"/>
        <v>#DIV/0!</v>
      </c>
      <c r="AM6" s="50">
        <v>0</v>
      </c>
      <c r="AN6" s="50">
        <v>0</v>
      </c>
      <c r="AO6" s="50">
        <v>0</v>
      </c>
      <c r="AP6" s="50">
        <f t="shared" si="16"/>
        <v>0</v>
      </c>
      <c r="AQ6" s="50">
        <v>600</v>
      </c>
      <c r="AR6" s="50">
        <v>0</v>
      </c>
      <c r="AS6" s="50">
        <f t="shared" si="17"/>
        <v>600</v>
      </c>
      <c r="AT6" s="50">
        <f t="shared" si="18"/>
        <v>0</v>
      </c>
      <c r="AU6" s="50" t="e">
        <f t="shared" si="19"/>
        <v>#DIV/0!</v>
      </c>
      <c r="AV6" s="51">
        <v>0</v>
      </c>
      <c r="AW6" s="51">
        <v>0</v>
      </c>
      <c r="AX6" s="51">
        <v>0</v>
      </c>
      <c r="AY6" s="51">
        <f t="shared" si="20"/>
        <v>0</v>
      </c>
      <c r="AZ6" s="51">
        <v>1500</v>
      </c>
      <c r="BA6" s="51">
        <v>0</v>
      </c>
      <c r="BB6" s="51">
        <f t="shared" si="21"/>
        <v>1500</v>
      </c>
      <c r="BC6" s="51">
        <f t="shared" si="22"/>
        <v>0</v>
      </c>
      <c r="BD6" s="51" t="e">
        <f t="shared" si="23"/>
        <v>#DIV/0!</v>
      </c>
      <c r="BE6" s="52">
        <v>0</v>
      </c>
      <c r="BF6" s="52">
        <v>0</v>
      </c>
      <c r="BG6" s="52">
        <v>0</v>
      </c>
      <c r="BH6" s="52">
        <f t="shared" si="24"/>
        <v>0</v>
      </c>
      <c r="BI6" s="52">
        <v>750</v>
      </c>
      <c r="BJ6" s="52">
        <v>0</v>
      </c>
      <c r="BK6" s="52">
        <f t="shared" si="25"/>
        <v>750</v>
      </c>
      <c r="BL6" s="52">
        <f t="shared" si="26"/>
        <v>0</v>
      </c>
      <c r="BM6" s="52" t="e">
        <f t="shared" si="27"/>
        <v>#DIV/0!</v>
      </c>
      <c r="BN6" s="53">
        <v>0</v>
      </c>
      <c r="BO6" s="53">
        <v>0</v>
      </c>
      <c r="BP6" s="53">
        <v>0</v>
      </c>
      <c r="BQ6" s="53">
        <f t="shared" si="28"/>
        <v>0</v>
      </c>
      <c r="BR6" s="53">
        <v>2450</v>
      </c>
      <c r="BS6" s="53">
        <v>0</v>
      </c>
      <c r="BT6" s="53">
        <f t="shared" si="29"/>
        <v>2450</v>
      </c>
      <c r="BU6" s="53">
        <f t="shared" si="30"/>
        <v>0</v>
      </c>
      <c r="BV6" s="53" t="e">
        <f t="shared" si="31"/>
        <v>#DIV/0!</v>
      </c>
      <c r="BW6" s="54">
        <v>0</v>
      </c>
      <c r="BX6" s="54">
        <v>0</v>
      </c>
      <c r="BY6" s="54">
        <v>0</v>
      </c>
      <c r="BZ6" s="54">
        <f t="shared" si="32"/>
        <v>0</v>
      </c>
      <c r="CA6" s="54">
        <v>750</v>
      </c>
      <c r="CB6" s="54">
        <v>0</v>
      </c>
      <c r="CC6" s="54">
        <f t="shared" si="33"/>
        <v>750</v>
      </c>
      <c r="CD6" s="54">
        <f t="shared" si="34"/>
        <v>0</v>
      </c>
      <c r="CE6" s="54" t="e">
        <f t="shared" si="35"/>
        <v>#DIV/0!</v>
      </c>
      <c r="CF6" s="55">
        <v>0</v>
      </c>
      <c r="CG6" s="55">
        <v>0</v>
      </c>
      <c r="CH6" s="55">
        <v>0</v>
      </c>
      <c r="CI6" s="55">
        <f t="shared" si="36"/>
        <v>0</v>
      </c>
      <c r="CJ6" s="55">
        <v>730</v>
      </c>
      <c r="CK6" s="55">
        <v>0</v>
      </c>
      <c r="CL6" s="55">
        <f t="shared" si="37"/>
        <v>730</v>
      </c>
      <c r="CM6" s="55">
        <f t="shared" si="38"/>
        <v>0</v>
      </c>
      <c r="CN6" s="55" t="e">
        <f t="shared" si="39"/>
        <v>#DIV/0!</v>
      </c>
      <c r="CO6" s="56">
        <v>0</v>
      </c>
      <c r="CP6" s="56">
        <v>0</v>
      </c>
      <c r="CQ6" s="56">
        <v>0</v>
      </c>
      <c r="CR6" s="56">
        <f t="shared" si="40"/>
        <v>0</v>
      </c>
      <c r="CS6" s="56">
        <v>730</v>
      </c>
      <c r="CT6" s="56">
        <v>0</v>
      </c>
      <c r="CU6" s="56">
        <f t="shared" si="41"/>
        <v>730</v>
      </c>
      <c r="CV6" s="56">
        <f t="shared" si="42"/>
        <v>0</v>
      </c>
      <c r="CW6" s="56" t="e">
        <f t="shared" si="43"/>
        <v>#DIV/0!</v>
      </c>
      <c r="CX6" s="57">
        <v>0</v>
      </c>
      <c r="CY6" s="57">
        <v>0</v>
      </c>
      <c r="CZ6" s="57">
        <v>0</v>
      </c>
      <c r="DA6" s="57">
        <f t="shared" si="44"/>
        <v>0</v>
      </c>
      <c r="DB6" s="57">
        <v>600</v>
      </c>
      <c r="DC6" s="57">
        <v>0</v>
      </c>
      <c r="DD6" s="57">
        <f t="shared" si="45"/>
        <v>600</v>
      </c>
      <c r="DE6" s="57">
        <f t="shared" si="46"/>
        <v>0</v>
      </c>
      <c r="DF6" s="57" t="e">
        <f t="shared" si="47"/>
        <v>#DIV/0!</v>
      </c>
    </row>
    <row r="7" spans="1:110" ht="14.25" customHeight="1">
      <c r="A7" s="60"/>
      <c r="B7" s="44"/>
      <c r="C7" s="45">
        <v>0</v>
      </c>
      <c r="D7" s="45">
        <v>0</v>
      </c>
      <c r="E7" s="45">
        <v>0</v>
      </c>
      <c r="F7" s="45">
        <f t="shared" si="0"/>
        <v>0</v>
      </c>
      <c r="G7" s="45">
        <v>900</v>
      </c>
      <c r="H7" s="45">
        <v>0</v>
      </c>
      <c r="I7" s="45">
        <f t="shared" si="1"/>
        <v>900</v>
      </c>
      <c r="J7" s="45">
        <f t="shared" si="2"/>
        <v>0</v>
      </c>
      <c r="K7" s="45" t="e">
        <f t="shared" si="3"/>
        <v>#DIV/0!</v>
      </c>
      <c r="L7" s="47">
        <v>0</v>
      </c>
      <c r="M7" s="47">
        <v>0</v>
      </c>
      <c r="N7" s="47">
        <v>0</v>
      </c>
      <c r="O7" s="47">
        <f t="shared" si="4"/>
        <v>0</v>
      </c>
      <c r="P7" s="47">
        <v>1800</v>
      </c>
      <c r="Q7" s="47">
        <v>0</v>
      </c>
      <c r="R7" s="47">
        <f t="shared" si="5"/>
        <v>1800</v>
      </c>
      <c r="S7" s="47">
        <f t="shared" si="6"/>
        <v>0</v>
      </c>
      <c r="T7" s="47" t="e">
        <f t="shared" si="7"/>
        <v>#DIV/0!</v>
      </c>
      <c r="U7" s="48">
        <v>0</v>
      </c>
      <c r="V7" s="48">
        <v>0</v>
      </c>
      <c r="W7" s="48">
        <v>0</v>
      </c>
      <c r="X7" s="48">
        <f t="shared" si="8"/>
        <v>0</v>
      </c>
      <c r="Y7" s="48">
        <v>910</v>
      </c>
      <c r="Z7" s="48">
        <v>0</v>
      </c>
      <c r="AA7" s="48">
        <f t="shared" si="9"/>
        <v>910</v>
      </c>
      <c r="AB7" s="48">
        <f t="shared" si="10"/>
        <v>0</v>
      </c>
      <c r="AC7" s="48" t="e">
        <f t="shared" si="11"/>
        <v>#DIV/0!</v>
      </c>
      <c r="AD7" s="49">
        <v>0</v>
      </c>
      <c r="AE7" s="49">
        <v>0</v>
      </c>
      <c r="AF7" s="49">
        <v>0</v>
      </c>
      <c r="AG7" s="49">
        <f t="shared" si="12"/>
        <v>0</v>
      </c>
      <c r="AH7" s="49">
        <v>1200</v>
      </c>
      <c r="AI7" s="49">
        <v>0</v>
      </c>
      <c r="AJ7" s="49">
        <f t="shared" si="13"/>
        <v>1200</v>
      </c>
      <c r="AK7" s="49">
        <f t="shared" si="14"/>
        <v>0</v>
      </c>
      <c r="AL7" s="49" t="e">
        <f t="shared" si="15"/>
        <v>#DIV/0!</v>
      </c>
      <c r="AM7" s="50">
        <v>0</v>
      </c>
      <c r="AN7" s="50">
        <v>0</v>
      </c>
      <c r="AO7" s="50">
        <v>0</v>
      </c>
      <c r="AP7" s="50">
        <f t="shared" si="16"/>
        <v>0</v>
      </c>
      <c r="AQ7" s="50">
        <v>600</v>
      </c>
      <c r="AR7" s="50">
        <v>0</v>
      </c>
      <c r="AS7" s="50">
        <f t="shared" si="17"/>
        <v>600</v>
      </c>
      <c r="AT7" s="50">
        <f t="shared" si="18"/>
        <v>0</v>
      </c>
      <c r="AU7" s="50" t="e">
        <f t="shared" si="19"/>
        <v>#DIV/0!</v>
      </c>
      <c r="AV7" s="51">
        <v>0</v>
      </c>
      <c r="AW7" s="51">
        <v>0</v>
      </c>
      <c r="AX7" s="51">
        <v>0</v>
      </c>
      <c r="AY7" s="51">
        <f t="shared" si="20"/>
        <v>0</v>
      </c>
      <c r="AZ7" s="51">
        <v>1500</v>
      </c>
      <c r="BA7" s="51">
        <v>0</v>
      </c>
      <c r="BB7" s="51">
        <f t="shared" si="21"/>
        <v>1500</v>
      </c>
      <c r="BC7" s="51">
        <f t="shared" si="22"/>
        <v>0</v>
      </c>
      <c r="BD7" s="51" t="e">
        <f t="shared" si="23"/>
        <v>#DIV/0!</v>
      </c>
      <c r="BE7" s="52">
        <v>0</v>
      </c>
      <c r="BF7" s="52">
        <v>0</v>
      </c>
      <c r="BG7" s="52">
        <v>0</v>
      </c>
      <c r="BH7" s="52">
        <f t="shared" si="24"/>
        <v>0</v>
      </c>
      <c r="BI7" s="52">
        <v>750</v>
      </c>
      <c r="BJ7" s="52">
        <v>0</v>
      </c>
      <c r="BK7" s="52">
        <f t="shared" si="25"/>
        <v>750</v>
      </c>
      <c r="BL7" s="52">
        <f t="shared" si="26"/>
        <v>0</v>
      </c>
      <c r="BM7" s="52" t="e">
        <f t="shared" si="27"/>
        <v>#DIV/0!</v>
      </c>
      <c r="BN7" s="53">
        <v>0</v>
      </c>
      <c r="BO7" s="53">
        <v>0</v>
      </c>
      <c r="BP7" s="53">
        <v>0</v>
      </c>
      <c r="BQ7" s="53">
        <f t="shared" si="28"/>
        <v>0</v>
      </c>
      <c r="BR7" s="53">
        <v>2450</v>
      </c>
      <c r="BS7" s="53">
        <v>0</v>
      </c>
      <c r="BT7" s="53">
        <f t="shared" si="29"/>
        <v>2450</v>
      </c>
      <c r="BU7" s="53">
        <f t="shared" si="30"/>
        <v>0</v>
      </c>
      <c r="BV7" s="53" t="e">
        <f t="shared" si="31"/>
        <v>#DIV/0!</v>
      </c>
      <c r="BW7" s="54">
        <v>0</v>
      </c>
      <c r="BX7" s="54">
        <v>0</v>
      </c>
      <c r="BY7" s="54">
        <v>0</v>
      </c>
      <c r="BZ7" s="54">
        <f t="shared" si="32"/>
        <v>0</v>
      </c>
      <c r="CA7" s="54">
        <v>750</v>
      </c>
      <c r="CB7" s="54">
        <v>0</v>
      </c>
      <c r="CC7" s="54">
        <f t="shared" si="33"/>
        <v>750</v>
      </c>
      <c r="CD7" s="54">
        <f t="shared" si="34"/>
        <v>0</v>
      </c>
      <c r="CE7" s="54" t="e">
        <f t="shared" si="35"/>
        <v>#DIV/0!</v>
      </c>
      <c r="CF7" s="55">
        <v>0</v>
      </c>
      <c r="CG7" s="55">
        <v>0</v>
      </c>
      <c r="CH7" s="55">
        <v>0</v>
      </c>
      <c r="CI7" s="55">
        <f t="shared" si="36"/>
        <v>0</v>
      </c>
      <c r="CJ7" s="55">
        <v>730</v>
      </c>
      <c r="CK7" s="55">
        <v>0</v>
      </c>
      <c r="CL7" s="55">
        <f t="shared" si="37"/>
        <v>730</v>
      </c>
      <c r="CM7" s="55">
        <f t="shared" si="38"/>
        <v>0</v>
      </c>
      <c r="CN7" s="55" t="e">
        <f t="shared" si="39"/>
        <v>#DIV/0!</v>
      </c>
      <c r="CO7" s="56">
        <v>0</v>
      </c>
      <c r="CP7" s="56">
        <v>0</v>
      </c>
      <c r="CQ7" s="56">
        <v>0</v>
      </c>
      <c r="CR7" s="56">
        <f t="shared" si="40"/>
        <v>0</v>
      </c>
      <c r="CS7" s="56">
        <v>730</v>
      </c>
      <c r="CT7" s="56">
        <v>0</v>
      </c>
      <c r="CU7" s="56">
        <f t="shared" si="41"/>
        <v>730</v>
      </c>
      <c r="CV7" s="56">
        <f t="shared" si="42"/>
        <v>0</v>
      </c>
      <c r="CW7" s="56" t="e">
        <f t="shared" si="43"/>
        <v>#DIV/0!</v>
      </c>
      <c r="CX7" s="57">
        <v>0</v>
      </c>
      <c r="CY7" s="57">
        <v>0</v>
      </c>
      <c r="CZ7" s="57">
        <v>0</v>
      </c>
      <c r="DA7" s="57">
        <f t="shared" si="44"/>
        <v>0</v>
      </c>
      <c r="DB7" s="57">
        <v>600</v>
      </c>
      <c r="DC7" s="57">
        <v>0</v>
      </c>
      <c r="DD7" s="57">
        <f t="shared" si="45"/>
        <v>600</v>
      </c>
      <c r="DE7" s="57">
        <f t="shared" si="46"/>
        <v>0</v>
      </c>
      <c r="DF7" s="57" t="e">
        <f t="shared" si="47"/>
        <v>#DIV/0!</v>
      </c>
    </row>
    <row r="8" spans="1:110" ht="14.25" customHeight="1">
      <c r="A8" s="60"/>
      <c r="B8" s="44"/>
      <c r="C8" s="45">
        <v>0</v>
      </c>
      <c r="D8" s="45">
        <v>0</v>
      </c>
      <c r="E8" s="45">
        <v>0</v>
      </c>
      <c r="F8" s="45">
        <f t="shared" si="0"/>
        <v>0</v>
      </c>
      <c r="G8" s="45">
        <v>900</v>
      </c>
      <c r="H8" s="45">
        <v>0</v>
      </c>
      <c r="I8" s="45">
        <f t="shared" si="1"/>
        <v>900</v>
      </c>
      <c r="J8" s="45">
        <f t="shared" si="2"/>
        <v>0</v>
      </c>
      <c r="K8" s="45" t="e">
        <f t="shared" si="3"/>
        <v>#DIV/0!</v>
      </c>
      <c r="L8" s="47">
        <v>0</v>
      </c>
      <c r="M8" s="47">
        <v>0</v>
      </c>
      <c r="N8" s="47">
        <v>0</v>
      </c>
      <c r="O8" s="47">
        <f t="shared" si="4"/>
        <v>0</v>
      </c>
      <c r="P8" s="47">
        <v>1800</v>
      </c>
      <c r="Q8" s="47">
        <v>0</v>
      </c>
      <c r="R8" s="47">
        <f t="shared" si="5"/>
        <v>1800</v>
      </c>
      <c r="S8" s="47">
        <f t="shared" si="6"/>
        <v>0</v>
      </c>
      <c r="T8" s="47" t="e">
        <f t="shared" si="7"/>
        <v>#DIV/0!</v>
      </c>
      <c r="U8" s="48">
        <v>0</v>
      </c>
      <c r="V8" s="48">
        <v>0</v>
      </c>
      <c r="W8" s="48">
        <v>0</v>
      </c>
      <c r="X8" s="48">
        <f t="shared" si="8"/>
        <v>0</v>
      </c>
      <c r="Y8" s="48">
        <v>910</v>
      </c>
      <c r="Z8" s="48">
        <v>0</v>
      </c>
      <c r="AA8" s="48">
        <f t="shared" si="9"/>
        <v>910</v>
      </c>
      <c r="AB8" s="48">
        <f t="shared" si="10"/>
        <v>0</v>
      </c>
      <c r="AC8" s="48" t="e">
        <f t="shared" si="11"/>
        <v>#DIV/0!</v>
      </c>
      <c r="AD8" s="49">
        <v>0</v>
      </c>
      <c r="AE8" s="49">
        <v>0</v>
      </c>
      <c r="AF8" s="49">
        <v>0</v>
      </c>
      <c r="AG8" s="49">
        <f t="shared" si="12"/>
        <v>0</v>
      </c>
      <c r="AH8" s="49">
        <v>1200</v>
      </c>
      <c r="AI8" s="49">
        <v>0</v>
      </c>
      <c r="AJ8" s="49">
        <f t="shared" si="13"/>
        <v>1200</v>
      </c>
      <c r="AK8" s="49">
        <f t="shared" si="14"/>
        <v>0</v>
      </c>
      <c r="AL8" s="49" t="e">
        <f t="shared" si="15"/>
        <v>#DIV/0!</v>
      </c>
      <c r="AM8" s="50">
        <v>0</v>
      </c>
      <c r="AN8" s="50">
        <v>0</v>
      </c>
      <c r="AO8" s="50">
        <v>0</v>
      </c>
      <c r="AP8" s="50">
        <f t="shared" si="16"/>
        <v>0</v>
      </c>
      <c r="AQ8" s="50">
        <v>600</v>
      </c>
      <c r="AR8" s="50">
        <v>0</v>
      </c>
      <c r="AS8" s="50">
        <f t="shared" si="17"/>
        <v>600</v>
      </c>
      <c r="AT8" s="50">
        <f t="shared" si="18"/>
        <v>0</v>
      </c>
      <c r="AU8" s="50" t="e">
        <f t="shared" si="19"/>
        <v>#DIV/0!</v>
      </c>
      <c r="AV8" s="51">
        <v>0</v>
      </c>
      <c r="AW8" s="51">
        <v>0</v>
      </c>
      <c r="AX8" s="51">
        <v>0</v>
      </c>
      <c r="AY8" s="51">
        <f t="shared" si="20"/>
        <v>0</v>
      </c>
      <c r="AZ8" s="51">
        <v>1500</v>
      </c>
      <c r="BA8" s="51">
        <v>0</v>
      </c>
      <c r="BB8" s="51">
        <f t="shared" si="21"/>
        <v>1500</v>
      </c>
      <c r="BC8" s="51">
        <f t="shared" si="22"/>
        <v>0</v>
      </c>
      <c r="BD8" s="51" t="e">
        <f t="shared" si="23"/>
        <v>#DIV/0!</v>
      </c>
      <c r="BE8" s="52">
        <v>0</v>
      </c>
      <c r="BF8" s="52">
        <v>0</v>
      </c>
      <c r="BG8" s="52">
        <v>0</v>
      </c>
      <c r="BH8" s="52">
        <f t="shared" si="24"/>
        <v>0</v>
      </c>
      <c r="BI8" s="52">
        <v>750</v>
      </c>
      <c r="BJ8" s="52">
        <v>0</v>
      </c>
      <c r="BK8" s="52">
        <f t="shared" si="25"/>
        <v>750</v>
      </c>
      <c r="BL8" s="52">
        <f t="shared" si="26"/>
        <v>0</v>
      </c>
      <c r="BM8" s="52" t="e">
        <f t="shared" si="27"/>
        <v>#DIV/0!</v>
      </c>
      <c r="BN8" s="53">
        <v>0</v>
      </c>
      <c r="BO8" s="53">
        <v>0</v>
      </c>
      <c r="BP8" s="53">
        <v>0</v>
      </c>
      <c r="BQ8" s="53">
        <f t="shared" si="28"/>
        <v>0</v>
      </c>
      <c r="BR8" s="53">
        <v>2450</v>
      </c>
      <c r="BS8" s="53">
        <v>0</v>
      </c>
      <c r="BT8" s="53">
        <f t="shared" si="29"/>
        <v>2450</v>
      </c>
      <c r="BU8" s="53">
        <f t="shared" si="30"/>
        <v>0</v>
      </c>
      <c r="BV8" s="53" t="e">
        <f t="shared" si="31"/>
        <v>#DIV/0!</v>
      </c>
      <c r="BW8" s="54">
        <v>0</v>
      </c>
      <c r="BX8" s="54">
        <v>0</v>
      </c>
      <c r="BY8" s="54">
        <v>0</v>
      </c>
      <c r="BZ8" s="54">
        <f t="shared" si="32"/>
        <v>0</v>
      </c>
      <c r="CA8" s="54">
        <v>750</v>
      </c>
      <c r="CB8" s="54">
        <v>0</v>
      </c>
      <c r="CC8" s="54">
        <f t="shared" si="33"/>
        <v>750</v>
      </c>
      <c r="CD8" s="54">
        <f t="shared" si="34"/>
        <v>0</v>
      </c>
      <c r="CE8" s="54" t="e">
        <f t="shared" si="35"/>
        <v>#DIV/0!</v>
      </c>
      <c r="CF8" s="55">
        <v>0</v>
      </c>
      <c r="CG8" s="55">
        <v>0</v>
      </c>
      <c r="CH8" s="55">
        <v>0</v>
      </c>
      <c r="CI8" s="55">
        <f t="shared" si="36"/>
        <v>0</v>
      </c>
      <c r="CJ8" s="55">
        <v>730</v>
      </c>
      <c r="CK8" s="55">
        <v>0</v>
      </c>
      <c r="CL8" s="55">
        <f t="shared" si="37"/>
        <v>730</v>
      </c>
      <c r="CM8" s="55">
        <f t="shared" si="38"/>
        <v>0</v>
      </c>
      <c r="CN8" s="55" t="e">
        <f t="shared" si="39"/>
        <v>#DIV/0!</v>
      </c>
      <c r="CO8" s="56">
        <v>0</v>
      </c>
      <c r="CP8" s="56">
        <v>0</v>
      </c>
      <c r="CQ8" s="56">
        <v>0</v>
      </c>
      <c r="CR8" s="56">
        <f t="shared" si="40"/>
        <v>0</v>
      </c>
      <c r="CS8" s="56">
        <v>730</v>
      </c>
      <c r="CT8" s="56">
        <v>0</v>
      </c>
      <c r="CU8" s="56">
        <f t="shared" si="41"/>
        <v>730</v>
      </c>
      <c r="CV8" s="56">
        <f t="shared" si="42"/>
        <v>0</v>
      </c>
      <c r="CW8" s="56" t="e">
        <f t="shared" si="43"/>
        <v>#DIV/0!</v>
      </c>
      <c r="CX8" s="57">
        <v>0</v>
      </c>
      <c r="CY8" s="57">
        <v>0</v>
      </c>
      <c r="CZ8" s="57">
        <v>0</v>
      </c>
      <c r="DA8" s="57">
        <f t="shared" si="44"/>
        <v>0</v>
      </c>
      <c r="DB8" s="57">
        <v>600</v>
      </c>
      <c r="DC8" s="57">
        <v>0</v>
      </c>
      <c r="DD8" s="57">
        <f t="shared" si="45"/>
        <v>600</v>
      </c>
      <c r="DE8" s="57">
        <f t="shared" si="46"/>
        <v>0</v>
      </c>
      <c r="DF8" s="57" t="e">
        <f t="shared" si="47"/>
        <v>#DIV/0!</v>
      </c>
    </row>
    <row r="9" spans="1:110" ht="14.25" customHeight="1">
      <c r="A9" s="60"/>
      <c r="B9" s="44"/>
      <c r="C9" s="45">
        <v>0</v>
      </c>
      <c r="D9" s="45">
        <v>0</v>
      </c>
      <c r="E9" s="45">
        <v>0</v>
      </c>
      <c r="F9" s="45">
        <f t="shared" si="0"/>
        <v>0</v>
      </c>
      <c r="G9" s="45">
        <v>900</v>
      </c>
      <c r="H9" s="45">
        <v>0</v>
      </c>
      <c r="I9" s="45">
        <f t="shared" si="1"/>
        <v>900</v>
      </c>
      <c r="J9" s="45">
        <f t="shared" si="2"/>
        <v>0</v>
      </c>
      <c r="K9" s="45" t="e">
        <f t="shared" si="3"/>
        <v>#DIV/0!</v>
      </c>
      <c r="L9" s="47">
        <v>0</v>
      </c>
      <c r="M9" s="47">
        <v>0</v>
      </c>
      <c r="N9" s="47">
        <v>0</v>
      </c>
      <c r="O9" s="47">
        <f t="shared" si="4"/>
        <v>0</v>
      </c>
      <c r="P9" s="47">
        <v>1800</v>
      </c>
      <c r="Q9" s="47">
        <v>0</v>
      </c>
      <c r="R9" s="47">
        <f t="shared" si="5"/>
        <v>1800</v>
      </c>
      <c r="S9" s="47">
        <f t="shared" si="6"/>
        <v>0</v>
      </c>
      <c r="T9" s="47" t="e">
        <f t="shared" si="7"/>
        <v>#DIV/0!</v>
      </c>
      <c r="U9" s="48">
        <v>0</v>
      </c>
      <c r="V9" s="48">
        <v>0</v>
      </c>
      <c r="W9" s="48">
        <v>0</v>
      </c>
      <c r="X9" s="48">
        <f t="shared" si="8"/>
        <v>0</v>
      </c>
      <c r="Y9" s="48">
        <v>910</v>
      </c>
      <c r="Z9" s="48">
        <v>0</v>
      </c>
      <c r="AA9" s="48">
        <f t="shared" si="9"/>
        <v>910</v>
      </c>
      <c r="AB9" s="48">
        <f t="shared" si="10"/>
        <v>0</v>
      </c>
      <c r="AC9" s="48" t="e">
        <f t="shared" si="11"/>
        <v>#DIV/0!</v>
      </c>
      <c r="AD9" s="49">
        <v>0</v>
      </c>
      <c r="AE9" s="49">
        <v>0</v>
      </c>
      <c r="AF9" s="49">
        <v>0</v>
      </c>
      <c r="AG9" s="49">
        <f t="shared" si="12"/>
        <v>0</v>
      </c>
      <c r="AH9" s="49">
        <v>1200</v>
      </c>
      <c r="AI9" s="49">
        <v>0</v>
      </c>
      <c r="AJ9" s="49">
        <f t="shared" si="13"/>
        <v>1200</v>
      </c>
      <c r="AK9" s="49">
        <f t="shared" si="14"/>
        <v>0</v>
      </c>
      <c r="AL9" s="49" t="e">
        <f t="shared" si="15"/>
        <v>#DIV/0!</v>
      </c>
      <c r="AM9" s="50">
        <v>0</v>
      </c>
      <c r="AN9" s="50">
        <v>0</v>
      </c>
      <c r="AO9" s="50">
        <v>0</v>
      </c>
      <c r="AP9" s="50">
        <f t="shared" si="16"/>
        <v>0</v>
      </c>
      <c r="AQ9" s="50">
        <v>600</v>
      </c>
      <c r="AR9" s="50">
        <v>0</v>
      </c>
      <c r="AS9" s="50">
        <f t="shared" si="17"/>
        <v>600</v>
      </c>
      <c r="AT9" s="50">
        <f t="shared" si="18"/>
        <v>0</v>
      </c>
      <c r="AU9" s="50" t="e">
        <f t="shared" si="19"/>
        <v>#DIV/0!</v>
      </c>
      <c r="AV9" s="51">
        <v>0</v>
      </c>
      <c r="AW9" s="51">
        <v>0</v>
      </c>
      <c r="AX9" s="51">
        <v>0</v>
      </c>
      <c r="AY9" s="51">
        <f t="shared" si="20"/>
        <v>0</v>
      </c>
      <c r="AZ9" s="51">
        <v>1500</v>
      </c>
      <c r="BA9" s="51">
        <v>0</v>
      </c>
      <c r="BB9" s="51">
        <f t="shared" si="21"/>
        <v>1500</v>
      </c>
      <c r="BC9" s="51">
        <f t="shared" si="22"/>
        <v>0</v>
      </c>
      <c r="BD9" s="51" t="e">
        <f t="shared" si="23"/>
        <v>#DIV/0!</v>
      </c>
      <c r="BE9" s="52">
        <v>0</v>
      </c>
      <c r="BF9" s="52">
        <v>0</v>
      </c>
      <c r="BG9" s="52">
        <v>0</v>
      </c>
      <c r="BH9" s="52">
        <f t="shared" si="24"/>
        <v>0</v>
      </c>
      <c r="BI9" s="52">
        <v>750</v>
      </c>
      <c r="BJ9" s="52">
        <v>0</v>
      </c>
      <c r="BK9" s="52">
        <f t="shared" si="25"/>
        <v>750</v>
      </c>
      <c r="BL9" s="52">
        <f t="shared" si="26"/>
        <v>0</v>
      </c>
      <c r="BM9" s="52" t="e">
        <f t="shared" si="27"/>
        <v>#DIV/0!</v>
      </c>
      <c r="BN9" s="53">
        <v>0</v>
      </c>
      <c r="BO9" s="53">
        <v>0</v>
      </c>
      <c r="BP9" s="53">
        <v>0</v>
      </c>
      <c r="BQ9" s="53">
        <f t="shared" si="28"/>
        <v>0</v>
      </c>
      <c r="BR9" s="53">
        <v>2450</v>
      </c>
      <c r="BS9" s="53">
        <v>0</v>
      </c>
      <c r="BT9" s="53">
        <f t="shared" si="29"/>
        <v>2450</v>
      </c>
      <c r="BU9" s="53">
        <f t="shared" si="30"/>
        <v>0</v>
      </c>
      <c r="BV9" s="53" t="e">
        <f t="shared" si="31"/>
        <v>#DIV/0!</v>
      </c>
      <c r="BW9" s="54">
        <v>0</v>
      </c>
      <c r="BX9" s="54">
        <v>0</v>
      </c>
      <c r="BY9" s="54">
        <v>0</v>
      </c>
      <c r="BZ9" s="54">
        <f t="shared" si="32"/>
        <v>0</v>
      </c>
      <c r="CA9" s="54">
        <v>750</v>
      </c>
      <c r="CB9" s="54">
        <v>0</v>
      </c>
      <c r="CC9" s="54">
        <f t="shared" si="33"/>
        <v>750</v>
      </c>
      <c r="CD9" s="54">
        <f t="shared" si="34"/>
        <v>0</v>
      </c>
      <c r="CE9" s="54" t="e">
        <f t="shared" si="35"/>
        <v>#DIV/0!</v>
      </c>
      <c r="CF9" s="55">
        <v>0</v>
      </c>
      <c r="CG9" s="55">
        <v>0</v>
      </c>
      <c r="CH9" s="55">
        <v>0</v>
      </c>
      <c r="CI9" s="55">
        <f t="shared" si="36"/>
        <v>0</v>
      </c>
      <c r="CJ9" s="55">
        <v>730</v>
      </c>
      <c r="CK9" s="55">
        <v>0</v>
      </c>
      <c r="CL9" s="55">
        <f t="shared" si="37"/>
        <v>730</v>
      </c>
      <c r="CM9" s="55">
        <f t="shared" si="38"/>
        <v>0</v>
      </c>
      <c r="CN9" s="55" t="e">
        <f t="shared" si="39"/>
        <v>#DIV/0!</v>
      </c>
      <c r="CO9" s="56">
        <v>0</v>
      </c>
      <c r="CP9" s="56">
        <v>0</v>
      </c>
      <c r="CQ9" s="56">
        <v>0</v>
      </c>
      <c r="CR9" s="56">
        <f t="shared" si="40"/>
        <v>0</v>
      </c>
      <c r="CS9" s="56">
        <v>730</v>
      </c>
      <c r="CT9" s="56">
        <v>0</v>
      </c>
      <c r="CU9" s="56">
        <f t="shared" si="41"/>
        <v>730</v>
      </c>
      <c r="CV9" s="56">
        <f t="shared" si="42"/>
        <v>0</v>
      </c>
      <c r="CW9" s="56" t="e">
        <f t="shared" si="43"/>
        <v>#DIV/0!</v>
      </c>
      <c r="CX9" s="57">
        <v>0</v>
      </c>
      <c r="CY9" s="57">
        <v>0</v>
      </c>
      <c r="CZ9" s="57">
        <v>0</v>
      </c>
      <c r="DA9" s="57">
        <f t="shared" si="44"/>
        <v>0</v>
      </c>
      <c r="DB9" s="57">
        <v>600</v>
      </c>
      <c r="DC9" s="57">
        <v>0</v>
      </c>
      <c r="DD9" s="57">
        <f t="shared" si="45"/>
        <v>600</v>
      </c>
      <c r="DE9" s="57">
        <f t="shared" si="46"/>
        <v>0</v>
      </c>
      <c r="DF9" s="57" t="e">
        <f t="shared" si="47"/>
        <v>#DIV/0!</v>
      </c>
    </row>
    <row r="10" spans="1:110" ht="14.25" customHeight="1">
      <c r="A10" s="60"/>
      <c r="B10" s="44"/>
      <c r="C10" s="45">
        <v>0</v>
      </c>
      <c r="D10" s="45">
        <v>0</v>
      </c>
      <c r="E10" s="45">
        <v>0</v>
      </c>
      <c r="F10" s="45">
        <f t="shared" si="0"/>
        <v>0</v>
      </c>
      <c r="G10" s="45">
        <v>900</v>
      </c>
      <c r="H10" s="45">
        <v>0</v>
      </c>
      <c r="I10" s="45">
        <f t="shared" si="1"/>
        <v>900</v>
      </c>
      <c r="J10" s="45">
        <f t="shared" si="2"/>
        <v>0</v>
      </c>
      <c r="K10" s="45" t="e">
        <f t="shared" si="3"/>
        <v>#DIV/0!</v>
      </c>
      <c r="L10" s="47">
        <v>0</v>
      </c>
      <c r="M10" s="47">
        <v>0</v>
      </c>
      <c r="N10" s="47">
        <v>0</v>
      </c>
      <c r="O10" s="47">
        <f t="shared" si="4"/>
        <v>0</v>
      </c>
      <c r="P10" s="47">
        <v>1800</v>
      </c>
      <c r="Q10" s="47">
        <v>0</v>
      </c>
      <c r="R10" s="47">
        <f t="shared" si="5"/>
        <v>1800</v>
      </c>
      <c r="S10" s="47">
        <f t="shared" si="6"/>
        <v>0</v>
      </c>
      <c r="T10" s="47" t="e">
        <f t="shared" si="7"/>
        <v>#DIV/0!</v>
      </c>
      <c r="U10" s="48">
        <v>0</v>
      </c>
      <c r="V10" s="48">
        <v>0</v>
      </c>
      <c r="W10" s="48">
        <v>0</v>
      </c>
      <c r="X10" s="48">
        <f t="shared" si="8"/>
        <v>0</v>
      </c>
      <c r="Y10" s="48">
        <v>910</v>
      </c>
      <c r="Z10" s="48">
        <v>0</v>
      </c>
      <c r="AA10" s="48">
        <f t="shared" si="9"/>
        <v>910</v>
      </c>
      <c r="AB10" s="48">
        <f t="shared" si="10"/>
        <v>0</v>
      </c>
      <c r="AC10" s="48" t="e">
        <f t="shared" si="11"/>
        <v>#DIV/0!</v>
      </c>
      <c r="AD10" s="49">
        <v>0</v>
      </c>
      <c r="AE10" s="49">
        <v>0</v>
      </c>
      <c r="AF10" s="49">
        <v>0</v>
      </c>
      <c r="AG10" s="49">
        <f t="shared" si="12"/>
        <v>0</v>
      </c>
      <c r="AH10" s="49">
        <v>1200</v>
      </c>
      <c r="AI10" s="49">
        <v>0</v>
      </c>
      <c r="AJ10" s="49">
        <f t="shared" si="13"/>
        <v>1200</v>
      </c>
      <c r="AK10" s="49">
        <f t="shared" si="14"/>
        <v>0</v>
      </c>
      <c r="AL10" s="49" t="e">
        <f t="shared" si="15"/>
        <v>#DIV/0!</v>
      </c>
      <c r="AM10" s="50">
        <v>0</v>
      </c>
      <c r="AN10" s="50">
        <v>0</v>
      </c>
      <c r="AO10" s="50">
        <v>0</v>
      </c>
      <c r="AP10" s="50">
        <f t="shared" si="16"/>
        <v>0</v>
      </c>
      <c r="AQ10" s="50">
        <v>600</v>
      </c>
      <c r="AR10" s="50">
        <v>0</v>
      </c>
      <c r="AS10" s="50">
        <f t="shared" si="17"/>
        <v>600</v>
      </c>
      <c r="AT10" s="50">
        <f t="shared" si="18"/>
        <v>0</v>
      </c>
      <c r="AU10" s="50" t="e">
        <f t="shared" si="19"/>
        <v>#DIV/0!</v>
      </c>
      <c r="AV10" s="51">
        <v>0</v>
      </c>
      <c r="AW10" s="51">
        <v>0</v>
      </c>
      <c r="AX10" s="51">
        <v>0</v>
      </c>
      <c r="AY10" s="51">
        <f t="shared" si="20"/>
        <v>0</v>
      </c>
      <c r="AZ10" s="51">
        <v>1500</v>
      </c>
      <c r="BA10" s="51">
        <v>0</v>
      </c>
      <c r="BB10" s="51">
        <f t="shared" si="21"/>
        <v>1500</v>
      </c>
      <c r="BC10" s="51">
        <f t="shared" si="22"/>
        <v>0</v>
      </c>
      <c r="BD10" s="51" t="e">
        <f t="shared" si="23"/>
        <v>#DIV/0!</v>
      </c>
      <c r="BE10" s="52">
        <v>0</v>
      </c>
      <c r="BF10" s="52">
        <v>0</v>
      </c>
      <c r="BG10" s="52">
        <v>0</v>
      </c>
      <c r="BH10" s="52">
        <f t="shared" si="24"/>
        <v>0</v>
      </c>
      <c r="BI10" s="52">
        <v>750</v>
      </c>
      <c r="BJ10" s="52">
        <v>0</v>
      </c>
      <c r="BK10" s="52">
        <f t="shared" si="25"/>
        <v>750</v>
      </c>
      <c r="BL10" s="52">
        <f t="shared" si="26"/>
        <v>0</v>
      </c>
      <c r="BM10" s="52" t="e">
        <f t="shared" si="27"/>
        <v>#DIV/0!</v>
      </c>
      <c r="BN10" s="53">
        <v>0</v>
      </c>
      <c r="BO10" s="53">
        <v>0</v>
      </c>
      <c r="BP10" s="53">
        <v>0</v>
      </c>
      <c r="BQ10" s="53">
        <f t="shared" si="28"/>
        <v>0</v>
      </c>
      <c r="BR10" s="53">
        <v>2450</v>
      </c>
      <c r="BS10" s="53">
        <v>0</v>
      </c>
      <c r="BT10" s="53">
        <f t="shared" si="29"/>
        <v>2450</v>
      </c>
      <c r="BU10" s="53">
        <f t="shared" si="30"/>
        <v>0</v>
      </c>
      <c r="BV10" s="53" t="e">
        <f t="shared" si="31"/>
        <v>#DIV/0!</v>
      </c>
      <c r="BW10" s="54">
        <v>0</v>
      </c>
      <c r="BX10" s="54">
        <v>0</v>
      </c>
      <c r="BY10" s="54">
        <v>0</v>
      </c>
      <c r="BZ10" s="54">
        <f t="shared" si="32"/>
        <v>0</v>
      </c>
      <c r="CA10" s="54">
        <v>750</v>
      </c>
      <c r="CB10" s="54">
        <v>0</v>
      </c>
      <c r="CC10" s="54">
        <f t="shared" si="33"/>
        <v>750</v>
      </c>
      <c r="CD10" s="54">
        <f t="shared" si="34"/>
        <v>0</v>
      </c>
      <c r="CE10" s="54" t="e">
        <f t="shared" si="35"/>
        <v>#DIV/0!</v>
      </c>
      <c r="CF10" s="55">
        <v>0</v>
      </c>
      <c r="CG10" s="55">
        <v>0</v>
      </c>
      <c r="CH10" s="55">
        <v>0</v>
      </c>
      <c r="CI10" s="55">
        <f t="shared" si="36"/>
        <v>0</v>
      </c>
      <c r="CJ10" s="55">
        <v>730</v>
      </c>
      <c r="CK10" s="55">
        <v>0</v>
      </c>
      <c r="CL10" s="55">
        <f t="shared" si="37"/>
        <v>730</v>
      </c>
      <c r="CM10" s="55">
        <f t="shared" si="38"/>
        <v>0</v>
      </c>
      <c r="CN10" s="55" t="e">
        <f t="shared" si="39"/>
        <v>#DIV/0!</v>
      </c>
      <c r="CO10" s="56">
        <v>0</v>
      </c>
      <c r="CP10" s="56">
        <v>0</v>
      </c>
      <c r="CQ10" s="56">
        <v>0</v>
      </c>
      <c r="CR10" s="56">
        <f t="shared" si="40"/>
        <v>0</v>
      </c>
      <c r="CS10" s="56">
        <v>730</v>
      </c>
      <c r="CT10" s="56">
        <v>0</v>
      </c>
      <c r="CU10" s="56">
        <f t="shared" si="41"/>
        <v>730</v>
      </c>
      <c r="CV10" s="56">
        <f t="shared" si="42"/>
        <v>0</v>
      </c>
      <c r="CW10" s="56" t="e">
        <f t="shared" si="43"/>
        <v>#DIV/0!</v>
      </c>
      <c r="CX10" s="57">
        <v>0</v>
      </c>
      <c r="CY10" s="57">
        <v>0</v>
      </c>
      <c r="CZ10" s="57">
        <v>0</v>
      </c>
      <c r="DA10" s="57">
        <f t="shared" si="44"/>
        <v>0</v>
      </c>
      <c r="DB10" s="57">
        <v>600</v>
      </c>
      <c r="DC10" s="57">
        <v>0</v>
      </c>
      <c r="DD10" s="57">
        <f t="shared" si="45"/>
        <v>600</v>
      </c>
      <c r="DE10" s="57">
        <f t="shared" si="46"/>
        <v>0</v>
      </c>
      <c r="DF10" s="57" t="e">
        <f t="shared" si="47"/>
        <v>#DIV/0!</v>
      </c>
    </row>
    <row r="11" spans="1:110" ht="14.25" customHeight="1">
      <c r="A11" s="60"/>
      <c r="B11" s="44"/>
      <c r="C11" s="45">
        <v>0</v>
      </c>
      <c r="D11" s="45">
        <v>0</v>
      </c>
      <c r="E11" s="45">
        <v>0</v>
      </c>
      <c r="F11" s="45">
        <f t="shared" si="0"/>
        <v>0</v>
      </c>
      <c r="G11" s="45">
        <v>900</v>
      </c>
      <c r="H11" s="45">
        <v>0</v>
      </c>
      <c r="I11" s="45">
        <f t="shared" si="1"/>
        <v>900</v>
      </c>
      <c r="J11" s="45">
        <f t="shared" si="2"/>
        <v>0</v>
      </c>
      <c r="K11" s="45" t="e">
        <f t="shared" si="3"/>
        <v>#DIV/0!</v>
      </c>
      <c r="L11" s="47">
        <v>0</v>
      </c>
      <c r="M11" s="47">
        <v>0</v>
      </c>
      <c r="N11" s="47">
        <v>0</v>
      </c>
      <c r="O11" s="47">
        <f t="shared" si="4"/>
        <v>0</v>
      </c>
      <c r="P11" s="47">
        <v>1800</v>
      </c>
      <c r="Q11" s="47">
        <v>0</v>
      </c>
      <c r="R11" s="47">
        <f t="shared" si="5"/>
        <v>1800</v>
      </c>
      <c r="S11" s="47">
        <f t="shared" si="6"/>
        <v>0</v>
      </c>
      <c r="T11" s="47" t="e">
        <f t="shared" si="7"/>
        <v>#DIV/0!</v>
      </c>
      <c r="U11" s="48">
        <v>0</v>
      </c>
      <c r="V11" s="48">
        <v>0</v>
      </c>
      <c r="W11" s="48">
        <v>0</v>
      </c>
      <c r="X11" s="48">
        <f t="shared" si="8"/>
        <v>0</v>
      </c>
      <c r="Y11" s="48">
        <v>910</v>
      </c>
      <c r="Z11" s="48">
        <v>0</v>
      </c>
      <c r="AA11" s="48">
        <f t="shared" si="9"/>
        <v>910</v>
      </c>
      <c r="AB11" s="48">
        <f t="shared" si="10"/>
        <v>0</v>
      </c>
      <c r="AC11" s="48" t="e">
        <f t="shared" si="11"/>
        <v>#DIV/0!</v>
      </c>
      <c r="AD11" s="49">
        <v>0</v>
      </c>
      <c r="AE11" s="49">
        <v>0</v>
      </c>
      <c r="AF11" s="49">
        <v>0</v>
      </c>
      <c r="AG11" s="49">
        <f t="shared" si="12"/>
        <v>0</v>
      </c>
      <c r="AH11" s="49">
        <v>1200</v>
      </c>
      <c r="AI11" s="49">
        <v>0</v>
      </c>
      <c r="AJ11" s="49">
        <f t="shared" si="13"/>
        <v>1200</v>
      </c>
      <c r="AK11" s="49">
        <f t="shared" si="14"/>
        <v>0</v>
      </c>
      <c r="AL11" s="49" t="e">
        <f t="shared" si="15"/>
        <v>#DIV/0!</v>
      </c>
      <c r="AM11" s="50">
        <v>0</v>
      </c>
      <c r="AN11" s="50">
        <v>0</v>
      </c>
      <c r="AO11" s="50">
        <v>0</v>
      </c>
      <c r="AP11" s="50">
        <f t="shared" si="16"/>
        <v>0</v>
      </c>
      <c r="AQ11" s="50">
        <v>600</v>
      </c>
      <c r="AR11" s="50">
        <v>0</v>
      </c>
      <c r="AS11" s="50">
        <f t="shared" si="17"/>
        <v>600</v>
      </c>
      <c r="AT11" s="50">
        <f t="shared" si="18"/>
        <v>0</v>
      </c>
      <c r="AU11" s="50" t="e">
        <f t="shared" si="19"/>
        <v>#DIV/0!</v>
      </c>
      <c r="AV11" s="51">
        <v>0</v>
      </c>
      <c r="AW11" s="51">
        <v>0</v>
      </c>
      <c r="AX11" s="51">
        <v>0</v>
      </c>
      <c r="AY11" s="51">
        <f t="shared" si="20"/>
        <v>0</v>
      </c>
      <c r="AZ11" s="51">
        <v>1500</v>
      </c>
      <c r="BA11" s="51">
        <v>0</v>
      </c>
      <c r="BB11" s="51">
        <f t="shared" si="21"/>
        <v>1500</v>
      </c>
      <c r="BC11" s="51">
        <f t="shared" si="22"/>
        <v>0</v>
      </c>
      <c r="BD11" s="51" t="e">
        <f t="shared" si="23"/>
        <v>#DIV/0!</v>
      </c>
      <c r="BE11" s="52">
        <v>0</v>
      </c>
      <c r="BF11" s="52">
        <v>0</v>
      </c>
      <c r="BG11" s="52">
        <v>0</v>
      </c>
      <c r="BH11" s="52">
        <f t="shared" si="24"/>
        <v>0</v>
      </c>
      <c r="BI11" s="52">
        <v>750</v>
      </c>
      <c r="BJ11" s="52">
        <v>0</v>
      </c>
      <c r="BK11" s="52">
        <f t="shared" si="25"/>
        <v>750</v>
      </c>
      <c r="BL11" s="52">
        <f t="shared" si="26"/>
        <v>0</v>
      </c>
      <c r="BM11" s="52" t="e">
        <f t="shared" si="27"/>
        <v>#DIV/0!</v>
      </c>
      <c r="BN11" s="53">
        <v>0</v>
      </c>
      <c r="BO11" s="53">
        <v>0</v>
      </c>
      <c r="BP11" s="53">
        <v>0</v>
      </c>
      <c r="BQ11" s="53">
        <f t="shared" si="28"/>
        <v>0</v>
      </c>
      <c r="BR11" s="53">
        <v>2450</v>
      </c>
      <c r="BS11" s="53">
        <v>0</v>
      </c>
      <c r="BT11" s="53">
        <f t="shared" si="29"/>
        <v>2450</v>
      </c>
      <c r="BU11" s="53">
        <f t="shared" si="30"/>
        <v>0</v>
      </c>
      <c r="BV11" s="53" t="e">
        <f t="shared" si="31"/>
        <v>#DIV/0!</v>
      </c>
      <c r="BW11" s="54">
        <v>0</v>
      </c>
      <c r="BX11" s="54">
        <v>0</v>
      </c>
      <c r="BY11" s="54">
        <v>0</v>
      </c>
      <c r="BZ11" s="54">
        <f t="shared" si="32"/>
        <v>0</v>
      </c>
      <c r="CA11" s="54">
        <v>750</v>
      </c>
      <c r="CB11" s="54">
        <v>0</v>
      </c>
      <c r="CC11" s="54">
        <f t="shared" si="33"/>
        <v>750</v>
      </c>
      <c r="CD11" s="54">
        <f t="shared" si="34"/>
        <v>0</v>
      </c>
      <c r="CE11" s="54" t="e">
        <f t="shared" si="35"/>
        <v>#DIV/0!</v>
      </c>
      <c r="CF11" s="55">
        <v>0</v>
      </c>
      <c r="CG11" s="55">
        <v>0</v>
      </c>
      <c r="CH11" s="55">
        <v>0</v>
      </c>
      <c r="CI11" s="55">
        <f t="shared" si="36"/>
        <v>0</v>
      </c>
      <c r="CJ11" s="55">
        <v>730</v>
      </c>
      <c r="CK11" s="55">
        <v>0</v>
      </c>
      <c r="CL11" s="55">
        <f t="shared" si="37"/>
        <v>730</v>
      </c>
      <c r="CM11" s="55">
        <f t="shared" si="38"/>
        <v>0</v>
      </c>
      <c r="CN11" s="55" t="e">
        <f t="shared" si="39"/>
        <v>#DIV/0!</v>
      </c>
      <c r="CO11" s="56">
        <v>0</v>
      </c>
      <c r="CP11" s="56">
        <v>0</v>
      </c>
      <c r="CQ11" s="56">
        <v>0</v>
      </c>
      <c r="CR11" s="56">
        <f t="shared" si="40"/>
        <v>0</v>
      </c>
      <c r="CS11" s="56">
        <v>730</v>
      </c>
      <c r="CT11" s="56">
        <v>0</v>
      </c>
      <c r="CU11" s="56">
        <f t="shared" si="41"/>
        <v>730</v>
      </c>
      <c r="CV11" s="56">
        <f t="shared" si="42"/>
        <v>0</v>
      </c>
      <c r="CW11" s="56" t="e">
        <f t="shared" si="43"/>
        <v>#DIV/0!</v>
      </c>
      <c r="CX11" s="57">
        <v>0</v>
      </c>
      <c r="CY11" s="57">
        <v>0</v>
      </c>
      <c r="CZ11" s="57">
        <v>0</v>
      </c>
      <c r="DA11" s="57">
        <f t="shared" si="44"/>
        <v>0</v>
      </c>
      <c r="DB11" s="57">
        <v>600</v>
      </c>
      <c r="DC11" s="57">
        <v>0</v>
      </c>
      <c r="DD11" s="57">
        <f t="shared" si="45"/>
        <v>600</v>
      </c>
      <c r="DE11" s="57">
        <f t="shared" si="46"/>
        <v>0</v>
      </c>
      <c r="DF11" s="57" t="e">
        <f t="shared" si="47"/>
        <v>#DIV/0!</v>
      </c>
    </row>
    <row r="12" spans="1:110" ht="14.25" customHeight="1">
      <c r="A12" s="60"/>
      <c r="B12" s="44"/>
      <c r="C12" s="45">
        <v>0</v>
      </c>
      <c r="D12" s="45">
        <v>0</v>
      </c>
      <c r="E12" s="45">
        <v>0</v>
      </c>
      <c r="F12" s="45">
        <f t="shared" si="0"/>
        <v>0</v>
      </c>
      <c r="G12" s="45">
        <v>900</v>
      </c>
      <c r="H12" s="45">
        <v>0</v>
      </c>
      <c r="I12" s="45">
        <f t="shared" si="1"/>
        <v>900</v>
      </c>
      <c r="J12" s="45">
        <f t="shared" si="2"/>
        <v>0</v>
      </c>
      <c r="K12" s="45" t="e">
        <f t="shared" si="3"/>
        <v>#DIV/0!</v>
      </c>
      <c r="L12" s="47">
        <v>0</v>
      </c>
      <c r="M12" s="47">
        <v>0</v>
      </c>
      <c r="N12" s="47">
        <v>0</v>
      </c>
      <c r="O12" s="47">
        <f t="shared" si="4"/>
        <v>0</v>
      </c>
      <c r="P12" s="47">
        <v>1800</v>
      </c>
      <c r="Q12" s="47">
        <v>0</v>
      </c>
      <c r="R12" s="47">
        <f t="shared" si="5"/>
        <v>1800</v>
      </c>
      <c r="S12" s="47">
        <f t="shared" si="6"/>
        <v>0</v>
      </c>
      <c r="T12" s="47" t="e">
        <f t="shared" si="7"/>
        <v>#DIV/0!</v>
      </c>
      <c r="U12" s="48">
        <v>0</v>
      </c>
      <c r="V12" s="48">
        <v>0</v>
      </c>
      <c r="W12" s="48">
        <v>0</v>
      </c>
      <c r="X12" s="48">
        <f t="shared" si="8"/>
        <v>0</v>
      </c>
      <c r="Y12" s="48">
        <v>910</v>
      </c>
      <c r="Z12" s="48">
        <v>0</v>
      </c>
      <c r="AA12" s="48">
        <f t="shared" si="9"/>
        <v>910</v>
      </c>
      <c r="AB12" s="48">
        <f t="shared" si="10"/>
        <v>0</v>
      </c>
      <c r="AC12" s="48" t="e">
        <f t="shared" si="11"/>
        <v>#DIV/0!</v>
      </c>
      <c r="AD12" s="49">
        <v>0</v>
      </c>
      <c r="AE12" s="49">
        <v>0</v>
      </c>
      <c r="AF12" s="49">
        <v>0</v>
      </c>
      <c r="AG12" s="49">
        <f t="shared" si="12"/>
        <v>0</v>
      </c>
      <c r="AH12" s="49">
        <v>1200</v>
      </c>
      <c r="AI12" s="49">
        <v>0</v>
      </c>
      <c r="AJ12" s="49">
        <f t="shared" si="13"/>
        <v>1200</v>
      </c>
      <c r="AK12" s="49">
        <f t="shared" si="14"/>
        <v>0</v>
      </c>
      <c r="AL12" s="49" t="e">
        <f t="shared" si="15"/>
        <v>#DIV/0!</v>
      </c>
      <c r="AM12" s="50">
        <v>0</v>
      </c>
      <c r="AN12" s="50">
        <v>0</v>
      </c>
      <c r="AO12" s="50">
        <v>0</v>
      </c>
      <c r="AP12" s="50">
        <f t="shared" si="16"/>
        <v>0</v>
      </c>
      <c r="AQ12" s="50">
        <v>600</v>
      </c>
      <c r="AR12" s="50">
        <v>0</v>
      </c>
      <c r="AS12" s="50">
        <f t="shared" si="17"/>
        <v>600</v>
      </c>
      <c r="AT12" s="50">
        <f t="shared" si="18"/>
        <v>0</v>
      </c>
      <c r="AU12" s="50" t="e">
        <f t="shared" si="19"/>
        <v>#DIV/0!</v>
      </c>
      <c r="AV12" s="51">
        <v>0</v>
      </c>
      <c r="AW12" s="51">
        <v>0</v>
      </c>
      <c r="AX12" s="51">
        <v>0</v>
      </c>
      <c r="AY12" s="51">
        <f t="shared" si="20"/>
        <v>0</v>
      </c>
      <c r="AZ12" s="51">
        <v>1500</v>
      </c>
      <c r="BA12" s="51">
        <v>0</v>
      </c>
      <c r="BB12" s="51">
        <f t="shared" si="21"/>
        <v>1500</v>
      </c>
      <c r="BC12" s="51">
        <f t="shared" si="22"/>
        <v>0</v>
      </c>
      <c r="BD12" s="51" t="e">
        <f t="shared" si="23"/>
        <v>#DIV/0!</v>
      </c>
      <c r="BE12" s="52">
        <v>0</v>
      </c>
      <c r="BF12" s="52">
        <v>0</v>
      </c>
      <c r="BG12" s="52">
        <v>0</v>
      </c>
      <c r="BH12" s="52">
        <f t="shared" si="24"/>
        <v>0</v>
      </c>
      <c r="BI12" s="52">
        <v>750</v>
      </c>
      <c r="BJ12" s="52">
        <v>0</v>
      </c>
      <c r="BK12" s="52">
        <f t="shared" si="25"/>
        <v>750</v>
      </c>
      <c r="BL12" s="52">
        <f t="shared" si="26"/>
        <v>0</v>
      </c>
      <c r="BM12" s="52" t="e">
        <f t="shared" si="27"/>
        <v>#DIV/0!</v>
      </c>
      <c r="BN12" s="53">
        <v>0</v>
      </c>
      <c r="BO12" s="53">
        <v>0</v>
      </c>
      <c r="BP12" s="53">
        <v>0</v>
      </c>
      <c r="BQ12" s="53">
        <f t="shared" si="28"/>
        <v>0</v>
      </c>
      <c r="BR12" s="53">
        <v>2450</v>
      </c>
      <c r="BS12" s="53">
        <v>0</v>
      </c>
      <c r="BT12" s="53">
        <f t="shared" si="29"/>
        <v>2450</v>
      </c>
      <c r="BU12" s="53">
        <f t="shared" si="30"/>
        <v>0</v>
      </c>
      <c r="BV12" s="53" t="e">
        <f t="shared" si="31"/>
        <v>#DIV/0!</v>
      </c>
      <c r="BW12" s="54">
        <v>0</v>
      </c>
      <c r="BX12" s="54">
        <v>0</v>
      </c>
      <c r="BY12" s="54">
        <v>0</v>
      </c>
      <c r="BZ12" s="54">
        <f t="shared" si="32"/>
        <v>0</v>
      </c>
      <c r="CA12" s="54">
        <v>750</v>
      </c>
      <c r="CB12" s="54">
        <v>0</v>
      </c>
      <c r="CC12" s="54">
        <f t="shared" si="33"/>
        <v>750</v>
      </c>
      <c r="CD12" s="54">
        <f t="shared" si="34"/>
        <v>0</v>
      </c>
      <c r="CE12" s="54" t="e">
        <f t="shared" si="35"/>
        <v>#DIV/0!</v>
      </c>
      <c r="CF12" s="55">
        <v>0</v>
      </c>
      <c r="CG12" s="55">
        <v>0</v>
      </c>
      <c r="CH12" s="55">
        <v>0</v>
      </c>
      <c r="CI12" s="55">
        <f t="shared" si="36"/>
        <v>0</v>
      </c>
      <c r="CJ12" s="55">
        <v>730</v>
      </c>
      <c r="CK12" s="55">
        <v>0</v>
      </c>
      <c r="CL12" s="55">
        <f t="shared" si="37"/>
        <v>730</v>
      </c>
      <c r="CM12" s="55">
        <f t="shared" si="38"/>
        <v>0</v>
      </c>
      <c r="CN12" s="55" t="e">
        <f t="shared" si="39"/>
        <v>#DIV/0!</v>
      </c>
      <c r="CO12" s="56">
        <v>0</v>
      </c>
      <c r="CP12" s="56">
        <v>0</v>
      </c>
      <c r="CQ12" s="56">
        <v>0</v>
      </c>
      <c r="CR12" s="56">
        <f t="shared" si="40"/>
        <v>0</v>
      </c>
      <c r="CS12" s="56">
        <v>730</v>
      </c>
      <c r="CT12" s="56">
        <v>0</v>
      </c>
      <c r="CU12" s="56">
        <f t="shared" si="41"/>
        <v>730</v>
      </c>
      <c r="CV12" s="56">
        <f t="shared" si="42"/>
        <v>0</v>
      </c>
      <c r="CW12" s="56" t="e">
        <f t="shared" si="43"/>
        <v>#DIV/0!</v>
      </c>
      <c r="CX12" s="57">
        <v>0</v>
      </c>
      <c r="CY12" s="57">
        <v>0</v>
      </c>
      <c r="CZ12" s="57">
        <v>0</v>
      </c>
      <c r="DA12" s="57">
        <f t="shared" si="44"/>
        <v>0</v>
      </c>
      <c r="DB12" s="57">
        <v>600</v>
      </c>
      <c r="DC12" s="57">
        <v>0</v>
      </c>
      <c r="DD12" s="57">
        <f t="shared" si="45"/>
        <v>600</v>
      </c>
      <c r="DE12" s="57">
        <f t="shared" si="46"/>
        <v>0</v>
      </c>
      <c r="DF12" s="57" t="e">
        <f t="shared" si="47"/>
        <v>#DIV/0!</v>
      </c>
    </row>
    <row r="13" spans="1:110" ht="14.25" customHeight="1">
      <c r="A13" s="60"/>
      <c r="B13" s="44"/>
      <c r="C13" s="45">
        <v>0</v>
      </c>
      <c r="D13" s="45">
        <v>0</v>
      </c>
      <c r="E13" s="45">
        <v>0</v>
      </c>
      <c r="F13" s="45">
        <f t="shared" si="0"/>
        <v>0</v>
      </c>
      <c r="G13" s="45">
        <v>900</v>
      </c>
      <c r="H13" s="45">
        <v>0</v>
      </c>
      <c r="I13" s="45">
        <f t="shared" si="1"/>
        <v>900</v>
      </c>
      <c r="J13" s="45">
        <f t="shared" si="2"/>
        <v>0</v>
      </c>
      <c r="K13" s="45" t="e">
        <f t="shared" si="3"/>
        <v>#DIV/0!</v>
      </c>
      <c r="L13" s="47">
        <v>0</v>
      </c>
      <c r="M13" s="47">
        <v>0</v>
      </c>
      <c r="N13" s="47">
        <v>0</v>
      </c>
      <c r="O13" s="47">
        <f t="shared" si="4"/>
        <v>0</v>
      </c>
      <c r="P13" s="47">
        <v>1800</v>
      </c>
      <c r="Q13" s="47">
        <v>0</v>
      </c>
      <c r="R13" s="47">
        <f t="shared" si="5"/>
        <v>1800</v>
      </c>
      <c r="S13" s="47">
        <f t="shared" si="6"/>
        <v>0</v>
      </c>
      <c r="T13" s="47" t="e">
        <f t="shared" si="7"/>
        <v>#DIV/0!</v>
      </c>
      <c r="U13" s="48">
        <v>0</v>
      </c>
      <c r="V13" s="48">
        <v>0</v>
      </c>
      <c r="W13" s="48">
        <v>0</v>
      </c>
      <c r="X13" s="48">
        <f t="shared" si="8"/>
        <v>0</v>
      </c>
      <c r="Y13" s="48">
        <v>910</v>
      </c>
      <c r="Z13" s="48">
        <v>0</v>
      </c>
      <c r="AA13" s="48">
        <f t="shared" si="9"/>
        <v>910</v>
      </c>
      <c r="AB13" s="48">
        <f t="shared" si="10"/>
        <v>0</v>
      </c>
      <c r="AC13" s="48" t="e">
        <f t="shared" si="11"/>
        <v>#DIV/0!</v>
      </c>
      <c r="AD13" s="49">
        <v>0</v>
      </c>
      <c r="AE13" s="49">
        <v>0</v>
      </c>
      <c r="AF13" s="49">
        <v>0</v>
      </c>
      <c r="AG13" s="49">
        <f t="shared" si="12"/>
        <v>0</v>
      </c>
      <c r="AH13" s="49">
        <v>1200</v>
      </c>
      <c r="AI13" s="49">
        <v>0</v>
      </c>
      <c r="AJ13" s="49">
        <f t="shared" si="13"/>
        <v>1200</v>
      </c>
      <c r="AK13" s="49">
        <f t="shared" si="14"/>
        <v>0</v>
      </c>
      <c r="AL13" s="49" t="e">
        <f t="shared" si="15"/>
        <v>#DIV/0!</v>
      </c>
      <c r="AM13" s="50">
        <v>0</v>
      </c>
      <c r="AN13" s="50">
        <v>0</v>
      </c>
      <c r="AO13" s="50">
        <v>0</v>
      </c>
      <c r="AP13" s="50">
        <f t="shared" si="16"/>
        <v>0</v>
      </c>
      <c r="AQ13" s="50">
        <v>600</v>
      </c>
      <c r="AR13" s="50">
        <v>0</v>
      </c>
      <c r="AS13" s="50">
        <f t="shared" si="17"/>
        <v>600</v>
      </c>
      <c r="AT13" s="50">
        <f t="shared" si="18"/>
        <v>0</v>
      </c>
      <c r="AU13" s="50" t="e">
        <f t="shared" si="19"/>
        <v>#DIV/0!</v>
      </c>
      <c r="AV13" s="51">
        <v>0</v>
      </c>
      <c r="AW13" s="51">
        <v>0</v>
      </c>
      <c r="AX13" s="51">
        <v>0</v>
      </c>
      <c r="AY13" s="51">
        <f t="shared" si="20"/>
        <v>0</v>
      </c>
      <c r="AZ13" s="51">
        <v>1500</v>
      </c>
      <c r="BA13" s="51">
        <v>0</v>
      </c>
      <c r="BB13" s="51">
        <f t="shared" si="21"/>
        <v>1500</v>
      </c>
      <c r="BC13" s="51">
        <f t="shared" si="22"/>
        <v>0</v>
      </c>
      <c r="BD13" s="51" t="e">
        <f t="shared" si="23"/>
        <v>#DIV/0!</v>
      </c>
      <c r="BE13" s="52">
        <v>0</v>
      </c>
      <c r="BF13" s="52">
        <v>0</v>
      </c>
      <c r="BG13" s="52">
        <v>0</v>
      </c>
      <c r="BH13" s="52">
        <f t="shared" si="24"/>
        <v>0</v>
      </c>
      <c r="BI13" s="52">
        <v>750</v>
      </c>
      <c r="BJ13" s="52">
        <v>0</v>
      </c>
      <c r="BK13" s="52">
        <f t="shared" si="25"/>
        <v>750</v>
      </c>
      <c r="BL13" s="52">
        <f t="shared" si="26"/>
        <v>0</v>
      </c>
      <c r="BM13" s="52" t="e">
        <f t="shared" si="27"/>
        <v>#DIV/0!</v>
      </c>
      <c r="BN13" s="53">
        <v>0</v>
      </c>
      <c r="BO13" s="53">
        <v>0</v>
      </c>
      <c r="BP13" s="53">
        <v>0</v>
      </c>
      <c r="BQ13" s="53">
        <f t="shared" si="28"/>
        <v>0</v>
      </c>
      <c r="BR13" s="53">
        <v>2450</v>
      </c>
      <c r="BS13" s="53">
        <v>0</v>
      </c>
      <c r="BT13" s="53">
        <f t="shared" si="29"/>
        <v>2450</v>
      </c>
      <c r="BU13" s="53">
        <f t="shared" si="30"/>
        <v>0</v>
      </c>
      <c r="BV13" s="53" t="e">
        <f t="shared" si="31"/>
        <v>#DIV/0!</v>
      </c>
      <c r="BW13" s="54">
        <v>0</v>
      </c>
      <c r="BX13" s="54">
        <v>0</v>
      </c>
      <c r="BY13" s="54">
        <v>0</v>
      </c>
      <c r="BZ13" s="54">
        <f t="shared" si="32"/>
        <v>0</v>
      </c>
      <c r="CA13" s="54">
        <v>750</v>
      </c>
      <c r="CB13" s="54">
        <v>0</v>
      </c>
      <c r="CC13" s="54">
        <f t="shared" si="33"/>
        <v>750</v>
      </c>
      <c r="CD13" s="54">
        <f t="shared" si="34"/>
        <v>0</v>
      </c>
      <c r="CE13" s="54" t="e">
        <f t="shared" si="35"/>
        <v>#DIV/0!</v>
      </c>
      <c r="CF13" s="55">
        <v>0</v>
      </c>
      <c r="CG13" s="55">
        <v>0</v>
      </c>
      <c r="CH13" s="55">
        <v>0</v>
      </c>
      <c r="CI13" s="55">
        <f t="shared" si="36"/>
        <v>0</v>
      </c>
      <c r="CJ13" s="55">
        <v>730</v>
      </c>
      <c r="CK13" s="55">
        <v>0</v>
      </c>
      <c r="CL13" s="55">
        <f t="shared" si="37"/>
        <v>730</v>
      </c>
      <c r="CM13" s="55">
        <f t="shared" si="38"/>
        <v>0</v>
      </c>
      <c r="CN13" s="55" t="e">
        <f t="shared" si="39"/>
        <v>#DIV/0!</v>
      </c>
      <c r="CO13" s="56">
        <v>0</v>
      </c>
      <c r="CP13" s="56">
        <v>0</v>
      </c>
      <c r="CQ13" s="56">
        <v>0</v>
      </c>
      <c r="CR13" s="56">
        <f t="shared" si="40"/>
        <v>0</v>
      </c>
      <c r="CS13" s="56">
        <v>730</v>
      </c>
      <c r="CT13" s="56">
        <v>0</v>
      </c>
      <c r="CU13" s="56">
        <f t="shared" si="41"/>
        <v>730</v>
      </c>
      <c r="CV13" s="56">
        <f t="shared" si="42"/>
        <v>0</v>
      </c>
      <c r="CW13" s="56" t="e">
        <f t="shared" si="43"/>
        <v>#DIV/0!</v>
      </c>
      <c r="CX13" s="57">
        <v>0</v>
      </c>
      <c r="CY13" s="57">
        <v>0</v>
      </c>
      <c r="CZ13" s="57">
        <v>0</v>
      </c>
      <c r="DA13" s="57">
        <f t="shared" si="44"/>
        <v>0</v>
      </c>
      <c r="DB13" s="57">
        <v>600</v>
      </c>
      <c r="DC13" s="57">
        <v>0</v>
      </c>
      <c r="DD13" s="57">
        <f t="shared" si="45"/>
        <v>600</v>
      </c>
      <c r="DE13" s="57">
        <f t="shared" si="46"/>
        <v>0</v>
      </c>
      <c r="DF13" s="57" t="e">
        <f t="shared" si="47"/>
        <v>#DIV/0!</v>
      </c>
    </row>
    <row r="14" spans="1:110" ht="14.25" customHeight="1">
      <c r="A14" s="60"/>
      <c r="B14" s="44"/>
      <c r="C14" s="45">
        <v>0</v>
      </c>
      <c r="D14" s="45">
        <v>0</v>
      </c>
      <c r="E14" s="45">
        <v>0</v>
      </c>
      <c r="F14" s="45">
        <f t="shared" si="0"/>
        <v>0</v>
      </c>
      <c r="G14" s="45">
        <v>900</v>
      </c>
      <c r="H14" s="45">
        <v>0</v>
      </c>
      <c r="I14" s="45">
        <f t="shared" si="1"/>
        <v>900</v>
      </c>
      <c r="J14" s="45">
        <f t="shared" si="2"/>
        <v>0</v>
      </c>
      <c r="K14" s="45" t="e">
        <f t="shared" si="3"/>
        <v>#DIV/0!</v>
      </c>
      <c r="L14" s="47">
        <v>0</v>
      </c>
      <c r="M14" s="47">
        <v>0</v>
      </c>
      <c r="N14" s="47">
        <v>0</v>
      </c>
      <c r="O14" s="47">
        <f t="shared" si="4"/>
        <v>0</v>
      </c>
      <c r="P14" s="47">
        <v>1800</v>
      </c>
      <c r="Q14" s="47">
        <v>0</v>
      </c>
      <c r="R14" s="47">
        <f t="shared" si="5"/>
        <v>1800</v>
      </c>
      <c r="S14" s="47">
        <f t="shared" si="6"/>
        <v>0</v>
      </c>
      <c r="T14" s="47" t="e">
        <f t="shared" si="7"/>
        <v>#DIV/0!</v>
      </c>
      <c r="U14" s="48">
        <v>0</v>
      </c>
      <c r="V14" s="48">
        <v>0</v>
      </c>
      <c r="W14" s="48">
        <v>0</v>
      </c>
      <c r="X14" s="48">
        <f t="shared" si="8"/>
        <v>0</v>
      </c>
      <c r="Y14" s="48">
        <v>910</v>
      </c>
      <c r="Z14" s="48">
        <v>0</v>
      </c>
      <c r="AA14" s="48">
        <f t="shared" si="9"/>
        <v>910</v>
      </c>
      <c r="AB14" s="48">
        <f t="shared" si="10"/>
        <v>0</v>
      </c>
      <c r="AC14" s="48" t="e">
        <f t="shared" si="11"/>
        <v>#DIV/0!</v>
      </c>
      <c r="AD14" s="49">
        <v>0</v>
      </c>
      <c r="AE14" s="49">
        <v>0</v>
      </c>
      <c r="AF14" s="49">
        <v>0</v>
      </c>
      <c r="AG14" s="49">
        <f t="shared" si="12"/>
        <v>0</v>
      </c>
      <c r="AH14" s="49">
        <v>1200</v>
      </c>
      <c r="AI14" s="49">
        <v>0</v>
      </c>
      <c r="AJ14" s="49">
        <f t="shared" si="13"/>
        <v>1200</v>
      </c>
      <c r="AK14" s="49">
        <f t="shared" si="14"/>
        <v>0</v>
      </c>
      <c r="AL14" s="49" t="e">
        <f t="shared" si="15"/>
        <v>#DIV/0!</v>
      </c>
      <c r="AM14" s="50">
        <v>0</v>
      </c>
      <c r="AN14" s="50">
        <v>0</v>
      </c>
      <c r="AO14" s="50">
        <v>0</v>
      </c>
      <c r="AP14" s="50">
        <f t="shared" si="16"/>
        <v>0</v>
      </c>
      <c r="AQ14" s="50">
        <v>600</v>
      </c>
      <c r="AR14" s="50">
        <v>0</v>
      </c>
      <c r="AS14" s="50">
        <f t="shared" si="17"/>
        <v>600</v>
      </c>
      <c r="AT14" s="50">
        <f t="shared" si="18"/>
        <v>0</v>
      </c>
      <c r="AU14" s="50" t="e">
        <f t="shared" si="19"/>
        <v>#DIV/0!</v>
      </c>
      <c r="AV14" s="51">
        <v>0</v>
      </c>
      <c r="AW14" s="51">
        <v>0</v>
      </c>
      <c r="AX14" s="51">
        <v>0</v>
      </c>
      <c r="AY14" s="51">
        <f t="shared" si="20"/>
        <v>0</v>
      </c>
      <c r="AZ14" s="51">
        <v>1500</v>
      </c>
      <c r="BA14" s="51">
        <v>0</v>
      </c>
      <c r="BB14" s="51">
        <f t="shared" si="21"/>
        <v>1500</v>
      </c>
      <c r="BC14" s="51">
        <f t="shared" si="22"/>
        <v>0</v>
      </c>
      <c r="BD14" s="51" t="e">
        <f t="shared" si="23"/>
        <v>#DIV/0!</v>
      </c>
      <c r="BE14" s="52">
        <v>0</v>
      </c>
      <c r="BF14" s="52">
        <v>0</v>
      </c>
      <c r="BG14" s="52">
        <v>0</v>
      </c>
      <c r="BH14" s="52">
        <f t="shared" si="24"/>
        <v>0</v>
      </c>
      <c r="BI14" s="52">
        <v>750</v>
      </c>
      <c r="BJ14" s="52">
        <v>0</v>
      </c>
      <c r="BK14" s="52">
        <f t="shared" si="25"/>
        <v>750</v>
      </c>
      <c r="BL14" s="52">
        <f t="shared" si="26"/>
        <v>0</v>
      </c>
      <c r="BM14" s="52" t="e">
        <f t="shared" si="27"/>
        <v>#DIV/0!</v>
      </c>
      <c r="BN14" s="53">
        <v>0</v>
      </c>
      <c r="BO14" s="53">
        <v>0</v>
      </c>
      <c r="BP14" s="53">
        <v>0</v>
      </c>
      <c r="BQ14" s="53">
        <f t="shared" si="28"/>
        <v>0</v>
      </c>
      <c r="BR14" s="53">
        <v>2450</v>
      </c>
      <c r="BS14" s="53">
        <v>0</v>
      </c>
      <c r="BT14" s="53">
        <f t="shared" si="29"/>
        <v>2450</v>
      </c>
      <c r="BU14" s="53">
        <f t="shared" si="30"/>
        <v>0</v>
      </c>
      <c r="BV14" s="53" t="e">
        <f t="shared" si="31"/>
        <v>#DIV/0!</v>
      </c>
      <c r="BW14" s="54">
        <v>0</v>
      </c>
      <c r="BX14" s="54">
        <v>0</v>
      </c>
      <c r="BY14" s="54">
        <v>0</v>
      </c>
      <c r="BZ14" s="54">
        <f t="shared" si="32"/>
        <v>0</v>
      </c>
      <c r="CA14" s="54">
        <v>750</v>
      </c>
      <c r="CB14" s="54">
        <v>0</v>
      </c>
      <c r="CC14" s="54">
        <f t="shared" si="33"/>
        <v>750</v>
      </c>
      <c r="CD14" s="54">
        <f t="shared" si="34"/>
        <v>0</v>
      </c>
      <c r="CE14" s="54" t="e">
        <f t="shared" si="35"/>
        <v>#DIV/0!</v>
      </c>
      <c r="CF14" s="55">
        <v>0</v>
      </c>
      <c r="CG14" s="55">
        <v>0</v>
      </c>
      <c r="CH14" s="55">
        <v>0</v>
      </c>
      <c r="CI14" s="55">
        <f t="shared" si="36"/>
        <v>0</v>
      </c>
      <c r="CJ14" s="55">
        <v>730</v>
      </c>
      <c r="CK14" s="55">
        <v>0</v>
      </c>
      <c r="CL14" s="55">
        <f t="shared" si="37"/>
        <v>730</v>
      </c>
      <c r="CM14" s="55">
        <f t="shared" si="38"/>
        <v>0</v>
      </c>
      <c r="CN14" s="55" t="e">
        <f t="shared" si="39"/>
        <v>#DIV/0!</v>
      </c>
      <c r="CO14" s="56">
        <v>0</v>
      </c>
      <c r="CP14" s="56">
        <v>0</v>
      </c>
      <c r="CQ14" s="56">
        <v>0</v>
      </c>
      <c r="CR14" s="56">
        <f t="shared" si="40"/>
        <v>0</v>
      </c>
      <c r="CS14" s="56">
        <v>730</v>
      </c>
      <c r="CT14" s="56">
        <v>0</v>
      </c>
      <c r="CU14" s="56">
        <f t="shared" si="41"/>
        <v>730</v>
      </c>
      <c r="CV14" s="56">
        <f t="shared" si="42"/>
        <v>0</v>
      </c>
      <c r="CW14" s="56" t="e">
        <f t="shared" si="43"/>
        <v>#DIV/0!</v>
      </c>
      <c r="CX14" s="57">
        <v>0</v>
      </c>
      <c r="CY14" s="57">
        <v>0</v>
      </c>
      <c r="CZ14" s="57">
        <v>0</v>
      </c>
      <c r="DA14" s="57">
        <f t="shared" si="44"/>
        <v>0</v>
      </c>
      <c r="DB14" s="57">
        <v>600</v>
      </c>
      <c r="DC14" s="57">
        <v>0</v>
      </c>
      <c r="DD14" s="57">
        <f t="shared" si="45"/>
        <v>600</v>
      </c>
      <c r="DE14" s="57">
        <f t="shared" si="46"/>
        <v>0</v>
      </c>
      <c r="DF14" s="57" t="e">
        <f t="shared" si="47"/>
        <v>#DIV/0!</v>
      </c>
    </row>
    <row r="15" spans="1:110" ht="14.25" customHeight="1">
      <c r="A15" s="60"/>
      <c r="B15" s="44"/>
      <c r="C15" s="45">
        <v>0</v>
      </c>
      <c r="D15" s="45">
        <v>0</v>
      </c>
      <c r="E15" s="45">
        <v>0</v>
      </c>
      <c r="F15" s="45">
        <f t="shared" si="0"/>
        <v>0</v>
      </c>
      <c r="G15" s="45">
        <v>900</v>
      </c>
      <c r="H15" s="45">
        <v>0</v>
      </c>
      <c r="I15" s="45">
        <f t="shared" si="1"/>
        <v>900</v>
      </c>
      <c r="J15" s="45">
        <f t="shared" si="2"/>
        <v>0</v>
      </c>
      <c r="K15" s="45" t="e">
        <f t="shared" si="3"/>
        <v>#DIV/0!</v>
      </c>
      <c r="L15" s="47">
        <v>0</v>
      </c>
      <c r="M15" s="47">
        <v>0</v>
      </c>
      <c r="N15" s="47">
        <v>0</v>
      </c>
      <c r="O15" s="47">
        <f t="shared" si="4"/>
        <v>0</v>
      </c>
      <c r="P15" s="47">
        <v>1800</v>
      </c>
      <c r="Q15" s="47">
        <v>0</v>
      </c>
      <c r="R15" s="47">
        <f t="shared" si="5"/>
        <v>1800</v>
      </c>
      <c r="S15" s="47">
        <f t="shared" si="6"/>
        <v>0</v>
      </c>
      <c r="T15" s="47" t="e">
        <f t="shared" si="7"/>
        <v>#DIV/0!</v>
      </c>
      <c r="U15" s="48">
        <v>0</v>
      </c>
      <c r="V15" s="48">
        <v>0</v>
      </c>
      <c r="W15" s="48">
        <v>0</v>
      </c>
      <c r="X15" s="48">
        <f t="shared" si="8"/>
        <v>0</v>
      </c>
      <c r="Y15" s="48">
        <v>910</v>
      </c>
      <c r="Z15" s="48">
        <v>0</v>
      </c>
      <c r="AA15" s="48">
        <f t="shared" si="9"/>
        <v>910</v>
      </c>
      <c r="AB15" s="48">
        <f t="shared" si="10"/>
        <v>0</v>
      </c>
      <c r="AC15" s="48" t="e">
        <f t="shared" si="11"/>
        <v>#DIV/0!</v>
      </c>
      <c r="AD15" s="49">
        <v>0</v>
      </c>
      <c r="AE15" s="49">
        <v>0</v>
      </c>
      <c r="AF15" s="49">
        <v>0</v>
      </c>
      <c r="AG15" s="49">
        <f t="shared" si="12"/>
        <v>0</v>
      </c>
      <c r="AH15" s="49">
        <v>1200</v>
      </c>
      <c r="AI15" s="49">
        <v>0</v>
      </c>
      <c r="AJ15" s="49">
        <f t="shared" si="13"/>
        <v>1200</v>
      </c>
      <c r="AK15" s="49">
        <f t="shared" si="14"/>
        <v>0</v>
      </c>
      <c r="AL15" s="49" t="e">
        <f t="shared" si="15"/>
        <v>#DIV/0!</v>
      </c>
      <c r="AM15" s="50">
        <v>0</v>
      </c>
      <c r="AN15" s="50">
        <v>0</v>
      </c>
      <c r="AO15" s="50">
        <v>0</v>
      </c>
      <c r="AP15" s="50">
        <f t="shared" si="16"/>
        <v>0</v>
      </c>
      <c r="AQ15" s="50">
        <v>600</v>
      </c>
      <c r="AR15" s="50">
        <v>0</v>
      </c>
      <c r="AS15" s="50">
        <f t="shared" si="17"/>
        <v>600</v>
      </c>
      <c r="AT15" s="50">
        <f t="shared" si="18"/>
        <v>0</v>
      </c>
      <c r="AU15" s="50" t="e">
        <f t="shared" si="19"/>
        <v>#DIV/0!</v>
      </c>
      <c r="AV15" s="51">
        <v>0</v>
      </c>
      <c r="AW15" s="51">
        <v>0</v>
      </c>
      <c r="AX15" s="51">
        <v>0</v>
      </c>
      <c r="AY15" s="51">
        <f t="shared" si="20"/>
        <v>0</v>
      </c>
      <c r="AZ15" s="51">
        <v>1500</v>
      </c>
      <c r="BA15" s="51">
        <v>0</v>
      </c>
      <c r="BB15" s="51">
        <f t="shared" si="21"/>
        <v>1500</v>
      </c>
      <c r="BC15" s="51">
        <f t="shared" si="22"/>
        <v>0</v>
      </c>
      <c r="BD15" s="51" t="e">
        <f t="shared" si="23"/>
        <v>#DIV/0!</v>
      </c>
      <c r="BE15" s="52">
        <v>0</v>
      </c>
      <c r="BF15" s="52">
        <v>0</v>
      </c>
      <c r="BG15" s="52">
        <v>0</v>
      </c>
      <c r="BH15" s="52">
        <f t="shared" si="24"/>
        <v>0</v>
      </c>
      <c r="BI15" s="52">
        <v>750</v>
      </c>
      <c r="BJ15" s="52">
        <v>0</v>
      </c>
      <c r="BK15" s="52">
        <f t="shared" si="25"/>
        <v>750</v>
      </c>
      <c r="BL15" s="52">
        <f t="shared" si="26"/>
        <v>0</v>
      </c>
      <c r="BM15" s="52" t="e">
        <f t="shared" si="27"/>
        <v>#DIV/0!</v>
      </c>
      <c r="BN15" s="53">
        <v>0</v>
      </c>
      <c r="BO15" s="53">
        <v>0</v>
      </c>
      <c r="BP15" s="53">
        <v>0</v>
      </c>
      <c r="BQ15" s="53">
        <f t="shared" si="28"/>
        <v>0</v>
      </c>
      <c r="BR15" s="53">
        <v>2450</v>
      </c>
      <c r="BS15" s="53">
        <v>0</v>
      </c>
      <c r="BT15" s="53">
        <f t="shared" si="29"/>
        <v>2450</v>
      </c>
      <c r="BU15" s="53">
        <f t="shared" si="30"/>
        <v>0</v>
      </c>
      <c r="BV15" s="53" t="e">
        <f t="shared" si="31"/>
        <v>#DIV/0!</v>
      </c>
      <c r="BW15" s="54">
        <v>0</v>
      </c>
      <c r="BX15" s="54">
        <v>0</v>
      </c>
      <c r="BY15" s="54">
        <v>0</v>
      </c>
      <c r="BZ15" s="54">
        <f t="shared" si="32"/>
        <v>0</v>
      </c>
      <c r="CA15" s="54">
        <v>750</v>
      </c>
      <c r="CB15" s="54">
        <v>0</v>
      </c>
      <c r="CC15" s="54">
        <f t="shared" si="33"/>
        <v>750</v>
      </c>
      <c r="CD15" s="54">
        <f t="shared" si="34"/>
        <v>0</v>
      </c>
      <c r="CE15" s="54" t="e">
        <f t="shared" si="35"/>
        <v>#DIV/0!</v>
      </c>
      <c r="CF15" s="55">
        <v>0</v>
      </c>
      <c r="CG15" s="55">
        <v>0</v>
      </c>
      <c r="CH15" s="55">
        <v>0</v>
      </c>
      <c r="CI15" s="55">
        <f t="shared" si="36"/>
        <v>0</v>
      </c>
      <c r="CJ15" s="55">
        <v>730</v>
      </c>
      <c r="CK15" s="55">
        <v>0</v>
      </c>
      <c r="CL15" s="55">
        <f t="shared" si="37"/>
        <v>730</v>
      </c>
      <c r="CM15" s="55">
        <f t="shared" si="38"/>
        <v>0</v>
      </c>
      <c r="CN15" s="55" t="e">
        <f t="shared" si="39"/>
        <v>#DIV/0!</v>
      </c>
      <c r="CO15" s="56">
        <v>0</v>
      </c>
      <c r="CP15" s="56">
        <v>0</v>
      </c>
      <c r="CQ15" s="56">
        <v>0</v>
      </c>
      <c r="CR15" s="56">
        <f t="shared" si="40"/>
        <v>0</v>
      </c>
      <c r="CS15" s="56">
        <v>730</v>
      </c>
      <c r="CT15" s="56">
        <v>0</v>
      </c>
      <c r="CU15" s="56">
        <f t="shared" si="41"/>
        <v>730</v>
      </c>
      <c r="CV15" s="56">
        <f t="shared" si="42"/>
        <v>0</v>
      </c>
      <c r="CW15" s="56" t="e">
        <f t="shared" si="43"/>
        <v>#DIV/0!</v>
      </c>
      <c r="CX15" s="57">
        <v>0</v>
      </c>
      <c r="CY15" s="57">
        <v>0</v>
      </c>
      <c r="CZ15" s="57">
        <v>0</v>
      </c>
      <c r="DA15" s="57">
        <f t="shared" si="44"/>
        <v>0</v>
      </c>
      <c r="DB15" s="57">
        <v>600</v>
      </c>
      <c r="DC15" s="57">
        <v>0</v>
      </c>
      <c r="DD15" s="57">
        <f t="shared" si="45"/>
        <v>600</v>
      </c>
      <c r="DE15" s="57">
        <f t="shared" si="46"/>
        <v>0</v>
      </c>
      <c r="DF15" s="57" t="e">
        <f t="shared" si="47"/>
        <v>#DIV/0!</v>
      </c>
    </row>
    <row r="16" spans="1:110" ht="14.25" customHeight="1">
      <c r="A16" s="60"/>
      <c r="B16" s="44"/>
      <c r="C16" s="45">
        <v>0</v>
      </c>
      <c r="D16" s="45">
        <v>0</v>
      </c>
      <c r="E16" s="45">
        <v>0</v>
      </c>
      <c r="F16" s="45">
        <f t="shared" si="0"/>
        <v>0</v>
      </c>
      <c r="G16" s="45">
        <v>900</v>
      </c>
      <c r="H16" s="45">
        <v>0</v>
      </c>
      <c r="I16" s="45">
        <f t="shared" si="1"/>
        <v>900</v>
      </c>
      <c r="J16" s="45">
        <f t="shared" si="2"/>
        <v>0</v>
      </c>
      <c r="K16" s="45" t="e">
        <f t="shared" si="3"/>
        <v>#DIV/0!</v>
      </c>
      <c r="L16" s="47">
        <v>0</v>
      </c>
      <c r="M16" s="47">
        <v>0</v>
      </c>
      <c r="N16" s="47">
        <v>0</v>
      </c>
      <c r="O16" s="47">
        <f t="shared" si="4"/>
        <v>0</v>
      </c>
      <c r="P16" s="47">
        <v>1800</v>
      </c>
      <c r="Q16" s="47">
        <v>0</v>
      </c>
      <c r="R16" s="47">
        <f t="shared" si="5"/>
        <v>1800</v>
      </c>
      <c r="S16" s="47">
        <f t="shared" si="6"/>
        <v>0</v>
      </c>
      <c r="T16" s="47" t="e">
        <f t="shared" si="7"/>
        <v>#DIV/0!</v>
      </c>
      <c r="U16" s="48">
        <v>0</v>
      </c>
      <c r="V16" s="48">
        <v>0</v>
      </c>
      <c r="W16" s="48">
        <v>0</v>
      </c>
      <c r="X16" s="48">
        <f t="shared" si="8"/>
        <v>0</v>
      </c>
      <c r="Y16" s="48">
        <v>910</v>
      </c>
      <c r="Z16" s="48">
        <v>0</v>
      </c>
      <c r="AA16" s="48">
        <f t="shared" si="9"/>
        <v>910</v>
      </c>
      <c r="AB16" s="48">
        <f t="shared" si="10"/>
        <v>0</v>
      </c>
      <c r="AC16" s="48" t="e">
        <f t="shared" si="11"/>
        <v>#DIV/0!</v>
      </c>
      <c r="AD16" s="49">
        <v>0</v>
      </c>
      <c r="AE16" s="49">
        <v>0</v>
      </c>
      <c r="AF16" s="49">
        <v>0</v>
      </c>
      <c r="AG16" s="49">
        <f t="shared" si="12"/>
        <v>0</v>
      </c>
      <c r="AH16" s="49">
        <v>1200</v>
      </c>
      <c r="AI16" s="49">
        <v>0</v>
      </c>
      <c r="AJ16" s="49">
        <f t="shared" si="13"/>
        <v>1200</v>
      </c>
      <c r="AK16" s="49">
        <f t="shared" si="14"/>
        <v>0</v>
      </c>
      <c r="AL16" s="49" t="e">
        <f t="shared" si="15"/>
        <v>#DIV/0!</v>
      </c>
      <c r="AM16" s="50">
        <v>0</v>
      </c>
      <c r="AN16" s="50">
        <v>0</v>
      </c>
      <c r="AO16" s="50">
        <v>0</v>
      </c>
      <c r="AP16" s="50">
        <f t="shared" si="16"/>
        <v>0</v>
      </c>
      <c r="AQ16" s="50">
        <v>600</v>
      </c>
      <c r="AR16" s="50">
        <v>0</v>
      </c>
      <c r="AS16" s="50">
        <f t="shared" si="17"/>
        <v>600</v>
      </c>
      <c r="AT16" s="50">
        <f t="shared" si="18"/>
        <v>0</v>
      </c>
      <c r="AU16" s="50" t="e">
        <f t="shared" si="19"/>
        <v>#DIV/0!</v>
      </c>
      <c r="AV16" s="51">
        <v>0</v>
      </c>
      <c r="AW16" s="51">
        <v>0</v>
      </c>
      <c r="AX16" s="51">
        <v>0</v>
      </c>
      <c r="AY16" s="51">
        <f t="shared" si="20"/>
        <v>0</v>
      </c>
      <c r="AZ16" s="51">
        <v>1500</v>
      </c>
      <c r="BA16" s="51">
        <v>0</v>
      </c>
      <c r="BB16" s="51">
        <f t="shared" si="21"/>
        <v>1500</v>
      </c>
      <c r="BC16" s="51">
        <f t="shared" si="22"/>
        <v>0</v>
      </c>
      <c r="BD16" s="51" t="e">
        <f t="shared" si="23"/>
        <v>#DIV/0!</v>
      </c>
      <c r="BE16" s="52">
        <v>0</v>
      </c>
      <c r="BF16" s="52">
        <v>0</v>
      </c>
      <c r="BG16" s="52">
        <v>0</v>
      </c>
      <c r="BH16" s="52">
        <f t="shared" si="24"/>
        <v>0</v>
      </c>
      <c r="BI16" s="52">
        <v>750</v>
      </c>
      <c r="BJ16" s="52">
        <v>0</v>
      </c>
      <c r="BK16" s="52">
        <f t="shared" si="25"/>
        <v>750</v>
      </c>
      <c r="BL16" s="52">
        <f t="shared" si="26"/>
        <v>0</v>
      </c>
      <c r="BM16" s="52" t="e">
        <f t="shared" si="27"/>
        <v>#DIV/0!</v>
      </c>
      <c r="BN16" s="53">
        <v>0</v>
      </c>
      <c r="BO16" s="53">
        <v>0</v>
      </c>
      <c r="BP16" s="53">
        <v>0</v>
      </c>
      <c r="BQ16" s="53">
        <f t="shared" si="28"/>
        <v>0</v>
      </c>
      <c r="BR16" s="53">
        <v>2450</v>
      </c>
      <c r="BS16" s="53">
        <v>0</v>
      </c>
      <c r="BT16" s="53">
        <f t="shared" si="29"/>
        <v>2450</v>
      </c>
      <c r="BU16" s="53">
        <f t="shared" si="30"/>
        <v>0</v>
      </c>
      <c r="BV16" s="53" t="e">
        <f t="shared" si="31"/>
        <v>#DIV/0!</v>
      </c>
      <c r="BW16" s="54">
        <v>0</v>
      </c>
      <c r="BX16" s="54">
        <v>0</v>
      </c>
      <c r="BY16" s="54">
        <v>0</v>
      </c>
      <c r="BZ16" s="54">
        <f t="shared" si="32"/>
        <v>0</v>
      </c>
      <c r="CA16" s="54">
        <v>750</v>
      </c>
      <c r="CB16" s="54">
        <v>0</v>
      </c>
      <c r="CC16" s="54">
        <f t="shared" si="33"/>
        <v>750</v>
      </c>
      <c r="CD16" s="54">
        <f t="shared" si="34"/>
        <v>0</v>
      </c>
      <c r="CE16" s="54" t="e">
        <f t="shared" si="35"/>
        <v>#DIV/0!</v>
      </c>
      <c r="CF16" s="55">
        <v>0</v>
      </c>
      <c r="CG16" s="55">
        <v>0</v>
      </c>
      <c r="CH16" s="55">
        <v>0</v>
      </c>
      <c r="CI16" s="55">
        <f t="shared" si="36"/>
        <v>0</v>
      </c>
      <c r="CJ16" s="55">
        <v>730</v>
      </c>
      <c r="CK16" s="55">
        <v>0</v>
      </c>
      <c r="CL16" s="55">
        <f t="shared" si="37"/>
        <v>730</v>
      </c>
      <c r="CM16" s="55">
        <f t="shared" si="38"/>
        <v>0</v>
      </c>
      <c r="CN16" s="55" t="e">
        <f t="shared" si="39"/>
        <v>#DIV/0!</v>
      </c>
      <c r="CO16" s="56">
        <v>0</v>
      </c>
      <c r="CP16" s="56">
        <v>0</v>
      </c>
      <c r="CQ16" s="56">
        <v>0</v>
      </c>
      <c r="CR16" s="56">
        <f t="shared" si="40"/>
        <v>0</v>
      </c>
      <c r="CS16" s="56">
        <v>730</v>
      </c>
      <c r="CT16" s="56">
        <v>0</v>
      </c>
      <c r="CU16" s="56">
        <f t="shared" si="41"/>
        <v>730</v>
      </c>
      <c r="CV16" s="56">
        <f t="shared" si="42"/>
        <v>0</v>
      </c>
      <c r="CW16" s="56" t="e">
        <f t="shared" si="43"/>
        <v>#DIV/0!</v>
      </c>
      <c r="CX16" s="57">
        <v>0</v>
      </c>
      <c r="CY16" s="57">
        <v>0</v>
      </c>
      <c r="CZ16" s="57">
        <v>0</v>
      </c>
      <c r="DA16" s="57">
        <f t="shared" si="44"/>
        <v>0</v>
      </c>
      <c r="DB16" s="57">
        <v>600</v>
      </c>
      <c r="DC16" s="57">
        <v>0</v>
      </c>
      <c r="DD16" s="57">
        <f t="shared" si="45"/>
        <v>600</v>
      </c>
      <c r="DE16" s="57">
        <f t="shared" si="46"/>
        <v>0</v>
      </c>
      <c r="DF16" s="57" t="e">
        <f t="shared" si="47"/>
        <v>#DIV/0!</v>
      </c>
    </row>
    <row r="17" spans="1:110" ht="14.25" customHeight="1">
      <c r="A17" s="60"/>
      <c r="B17" s="44"/>
      <c r="C17" s="45">
        <v>0</v>
      </c>
      <c r="D17" s="45">
        <v>0</v>
      </c>
      <c r="E17" s="45">
        <v>0</v>
      </c>
      <c r="F17" s="45">
        <f t="shared" si="0"/>
        <v>0</v>
      </c>
      <c r="G17" s="45">
        <v>900</v>
      </c>
      <c r="H17" s="45">
        <v>0</v>
      </c>
      <c r="I17" s="45">
        <f t="shared" si="1"/>
        <v>900</v>
      </c>
      <c r="J17" s="45">
        <f t="shared" si="2"/>
        <v>0</v>
      </c>
      <c r="K17" s="45" t="e">
        <f t="shared" si="3"/>
        <v>#DIV/0!</v>
      </c>
      <c r="L17" s="47">
        <v>0</v>
      </c>
      <c r="M17" s="47">
        <v>0</v>
      </c>
      <c r="N17" s="47">
        <v>0</v>
      </c>
      <c r="O17" s="47">
        <f t="shared" si="4"/>
        <v>0</v>
      </c>
      <c r="P17" s="47">
        <v>1800</v>
      </c>
      <c r="Q17" s="47">
        <v>0</v>
      </c>
      <c r="R17" s="47">
        <f t="shared" si="5"/>
        <v>1800</v>
      </c>
      <c r="S17" s="47">
        <f t="shared" si="6"/>
        <v>0</v>
      </c>
      <c r="T17" s="47" t="e">
        <f t="shared" si="7"/>
        <v>#DIV/0!</v>
      </c>
      <c r="U17" s="48">
        <v>0</v>
      </c>
      <c r="V17" s="48">
        <v>0</v>
      </c>
      <c r="W17" s="48">
        <v>0</v>
      </c>
      <c r="X17" s="48">
        <f t="shared" si="8"/>
        <v>0</v>
      </c>
      <c r="Y17" s="48">
        <v>910</v>
      </c>
      <c r="Z17" s="48">
        <v>0</v>
      </c>
      <c r="AA17" s="48">
        <f t="shared" si="9"/>
        <v>910</v>
      </c>
      <c r="AB17" s="48">
        <f t="shared" si="10"/>
        <v>0</v>
      </c>
      <c r="AC17" s="48" t="e">
        <f t="shared" si="11"/>
        <v>#DIV/0!</v>
      </c>
      <c r="AD17" s="49">
        <v>0</v>
      </c>
      <c r="AE17" s="49">
        <v>0</v>
      </c>
      <c r="AF17" s="49">
        <v>0</v>
      </c>
      <c r="AG17" s="49">
        <f t="shared" si="12"/>
        <v>0</v>
      </c>
      <c r="AH17" s="49">
        <v>1200</v>
      </c>
      <c r="AI17" s="49">
        <v>0</v>
      </c>
      <c r="AJ17" s="49">
        <f t="shared" si="13"/>
        <v>1200</v>
      </c>
      <c r="AK17" s="49">
        <f t="shared" si="14"/>
        <v>0</v>
      </c>
      <c r="AL17" s="49" t="e">
        <f t="shared" si="15"/>
        <v>#DIV/0!</v>
      </c>
      <c r="AM17" s="50">
        <v>0</v>
      </c>
      <c r="AN17" s="50">
        <v>0</v>
      </c>
      <c r="AO17" s="50">
        <v>0</v>
      </c>
      <c r="AP17" s="50">
        <f t="shared" si="16"/>
        <v>0</v>
      </c>
      <c r="AQ17" s="50">
        <v>600</v>
      </c>
      <c r="AR17" s="50">
        <v>0</v>
      </c>
      <c r="AS17" s="50">
        <f t="shared" si="17"/>
        <v>600</v>
      </c>
      <c r="AT17" s="50">
        <f t="shared" si="18"/>
        <v>0</v>
      </c>
      <c r="AU17" s="50" t="e">
        <f t="shared" si="19"/>
        <v>#DIV/0!</v>
      </c>
      <c r="AV17" s="51">
        <v>0</v>
      </c>
      <c r="AW17" s="51">
        <v>0</v>
      </c>
      <c r="AX17" s="51">
        <v>0</v>
      </c>
      <c r="AY17" s="51">
        <f t="shared" si="20"/>
        <v>0</v>
      </c>
      <c r="AZ17" s="51">
        <v>1500</v>
      </c>
      <c r="BA17" s="51">
        <v>0</v>
      </c>
      <c r="BB17" s="51">
        <f t="shared" si="21"/>
        <v>1500</v>
      </c>
      <c r="BC17" s="51">
        <f t="shared" si="22"/>
        <v>0</v>
      </c>
      <c r="BD17" s="51" t="e">
        <f t="shared" si="23"/>
        <v>#DIV/0!</v>
      </c>
      <c r="BE17" s="52">
        <v>0</v>
      </c>
      <c r="BF17" s="52">
        <v>0</v>
      </c>
      <c r="BG17" s="52">
        <v>0</v>
      </c>
      <c r="BH17" s="52">
        <f t="shared" si="24"/>
        <v>0</v>
      </c>
      <c r="BI17" s="52">
        <v>750</v>
      </c>
      <c r="BJ17" s="52">
        <v>0</v>
      </c>
      <c r="BK17" s="52">
        <f t="shared" si="25"/>
        <v>750</v>
      </c>
      <c r="BL17" s="52">
        <f t="shared" si="26"/>
        <v>0</v>
      </c>
      <c r="BM17" s="52" t="e">
        <f t="shared" si="27"/>
        <v>#DIV/0!</v>
      </c>
      <c r="BN17" s="53">
        <v>0</v>
      </c>
      <c r="BO17" s="53">
        <v>0</v>
      </c>
      <c r="BP17" s="53">
        <v>0</v>
      </c>
      <c r="BQ17" s="53">
        <f t="shared" si="28"/>
        <v>0</v>
      </c>
      <c r="BR17" s="53">
        <v>2450</v>
      </c>
      <c r="BS17" s="53">
        <v>0</v>
      </c>
      <c r="BT17" s="53">
        <f t="shared" si="29"/>
        <v>2450</v>
      </c>
      <c r="BU17" s="53">
        <f t="shared" si="30"/>
        <v>0</v>
      </c>
      <c r="BV17" s="53" t="e">
        <f t="shared" si="31"/>
        <v>#DIV/0!</v>
      </c>
      <c r="BW17" s="54">
        <v>0</v>
      </c>
      <c r="BX17" s="54">
        <v>0</v>
      </c>
      <c r="BY17" s="54">
        <v>0</v>
      </c>
      <c r="BZ17" s="54">
        <f t="shared" si="32"/>
        <v>0</v>
      </c>
      <c r="CA17" s="54">
        <v>750</v>
      </c>
      <c r="CB17" s="54">
        <v>0</v>
      </c>
      <c r="CC17" s="54">
        <f t="shared" si="33"/>
        <v>750</v>
      </c>
      <c r="CD17" s="54">
        <f t="shared" si="34"/>
        <v>0</v>
      </c>
      <c r="CE17" s="54" t="e">
        <f t="shared" si="35"/>
        <v>#DIV/0!</v>
      </c>
      <c r="CF17" s="55">
        <v>0</v>
      </c>
      <c r="CG17" s="55">
        <v>0</v>
      </c>
      <c r="CH17" s="55">
        <v>0</v>
      </c>
      <c r="CI17" s="55">
        <f t="shared" si="36"/>
        <v>0</v>
      </c>
      <c r="CJ17" s="55">
        <v>730</v>
      </c>
      <c r="CK17" s="55">
        <v>0</v>
      </c>
      <c r="CL17" s="55">
        <f t="shared" si="37"/>
        <v>730</v>
      </c>
      <c r="CM17" s="55">
        <f t="shared" si="38"/>
        <v>0</v>
      </c>
      <c r="CN17" s="55" t="e">
        <f t="shared" si="39"/>
        <v>#DIV/0!</v>
      </c>
      <c r="CO17" s="56">
        <v>0</v>
      </c>
      <c r="CP17" s="56">
        <v>0</v>
      </c>
      <c r="CQ17" s="56">
        <v>0</v>
      </c>
      <c r="CR17" s="56">
        <f t="shared" si="40"/>
        <v>0</v>
      </c>
      <c r="CS17" s="56">
        <v>730</v>
      </c>
      <c r="CT17" s="56">
        <v>0</v>
      </c>
      <c r="CU17" s="56">
        <f t="shared" si="41"/>
        <v>730</v>
      </c>
      <c r="CV17" s="56">
        <f t="shared" si="42"/>
        <v>0</v>
      </c>
      <c r="CW17" s="56" t="e">
        <f t="shared" si="43"/>
        <v>#DIV/0!</v>
      </c>
      <c r="CX17" s="57">
        <v>0</v>
      </c>
      <c r="CY17" s="57">
        <v>0</v>
      </c>
      <c r="CZ17" s="57">
        <v>0</v>
      </c>
      <c r="DA17" s="57">
        <f t="shared" si="44"/>
        <v>0</v>
      </c>
      <c r="DB17" s="57">
        <v>600</v>
      </c>
      <c r="DC17" s="57">
        <v>0</v>
      </c>
      <c r="DD17" s="57">
        <f t="shared" si="45"/>
        <v>600</v>
      </c>
      <c r="DE17" s="57">
        <f t="shared" si="46"/>
        <v>0</v>
      </c>
      <c r="DF17" s="57" t="e">
        <f t="shared" si="47"/>
        <v>#DIV/0!</v>
      </c>
    </row>
    <row r="18" spans="1:110" ht="14.25" customHeight="1">
      <c r="A18" s="60"/>
      <c r="B18" s="44"/>
      <c r="C18" s="45">
        <v>0</v>
      </c>
      <c r="D18" s="45">
        <v>0</v>
      </c>
      <c r="E18" s="45">
        <v>0</v>
      </c>
      <c r="F18" s="45">
        <f t="shared" si="0"/>
        <v>0</v>
      </c>
      <c r="G18" s="45">
        <v>900</v>
      </c>
      <c r="H18" s="45">
        <v>0</v>
      </c>
      <c r="I18" s="45">
        <f t="shared" si="1"/>
        <v>900</v>
      </c>
      <c r="J18" s="45">
        <f t="shared" si="2"/>
        <v>0</v>
      </c>
      <c r="K18" s="45" t="e">
        <f t="shared" si="3"/>
        <v>#DIV/0!</v>
      </c>
      <c r="L18" s="47">
        <v>0</v>
      </c>
      <c r="M18" s="47">
        <v>0</v>
      </c>
      <c r="N18" s="47">
        <v>0</v>
      </c>
      <c r="O18" s="47">
        <f t="shared" si="4"/>
        <v>0</v>
      </c>
      <c r="P18" s="47">
        <v>1800</v>
      </c>
      <c r="Q18" s="47">
        <v>0</v>
      </c>
      <c r="R18" s="47">
        <f t="shared" si="5"/>
        <v>1800</v>
      </c>
      <c r="S18" s="47">
        <f t="shared" si="6"/>
        <v>0</v>
      </c>
      <c r="T18" s="47" t="e">
        <f t="shared" si="7"/>
        <v>#DIV/0!</v>
      </c>
      <c r="U18" s="48">
        <v>0</v>
      </c>
      <c r="V18" s="48">
        <v>0</v>
      </c>
      <c r="W18" s="48">
        <v>0</v>
      </c>
      <c r="X18" s="48">
        <f t="shared" si="8"/>
        <v>0</v>
      </c>
      <c r="Y18" s="48">
        <v>910</v>
      </c>
      <c r="Z18" s="48">
        <v>0</v>
      </c>
      <c r="AA18" s="48">
        <f t="shared" si="9"/>
        <v>910</v>
      </c>
      <c r="AB18" s="48">
        <f t="shared" si="10"/>
        <v>0</v>
      </c>
      <c r="AC18" s="48" t="e">
        <f t="shared" si="11"/>
        <v>#DIV/0!</v>
      </c>
      <c r="AD18" s="49">
        <v>0</v>
      </c>
      <c r="AE18" s="49">
        <v>0</v>
      </c>
      <c r="AF18" s="49">
        <v>0</v>
      </c>
      <c r="AG18" s="49">
        <f t="shared" si="12"/>
        <v>0</v>
      </c>
      <c r="AH18" s="49">
        <v>1200</v>
      </c>
      <c r="AI18" s="49">
        <v>0</v>
      </c>
      <c r="AJ18" s="49">
        <f t="shared" si="13"/>
        <v>1200</v>
      </c>
      <c r="AK18" s="49">
        <f t="shared" si="14"/>
        <v>0</v>
      </c>
      <c r="AL18" s="49" t="e">
        <f t="shared" si="15"/>
        <v>#DIV/0!</v>
      </c>
      <c r="AM18" s="50">
        <v>0</v>
      </c>
      <c r="AN18" s="50">
        <v>0</v>
      </c>
      <c r="AO18" s="50">
        <v>0</v>
      </c>
      <c r="AP18" s="50">
        <f t="shared" si="16"/>
        <v>0</v>
      </c>
      <c r="AQ18" s="50">
        <v>600</v>
      </c>
      <c r="AR18" s="50">
        <v>0</v>
      </c>
      <c r="AS18" s="50">
        <f t="shared" si="17"/>
        <v>600</v>
      </c>
      <c r="AT18" s="50">
        <f t="shared" si="18"/>
        <v>0</v>
      </c>
      <c r="AU18" s="50" t="e">
        <f t="shared" si="19"/>
        <v>#DIV/0!</v>
      </c>
      <c r="AV18" s="51">
        <v>0</v>
      </c>
      <c r="AW18" s="51">
        <v>0</v>
      </c>
      <c r="AX18" s="51">
        <v>0</v>
      </c>
      <c r="AY18" s="51">
        <f t="shared" si="20"/>
        <v>0</v>
      </c>
      <c r="AZ18" s="51">
        <v>1500</v>
      </c>
      <c r="BA18" s="51">
        <v>0</v>
      </c>
      <c r="BB18" s="51">
        <f t="shared" si="21"/>
        <v>1500</v>
      </c>
      <c r="BC18" s="51">
        <f t="shared" si="22"/>
        <v>0</v>
      </c>
      <c r="BD18" s="51" t="e">
        <f t="shared" si="23"/>
        <v>#DIV/0!</v>
      </c>
      <c r="BE18" s="52">
        <v>0</v>
      </c>
      <c r="BF18" s="52">
        <v>0</v>
      </c>
      <c r="BG18" s="52">
        <v>0</v>
      </c>
      <c r="BH18" s="52">
        <f t="shared" si="24"/>
        <v>0</v>
      </c>
      <c r="BI18" s="52">
        <v>750</v>
      </c>
      <c r="BJ18" s="52">
        <v>0</v>
      </c>
      <c r="BK18" s="52">
        <f t="shared" si="25"/>
        <v>750</v>
      </c>
      <c r="BL18" s="52">
        <f t="shared" si="26"/>
        <v>0</v>
      </c>
      <c r="BM18" s="52" t="e">
        <f t="shared" si="27"/>
        <v>#DIV/0!</v>
      </c>
      <c r="BN18" s="53">
        <v>0</v>
      </c>
      <c r="BO18" s="53">
        <v>0</v>
      </c>
      <c r="BP18" s="53">
        <v>0</v>
      </c>
      <c r="BQ18" s="53">
        <f t="shared" si="28"/>
        <v>0</v>
      </c>
      <c r="BR18" s="53">
        <v>2450</v>
      </c>
      <c r="BS18" s="53">
        <v>0</v>
      </c>
      <c r="BT18" s="53">
        <f t="shared" si="29"/>
        <v>2450</v>
      </c>
      <c r="BU18" s="53">
        <f t="shared" si="30"/>
        <v>0</v>
      </c>
      <c r="BV18" s="53" t="e">
        <f t="shared" si="31"/>
        <v>#DIV/0!</v>
      </c>
      <c r="BW18" s="54">
        <v>0</v>
      </c>
      <c r="BX18" s="54">
        <v>0</v>
      </c>
      <c r="BY18" s="54">
        <v>0</v>
      </c>
      <c r="BZ18" s="54">
        <f t="shared" si="32"/>
        <v>0</v>
      </c>
      <c r="CA18" s="54">
        <v>750</v>
      </c>
      <c r="CB18" s="54">
        <v>0</v>
      </c>
      <c r="CC18" s="54">
        <f t="shared" si="33"/>
        <v>750</v>
      </c>
      <c r="CD18" s="54">
        <f t="shared" si="34"/>
        <v>0</v>
      </c>
      <c r="CE18" s="54" t="e">
        <f t="shared" si="35"/>
        <v>#DIV/0!</v>
      </c>
      <c r="CF18" s="55">
        <v>0</v>
      </c>
      <c r="CG18" s="55">
        <v>0</v>
      </c>
      <c r="CH18" s="55">
        <v>0</v>
      </c>
      <c r="CI18" s="55">
        <f t="shared" si="36"/>
        <v>0</v>
      </c>
      <c r="CJ18" s="55">
        <v>730</v>
      </c>
      <c r="CK18" s="55">
        <v>0</v>
      </c>
      <c r="CL18" s="55">
        <f t="shared" si="37"/>
        <v>730</v>
      </c>
      <c r="CM18" s="55">
        <f t="shared" si="38"/>
        <v>0</v>
      </c>
      <c r="CN18" s="55" t="e">
        <f t="shared" si="39"/>
        <v>#DIV/0!</v>
      </c>
      <c r="CO18" s="56">
        <v>0</v>
      </c>
      <c r="CP18" s="56">
        <v>0</v>
      </c>
      <c r="CQ18" s="56">
        <v>0</v>
      </c>
      <c r="CR18" s="56">
        <f t="shared" si="40"/>
        <v>0</v>
      </c>
      <c r="CS18" s="56">
        <v>730</v>
      </c>
      <c r="CT18" s="56">
        <v>0</v>
      </c>
      <c r="CU18" s="56">
        <f t="shared" si="41"/>
        <v>730</v>
      </c>
      <c r="CV18" s="56">
        <f t="shared" si="42"/>
        <v>0</v>
      </c>
      <c r="CW18" s="56" t="e">
        <f t="shared" si="43"/>
        <v>#DIV/0!</v>
      </c>
      <c r="CX18" s="57">
        <v>0</v>
      </c>
      <c r="CY18" s="57">
        <v>0</v>
      </c>
      <c r="CZ18" s="57">
        <v>0</v>
      </c>
      <c r="DA18" s="57">
        <f t="shared" si="44"/>
        <v>0</v>
      </c>
      <c r="DB18" s="57">
        <v>600</v>
      </c>
      <c r="DC18" s="57">
        <v>0</v>
      </c>
      <c r="DD18" s="57">
        <f t="shared" si="45"/>
        <v>600</v>
      </c>
      <c r="DE18" s="57">
        <f t="shared" si="46"/>
        <v>0</v>
      </c>
      <c r="DF18" s="57" t="e">
        <f t="shared" si="47"/>
        <v>#DIV/0!</v>
      </c>
    </row>
    <row r="19" spans="1:110" ht="14.25" customHeight="1">
      <c r="A19" s="60"/>
      <c r="B19" s="44"/>
      <c r="C19" s="45">
        <v>0</v>
      </c>
      <c r="D19" s="45">
        <v>0</v>
      </c>
      <c r="E19" s="45">
        <v>0</v>
      </c>
      <c r="F19" s="45">
        <f t="shared" si="0"/>
        <v>0</v>
      </c>
      <c r="G19" s="45">
        <v>900</v>
      </c>
      <c r="H19" s="45">
        <v>0</v>
      </c>
      <c r="I19" s="45">
        <f t="shared" si="1"/>
        <v>900</v>
      </c>
      <c r="J19" s="45">
        <f t="shared" si="2"/>
        <v>0</v>
      </c>
      <c r="K19" s="45" t="e">
        <f t="shared" si="3"/>
        <v>#DIV/0!</v>
      </c>
      <c r="L19" s="47">
        <v>0</v>
      </c>
      <c r="M19" s="47">
        <v>0</v>
      </c>
      <c r="N19" s="47">
        <v>0</v>
      </c>
      <c r="O19" s="47">
        <f t="shared" si="4"/>
        <v>0</v>
      </c>
      <c r="P19" s="47">
        <v>1800</v>
      </c>
      <c r="Q19" s="47">
        <v>0</v>
      </c>
      <c r="R19" s="47">
        <f t="shared" si="5"/>
        <v>1800</v>
      </c>
      <c r="S19" s="47">
        <f t="shared" si="6"/>
        <v>0</v>
      </c>
      <c r="T19" s="47" t="e">
        <f t="shared" si="7"/>
        <v>#DIV/0!</v>
      </c>
      <c r="U19" s="48">
        <v>0</v>
      </c>
      <c r="V19" s="48">
        <v>0</v>
      </c>
      <c r="W19" s="48">
        <v>0</v>
      </c>
      <c r="X19" s="48">
        <f t="shared" si="8"/>
        <v>0</v>
      </c>
      <c r="Y19" s="48">
        <v>910</v>
      </c>
      <c r="Z19" s="48">
        <v>0</v>
      </c>
      <c r="AA19" s="48">
        <f t="shared" si="9"/>
        <v>910</v>
      </c>
      <c r="AB19" s="48">
        <f t="shared" si="10"/>
        <v>0</v>
      </c>
      <c r="AC19" s="48" t="e">
        <f t="shared" si="11"/>
        <v>#DIV/0!</v>
      </c>
      <c r="AD19" s="49">
        <v>0</v>
      </c>
      <c r="AE19" s="49">
        <v>0</v>
      </c>
      <c r="AF19" s="49">
        <v>0</v>
      </c>
      <c r="AG19" s="49">
        <f t="shared" si="12"/>
        <v>0</v>
      </c>
      <c r="AH19" s="49">
        <v>1200</v>
      </c>
      <c r="AI19" s="49">
        <v>0</v>
      </c>
      <c r="AJ19" s="49">
        <f t="shared" si="13"/>
        <v>1200</v>
      </c>
      <c r="AK19" s="49">
        <f t="shared" si="14"/>
        <v>0</v>
      </c>
      <c r="AL19" s="49" t="e">
        <f t="shared" si="15"/>
        <v>#DIV/0!</v>
      </c>
      <c r="AM19" s="50">
        <v>0</v>
      </c>
      <c r="AN19" s="50">
        <v>0</v>
      </c>
      <c r="AO19" s="50">
        <v>0</v>
      </c>
      <c r="AP19" s="50">
        <f t="shared" si="16"/>
        <v>0</v>
      </c>
      <c r="AQ19" s="50">
        <v>600</v>
      </c>
      <c r="AR19" s="50">
        <v>0</v>
      </c>
      <c r="AS19" s="50">
        <f t="shared" si="17"/>
        <v>600</v>
      </c>
      <c r="AT19" s="50">
        <f t="shared" si="18"/>
        <v>0</v>
      </c>
      <c r="AU19" s="50" t="e">
        <f t="shared" si="19"/>
        <v>#DIV/0!</v>
      </c>
      <c r="AV19" s="51">
        <v>0</v>
      </c>
      <c r="AW19" s="51">
        <v>0</v>
      </c>
      <c r="AX19" s="51">
        <v>0</v>
      </c>
      <c r="AY19" s="51">
        <f t="shared" si="20"/>
        <v>0</v>
      </c>
      <c r="AZ19" s="51">
        <v>1500</v>
      </c>
      <c r="BA19" s="51">
        <v>0</v>
      </c>
      <c r="BB19" s="51">
        <f t="shared" si="21"/>
        <v>1500</v>
      </c>
      <c r="BC19" s="51">
        <f t="shared" si="22"/>
        <v>0</v>
      </c>
      <c r="BD19" s="51" t="e">
        <f t="shared" si="23"/>
        <v>#DIV/0!</v>
      </c>
      <c r="BE19" s="52">
        <v>0</v>
      </c>
      <c r="BF19" s="52">
        <v>0</v>
      </c>
      <c r="BG19" s="52">
        <v>0</v>
      </c>
      <c r="BH19" s="52">
        <f t="shared" si="24"/>
        <v>0</v>
      </c>
      <c r="BI19" s="52">
        <v>750</v>
      </c>
      <c r="BJ19" s="52">
        <v>0</v>
      </c>
      <c r="BK19" s="52">
        <f t="shared" si="25"/>
        <v>750</v>
      </c>
      <c r="BL19" s="52">
        <f t="shared" si="26"/>
        <v>0</v>
      </c>
      <c r="BM19" s="52" t="e">
        <f t="shared" si="27"/>
        <v>#DIV/0!</v>
      </c>
      <c r="BN19" s="53">
        <v>0</v>
      </c>
      <c r="BO19" s="53">
        <v>0</v>
      </c>
      <c r="BP19" s="53">
        <v>0</v>
      </c>
      <c r="BQ19" s="53">
        <f t="shared" si="28"/>
        <v>0</v>
      </c>
      <c r="BR19" s="53">
        <v>2450</v>
      </c>
      <c r="BS19" s="53">
        <v>0</v>
      </c>
      <c r="BT19" s="53">
        <f t="shared" si="29"/>
        <v>2450</v>
      </c>
      <c r="BU19" s="53">
        <f t="shared" si="30"/>
        <v>0</v>
      </c>
      <c r="BV19" s="53" t="e">
        <f t="shared" si="31"/>
        <v>#DIV/0!</v>
      </c>
      <c r="BW19" s="54">
        <v>0</v>
      </c>
      <c r="BX19" s="54">
        <v>0</v>
      </c>
      <c r="BY19" s="54">
        <v>0</v>
      </c>
      <c r="BZ19" s="54">
        <f t="shared" si="32"/>
        <v>0</v>
      </c>
      <c r="CA19" s="54">
        <v>750</v>
      </c>
      <c r="CB19" s="54">
        <v>0</v>
      </c>
      <c r="CC19" s="54">
        <f t="shared" si="33"/>
        <v>750</v>
      </c>
      <c r="CD19" s="54">
        <f t="shared" si="34"/>
        <v>0</v>
      </c>
      <c r="CE19" s="54" t="e">
        <f t="shared" si="35"/>
        <v>#DIV/0!</v>
      </c>
      <c r="CF19" s="55">
        <v>0</v>
      </c>
      <c r="CG19" s="55">
        <v>0</v>
      </c>
      <c r="CH19" s="55">
        <v>0</v>
      </c>
      <c r="CI19" s="55">
        <f t="shared" si="36"/>
        <v>0</v>
      </c>
      <c r="CJ19" s="55">
        <v>730</v>
      </c>
      <c r="CK19" s="55">
        <v>0</v>
      </c>
      <c r="CL19" s="55">
        <f t="shared" si="37"/>
        <v>730</v>
      </c>
      <c r="CM19" s="55">
        <f t="shared" si="38"/>
        <v>0</v>
      </c>
      <c r="CN19" s="55" t="e">
        <f t="shared" si="39"/>
        <v>#DIV/0!</v>
      </c>
      <c r="CO19" s="56">
        <v>0</v>
      </c>
      <c r="CP19" s="56">
        <v>0</v>
      </c>
      <c r="CQ19" s="56">
        <v>0</v>
      </c>
      <c r="CR19" s="56">
        <f t="shared" si="40"/>
        <v>0</v>
      </c>
      <c r="CS19" s="56">
        <v>730</v>
      </c>
      <c r="CT19" s="56">
        <v>0</v>
      </c>
      <c r="CU19" s="56">
        <f t="shared" si="41"/>
        <v>730</v>
      </c>
      <c r="CV19" s="56">
        <f t="shared" si="42"/>
        <v>0</v>
      </c>
      <c r="CW19" s="56" t="e">
        <f t="shared" si="43"/>
        <v>#DIV/0!</v>
      </c>
      <c r="CX19" s="57">
        <v>0</v>
      </c>
      <c r="CY19" s="57">
        <v>0</v>
      </c>
      <c r="CZ19" s="57">
        <v>0</v>
      </c>
      <c r="DA19" s="57">
        <f t="shared" si="44"/>
        <v>0</v>
      </c>
      <c r="DB19" s="57">
        <v>600</v>
      </c>
      <c r="DC19" s="57">
        <v>0</v>
      </c>
      <c r="DD19" s="57">
        <f t="shared" si="45"/>
        <v>600</v>
      </c>
      <c r="DE19" s="57">
        <f t="shared" si="46"/>
        <v>0</v>
      </c>
      <c r="DF19" s="57" t="e">
        <f t="shared" si="47"/>
        <v>#DIV/0!</v>
      </c>
    </row>
    <row r="20" spans="1:110" ht="14.25" customHeight="1">
      <c r="A20" s="60"/>
      <c r="B20" s="44"/>
      <c r="C20" s="45">
        <v>0</v>
      </c>
      <c r="D20" s="45">
        <v>0</v>
      </c>
      <c r="E20" s="45">
        <v>0</v>
      </c>
      <c r="F20" s="45">
        <f t="shared" si="0"/>
        <v>0</v>
      </c>
      <c r="G20" s="45">
        <v>900</v>
      </c>
      <c r="H20" s="45">
        <v>0</v>
      </c>
      <c r="I20" s="45">
        <f t="shared" si="1"/>
        <v>900</v>
      </c>
      <c r="J20" s="45">
        <f t="shared" si="2"/>
        <v>0</v>
      </c>
      <c r="K20" s="45" t="e">
        <f t="shared" si="3"/>
        <v>#DIV/0!</v>
      </c>
      <c r="L20" s="47">
        <v>0</v>
      </c>
      <c r="M20" s="47">
        <v>0</v>
      </c>
      <c r="N20" s="47">
        <v>0</v>
      </c>
      <c r="O20" s="47">
        <f t="shared" si="4"/>
        <v>0</v>
      </c>
      <c r="P20" s="47">
        <v>1800</v>
      </c>
      <c r="Q20" s="47">
        <v>0</v>
      </c>
      <c r="R20" s="47">
        <f t="shared" si="5"/>
        <v>1800</v>
      </c>
      <c r="S20" s="47">
        <f t="shared" si="6"/>
        <v>0</v>
      </c>
      <c r="T20" s="47" t="e">
        <f t="shared" si="7"/>
        <v>#DIV/0!</v>
      </c>
      <c r="U20" s="48">
        <v>0</v>
      </c>
      <c r="V20" s="48">
        <v>0</v>
      </c>
      <c r="W20" s="48">
        <v>0</v>
      </c>
      <c r="X20" s="48">
        <f t="shared" si="8"/>
        <v>0</v>
      </c>
      <c r="Y20" s="48">
        <v>910</v>
      </c>
      <c r="Z20" s="48">
        <v>0</v>
      </c>
      <c r="AA20" s="48">
        <f t="shared" si="9"/>
        <v>910</v>
      </c>
      <c r="AB20" s="48">
        <f t="shared" si="10"/>
        <v>0</v>
      </c>
      <c r="AC20" s="48" t="e">
        <f t="shared" si="11"/>
        <v>#DIV/0!</v>
      </c>
      <c r="AD20" s="49">
        <v>0</v>
      </c>
      <c r="AE20" s="49">
        <v>0</v>
      </c>
      <c r="AF20" s="49">
        <v>0</v>
      </c>
      <c r="AG20" s="49">
        <f t="shared" si="12"/>
        <v>0</v>
      </c>
      <c r="AH20" s="49">
        <v>1200</v>
      </c>
      <c r="AI20" s="49">
        <v>0</v>
      </c>
      <c r="AJ20" s="49">
        <f t="shared" si="13"/>
        <v>1200</v>
      </c>
      <c r="AK20" s="49">
        <f t="shared" si="14"/>
        <v>0</v>
      </c>
      <c r="AL20" s="49" t="e">
        <f t="shared" si="15"/>
        <v>#DIV/0!</v>
      </c>
      <c r="AM20" s="50">
        <v>0</v>
      </c>
      <c r="AN20" s="50">
        <v>0</v>
      </c>
      <c r="AO20" s="50">
        <v>0</v>
      </c>
      <c r="AP20" s="50">
        <f t="shared" si="16"/>
        <v>0</v>
      </c>
      <c r="AQ20" s="50">
        <v>600</v>
      </c>
      <c r="AR20" s="50">
        <v>0</v>
      </c>
      <c r="AS20" s="50">
        <f t="shared" si="17"/>
        <v>600</v>
      </c>
      <c r="AT20" s="50">
        <f t="shared" si="18"/>
        <v>0</v>
      </c>
      <c r="AU20" s="50" t="e">
        <f t="shared" si="19"/>
        <v>#DIV/0!</v>
      </c>
      <c r="AV20" s="51">
        <v>0</v>
      </c>
      <c r="AW20" s="51">
        <v>0</v>
      </c>
      <c r="AX20" s="51">
        <v>0</v>
      </c>
      <c r="AY20" s="51">
        <f t="shared" si="20"/>
        <v>0</v>
      </c>
      <c r="AZ20" s="51">
        <v>1500</v>
      </c>
      <c r="BA20" s="51">
        <v>0</v>
      </c>
      <c r="BB20" s="51">
        <f t="shared" si="21"/>
        <v>1500</v>
      </c>
      <c r="BC20" s="51">
        <f t="shared" si="22"/>
        <v>0</v>
      </c>
      <c r="BD20" s="51" t="e">
        <f t="shared" si="23"/>
        <v>#DIV/0!</v>
      </c>
      <c r="BE20" s="52">
        <v>0</v>
      </c>
      <c r="BF20" s="52">
        <v>0</v>
      </c>
      <c r="BG20" s="52">
        <v>0</v>
      </c>
      <c r="BH20" s="52">
        <f t="shared" si="24"/>
        <v>0</v>
      </c>
      <c r="BI20" s="52">
        <v>750</v>
      </c>
      <c r="BJ20" s="52">
        <v>0</v>
      </c>
      <c r="BK20" s="52">
        <f t="shared" si="25"/>
        <v>750</v>
      </c>
      <c r="BL20" s="52">
        <f t="shared" si="26"/>
        <v>0</v>
      </c>
      <c r="BM20" s="52" t="e">
        <f t="shared" si="27"/>
        <v>#DIV/0!</v>
      </c>
      <c r="BN20" s="53">
        <v>0</v>
      </c>
      <c r="BO20" s="53">
        <v>0</v>
      </c>
      <c r="BP20" s="53">
        <v>0</v>
      </c>
      <c r="BQ20" s="53">
        <f t="shared" si="28"/>
        <v>0</v>
      </c>
      <c r="BR20" s="53">
        <v>2450</v>
      </c>
      <c r="BS20" s="53">
        <v>0</v>
      </c>
      <c r="BT20" s="53">
        <f t="shared" si="29"/>
        <v>2450</v>
      </c>
      <c r="BU20" s="53">
        <f t="shared" si="30"/>
        <v>0</v>
      </c>
      <c r="BV20" s="53" t="e">
        <f t="shared" si="31"/>
        <v>#DIV/0!</v>
      </c>
      <c r="BW20" s="54">
        <v>0</v>
      </c>
      <c r="BX20" s="54">
        <v>0</v>
      </c>
      <c r="BY20" s="54">
        <v>0</v>
      </c>
      <c r="BZ20" s="54">
        <f t="shared" si="32"/>
        <v>0</v>
      </c>
      <c r="CA20" s="54">
        <v>750</v>
      </c>
      <c r="CB20" s="54">
        <v>0</v>
      </c>
      <c r="CC20" s="54">
        <f t="shared" si="33"/>
        <v>750</v>
      </c>
      <c r="CD20" s="54">
        <f t="shared" si="34"/>
        <v>0</v>
      </c>
      <c r="CE20" s="54" t="e">
        <f t="shared" si="35"/>
        <v>#DIV/0!</v>
      </c>
      <c r="CF20" s="55">
        <v>0</v>
      </c>
      <c r="CG20" s="55">
        <v>0</v>
      </c>
      <c r="CH20" s="55">
        <v>0</v>
      </c>
      <c r="CI20" s="55">
        <f t="shared" si="36"/>
        <v>0</v>
      </c>
      <c r="CJ20" s="55">
        <v>730</v>
      </c>
      <c r="CK20" s="55">
        <v>0</v>
      </c>
      <c r="CL20" s="55">
        <f t="shared" si="37"/>
        <v>730</v>
      </c>
      <c r="CM20" s="55">
        <f t="shared" si="38"/>
        <v>0</v>
      </c>
      <c r="CN20" s="55" t="e">
        <f t="shared" si="39"/>
        <v>#DIV/0!</v>
      </c>
      <c r="CO20" s="56">
        <v>0</v>
      </c>
      <c r="CP20" s="56">
        <v>0</v>
      </c>
      <c r="CQ20" s="56">
        <v>0</v>
      </c>
      <c r="CR20" s="56">
        <f t="shared" si="40"/>
        <v>0</v>
      </c>
      <c r="CS20" s="56">
        <v>730</v>
      </c>
      <c r="CT20" s="56">
        <v>0</v>
      </c>
      <c r="CU20" s="56">
        <f t="shared" si="41"/>
        <v>730</v>
      </c>
      <c r="CV20" s="56">
        <f t="shared" si="42"/>
        <v>0</v>
      </c>
      <c r="CW20" s="56" t="e">
        <f t="shared" si="43"/>
        <v>#DIV/0!</v>
      </c>
      <c r="CX20" s="57">
        <v>0</v>
      </c>
      <c r="CY20" s="57">
        <v>0</v>
      </c>
      <c r="CZ20" s="57">
        <v>0</v>
      </c>
      <c r="DA20" s="57">
        <f t="shared" si="44"/>
        <v>0</v>
      </c>
      <c r="DB20" s="57">
        <v>600</v>
      </c>
      <c r="DC20" s="57">
        <v>0</v>
      </c>
      <c r="DD20" s="57">
        <f t="shared" si="45"/>
        <v>600</v>
      </c>
      <c r="DE20" s="57">
        <f t="shared" si="46"/>
        <v>0</v>
      </c>
      <c r="DF20" s="57" t="e">
        <f t="shared" si="47"/>
        <v>#DIV/0!</v>
      </c>
    </row>
    <row r="21" spans="1:110" ht="14.25" customHeight="1">
      <c r="A21" s="60"/>
      <c r="B21" s="44"/>
      <c r="C21" s="45">
        <v>0</v>
      </c>
      <c r="D21" s="45">
        <v>0</v>
      </c>
      <c r="E21" s="45">
        <v>0</v>
      </c>
      <c r="F21" s="45">
        <f t="shared" si="0"/>
        <v>0</v>
      </c>
      <c r="G21" s="45">
        <v>900</v>
      </c>
      <c r="H21" s="45">
        <v>0</v>
      </c>
      <c r="I21" s="45">
        <f t="shared" si="1"/>
        <v>900</v>
      </c>
      <c r="J21" s="45">
        <f t="shared" si="2"/>
        <v>0</v>
      </c>
      <c r="K21" s="45" t="e">
        <f t="shared" si="3"/>
        <v>#DIV/0!</v>
      </c>
      <c r="L21" s="47">
        <v>0</v>
      </c>
      <c r="M21" s="47">
        <v>0</v>
      </c>
      <c r="N21" s="47">
        <v>0</v>
      </c>
      <c r="O21" s="47">
        <f t="shared" si="4"/>
        <v>0</v>
      </c>
      <c r="P21" s="47">
        <v>1800</v>
      </c>
      <c r="Q21" s="47">
        <v>0</v>
      </c>
      <c r="R21" s="47">
        <f t="shared" si="5"/>
        <v>1800</v>
      </c>
      <c r="S21" s="47">
        <f t="shared" si="6"/>
        <v>0</v>
      </c>
      <c r="T21" s="47" t="e">
        <f t="shared" si="7"/>
        <v>#DIV/0!</v>
      </c>
      <c r="U21" s="48">
        <v>0</v>
      </c>
      <c r="V21" s="48">
        <v>0</v>
      </c>
      <c r="W21" s="48">
        <v>0</v>
      </c>
      <c r="X21" s="48">
        <f t="shared" si="8"/>
        <v>0</v>
      </c>
      <c r="Y21" s="48">
        <v>910</v>
      </c>
      <c r="Z21" s="48">
        <v>0</v>
      </c>
      <c r="AA21" s="48">
        <f t="shared" si="9"/>
        <v>910</v>
      </c>
      <c r="AB21" s="48">
        <f t="shared" si="10"/>
        <v>0</v>
      </c>
      <c r="AC21" s="48" t="e">
        <f t="shared" si="11"/>
        <v>#DIV/0!</v>
      </c>
      <c r="AD21" s="49">
        <v>0</v>
      </c>
      <c r="AE21" s="49">
        <v>0</v>
      </c>
      <c r="AF21" s="49">
        <v>0</v>
      </c>
      <c r="AG21" s="49">
        <f t="shared" si="12"/>
        <v>0</v>
      </c>
      <c r="AH21" s="49">
        <v>1200</v>
      </c>
      <c r="AI21" s="49">
        <v>0</v>
      </c>
      <c r="AJ21" s="49">
        <f t="shared" si="13"/>
        <v>1200</v>
      </c>
      <c r="AK21" s="49">
        <f t="shared" si="14"/>
        <v>0</v>
      </c>
      <c r="AL21" s="49" t="e">
        <f t="shared" si="15"/>
        <v>#DIV/0!</v>
      </c>
      <c r="AM21" s="50">
        <v>0</v>
      </c>
      <c r="AN21" s="50">
        <v>0</v>
      </c>
      <c r="AO21" s="50">
        <v>0</v>
      </c>
      <c r="AP21" s="50">
        <f t="shared" si="16"/>
        <v>0</v>
      </c>
      <c r="AQ21" s="50">
        <v>600</v>
      </c>
      <c r="AR21" s="50">
        <v>0</v>
      </c>
      <c r="AS21" s="50">
        <f t="shared" si="17"/>
        <v>600</v>
      </c>
      <c r="AT21" s="50">
        <f t="shared" si="18"/>
        <v>0</v>
      </c>
      <c r="AU21" s="50" t="e">
        <f t="shared" si="19"/>
        <v>#DIV/0!</v>
      </c>
      <c r="AV21" s="51">
        <v>0</v>
      </c>
      <c r="AW21" s="51">
        <v>0</v>
      </c>
      <c r="AX21" s="51">
        <v>0</v>
      </c>
      <c r="AY21" s="51">
        <f t="shared" si="20"/>
        <v>0</v>
      </c>
      <c r="AZ21" s="51">
        <v>1500</v>
      </c>
      <c r="BA21" s="51">
        <v>0</v>
      </c>
      <c r="BB21" s="51">
        <f t="shared" si="21"/>
        <v>1500</v>
      </c>
      <c r="BC21" s="51">
        <f t="shared" si="22"/>
        <v>0</v>
      </c>
      <c r="BD21" s="51" t="e">
        <f t="shared" si="23"/>
        <v>#DIV/0!</v>
      </c>
      <c r="BE21" s="52">
        <v>0</v>
      </c>
      <c r="BF21" s="52">
        <v>0</v>
      </c>
      <c r="BG21" s="52">
        <v>0</v>
      </c>
      <c r="BH21" s="52">
        <f t="shared" si="24"/>
        <v>0</v>
      </c>
      <c r="BI21" s="52">
        <v>750</v>
      </c>
      <c r="BJ21" s="52">
        <v>0</v>
      </c>
      <c r="BK21" s="52">
        <f t="shared" si="25"/>
        <v>750</v>
      </c>
      <c r="BL21" s="52">
        <f t="shared" si="26"/>
        <v>0</v>
      </c>
      <c r="BM21" s="52" t="e">
        <f t="shared" si="27"/>
        <v>#DIV/0!</v>
      </c>
      <c r="BN21" s="53">
        <v>0</v>
      </c>
      <c r="BO21" s="53">
        <v>0</v>
      </c>
      <c r="BP21" s="53">
        <v>0</v>
      </c>
      <c r="BQ21" s="53">
        <f t="shared" si="28"/>
        <v>0</v>
      </c>
      <c r="BR21" s="53">
        <v>2450</v>
      </c>
      <c r="BS21" s="53">
        <v>0</v>
      </c>
      <c r="BT21" s="53">
        <f t="shared" si="29"/>
        <v>2450</v>
      </c>
      <c r="BU21" s="53">
        <f t="shared" si="30"/>
        <v>0</v>
      </c>
      <c r="BV21" s="53" t="e">
        <f t="shared" si="31"/>
        <v>#DIV/0!</v>
      </c>
      <c r="BW21" s="54">
        <v>0</v>
      </c>
      <c r="BX21" s="54">
        <v>0</v>
      </c>
      <c r="BY21" s="54">
        <v>0</v>
      </c>
      <c r="BZ21" s="54">
        <f t="shared" si="32"/>
        <v>0</v>
      </c>
      <c r="CA21" s="54">
        <v>750</v>
      </c>
      <c r="CB21" s="54">
        <v>0</v>
      </c>
      <c r="CC21" s="54">
        <f t="shared" si="33"/>
        <v>750</v>
      </c>
      <c r="CD21" s="54">
        <f t="shared" si="34"/>
        <v>0</v>
      </c>
      <c r="CE21" s="54" t="e">
        <f t="shared" si="35"/>
        <v>#DIV/0!</v>
      </c>
      <c r="CF21" s="55">
        <v>0</v>
      </c>
      <c r="CG21" s="55">
        <v>0</v>
      </c>
      <c r="CH21" s="55">
        <v>0</v>
      </c>
      <c r="CI21" s="55">
        <f t="shared" si="36"/>
        <v>0</v>
      </c>
      <c r="CJ21" s="55">
        <v>730</v>
      </c>
      <c r="CK21" s="55">
        <v>0</v>
      </c>
      <c r="CL21" s="55">
        <f t="shared" si="37"/>
        <v>730</v>
      </c>
      <c r="CM21" s="55">
        <f t="shared" si="38"/>
        <v>0</v>
      </c>
      <c r="CN21" s="55" t="e">
        <f t="shared" si="39"/>
        <v>#DIV/0!</v>
      </c>
      <c r="CO21" s="56">
        <v>0</v>
      </c>
      <c r="CP21" s="56">
        <v>0</v>
      </c>
      <c r="CQ21" s="56">
        <v>0</v>
      </c>
      <c r="CR21" s="56">
        <f t="shared" si="40"/>
        <v>0</v>
      </c>
      <c r="CS21" s="56">
        <v>730</v>
      </c>
      <c r="CT21" s="56">
        <v>0</v>
      </c>
      <c r="CU21" s="56">
        <f t="shared" si="41"/>
        <v>730</v>
      </c>
      <c r="CV21" s="56">
        <f t="shared" si="42"/>
        <v>0</v>
      </c>
      <c r="CW21" s="56" t="e">
        <f t="shared" si="43"/>
        <v>#DIV/0!</v>
      </c>
      <c r="CX21" s="57">
        <v>0</v>
      </c>
      <c r="CY21" s="57">
        <v>0</v>
      </c>
      <c r="CZ21" s="57">
        <v>0</v>
      </c>
      <c r="DA21" s="57">
        <f t="shared" si="44"/>
        <v>0</v>
      </c>
      <c r="DB21" s="57">
        <v>600</v>
      </c>
      <c r="DC21" s="57">
        <v>0</v>
      </c>
      <c r="DD21" s="57">
        <f t="shared" si="45"/>
        <v>600</v>
      </c>
      <c r="DE21" s="57">
        <f t="shared" si="46"/>
        <v>0</v>
      </c>
      <c r="DF21" s="57" t="e">
        <f t="shared" si="47"/>
        <v>#DIV/0!</v>
      </c>
    </row>
    <row r="22" spans="1:110" ht="14.25" customHeight="1">
      <c r="A22" s="60"/>
      <c r="B22" s="44"/>
      <c r="C22" s="45">
        <v>0</v>
      </c>
      <c r="D22" s="45">
        <v>0</v>
      </c>
      <c r="E22" s="45">
        <v>0</v>
      </c>
      <c r="F22" s="45">
        <f t="shared" si="0"/>
        <v>0</v>
      </c>
      <c r="G22" s="45">
        <v>900</v>
      </c>
      <c r="H22" s="45">
        <v>0</v>
      </c>
      <c r="I22" s="45">
        <f t="shared" si="1"/>
        <v>900</v>
      </c>
      <c r="J22" s="45">
        <f t="shared" si="2"/>
        <v>0</v>
      </c>
      <c r="K22" s="45" t="e">
        <f t="shared" si="3"/>
        <v>#DIV/0!</v>
      </c>
      <c r="L22" s="47">
        <v>0</v>
      </c>
      <c r="M22" s="47">
        <v>0</v>
      </c>
      <c r="N22" s="47">
        <v>0</v>
      </c>
      <c r="O22" s="47">
        <f t="shared" si="4"/>
        <v>0</v>
      </c>
      <c r="P22" s="47">
        <v>1800</v>
      </c>
      <c r="Q22" s="47">
        <v>0</v>
      </c>
      <c r="R22" s="47">
        <f t="shared" si="5"/>
        <v>1800</v>
      </c>
      <c r="S22" s="47">
        <f t="shared" si="6"/>
        <v>0</v>
      </c>
      <c r="T22" s="47" t="e">
        <f t="shared" si="7"/>
        <v>#DIV/0!</v>
      </c>
      <c r="U22" s="48">
        <v>0</v>
      </c>
      <c r="V22" s="48">
        <v>0</v>
      </c>
      <c r="W22" s="48">
        <v>0</v>
      </c>
      <c r="X22" s="48">
        <f t="shared" si="8"/>
        <v>0</v>
      </c>
      <c r="Y22" s="48">
        <v>910</v>
      </c>
      <c r="Z22" s="48">
        <v>0</v>
      </c>
      <c r="AA22" s="48">
        <f t="shared" si="9"/>
        <v>910</v>
      </c>
      <c r="AB22" s="48">
        <f t="shared" si="10"/>
        <v>0</v>
      </c>
      <c r="AC22" s="48" t="e">
        <f t="shared" si="11"/>
        <v>#DIV/0!</v>
      </c>
      <c r="AD22" s="49">
        <v>0</v>
      </c>
      <c r="AE22" s="49">
        <v>0</v>
      </c>
      <c r="AF22" s="49">
        <v>0</v>
      </c>
      <c r="AG22" s="49">
        <f t="shared" si="12"/>
        <v>0</v>
      </c>
      <c r="AH22" s="49">
        <v>1200</v>
      </c>
      <c r="AI22" s="49">
        <v>0</v>
      </c>
      <c r="AJ22" s="49">
        <f t="shared" si="13"/>
        <v>1200</v>
      </c>
      <c r="AK22" s="49">
        <f t="shared" si="14"/>
        <v>0</v>
      </c>
      <c r="AL22" s="49" t="e">
        <f t="shared" si="15"/>
        <v>#DIV/0!</v>
      </c>
      <c r="AM22" s="50">
        <v>0</v>
      </c>
      <c r="AN22" s="50">
        <v>0</v>
      </c>
      <c r="AO22" s="50">
        <v>0</v>
      </c>
      <c r="AP22" s="50">
        <f t="shared" si="16"/>
        <v>0</v>
      </c>
      <c r="AQ22" s="50">
        <v>600</v>
      </c>
      <c r="AR22" s="50">
        <v>0</v>
      </c>
      <c r="AS22" s="50">
        <f t="shared" si="17"/>
        <v>600</v>
      </c>
      <c r="AT22" s="50">
        <f t="shared" si="18"/>
        <v>0</v>
      </c>
      <c r="AU22" s="50" t="e">
        <f t="shared" si="19"/>
        <v>#DIV/0!</v>
      </c>
      <c r="AV22" s="51">
        <v>0</v>
      </c>
      <c r="AW22" s="51">
        <v>0</v>
      </c>
      <c r="AX22" s="51">
        <v>0</v>
      </c>
      <c r="AY22" s="51">
        <f t="shared" si="20"/>
        <v>0</v>
      </c>
      <c r="AZ22" s="51">
        <v>1500</v>
      </c>
      <c r="BA22" s="51">
        <v>0</v>
      </c>
      <c r="BB22" s="51">
        <f t="shared" si="21"/>
        <v>1500</v>
      </c>
      <c r="BC22" s="51">
        <f t="shared" si="22"/>
        <v>0</v>
      </c>
      <c r="BD22" s="51" t="e">
        <f t="shared" si="23"/>
        <v>#DIV/0!</v>
      </c>
      <c r="BE22" s="52">
        <v>0</v>
      </c>
      <c r="BF22" s="52">
        <v>0</v>
      </c>
      <c r="BG22" s="52">
        <v>0</v>
      </c>
      <c r="BH22" s="52">
        <f t="shared" si="24"/>
        <v>0</v>
      </c>
      <c r="BI22" s="52">
        <v>750</v>
      </c>
      <c r="BJ22" s="52">
        <v>0</v>
      </c>
      <c r="BK22" s="52">
        <f t="shared" si="25"/>
        <v>750</v>
      </c>
      <c r="BL22" s="52">
        <f t="shared" si="26"/>
        <v>0</v>
      </c>
      <c r="BM22" s="52" t="e">
        <f t="shared" si="27"/>
        <v>#DIV/0!</v>
      </c>
      <c r="BN22" s="53">
        <v>0</v>
      </c>
      <c r="BO22" s="53">
        <v>0</v>
      </c>
      <c r="BP22" s="53">
        <v>0</v>
      </c>
      <c r="BQ22" s="53">
        <f t="shared" si="28"/>
        <v>0</v>
      </c>
      <c r="BR22" s="53">
        <v>2450</v>
      </c>
      <c r="BS22" s="53">
        <v>0</v>
      </c>
      <c r="BT22" s="53">
        <f t="shared" si="29"/>
        <v>2450</v>
      </c>
      <c r="BU22" s="53">
        <f t="shared" si="30"/>
        <v>0</v>
      </c>
      <c r="BV22" s="53" t="e">
        <f t="shared" si="31"/>
        <v>#DIV/0!</v>
      </c>
      <c r="BW22" s="54">
        <v>0</v>
      </c>
      <c r="BX22" s="54">
        <v>0</v>
      </c>
      <c r="BY22" s="54">
        <v>0</v>
      </c>
      <c r="BZ22" s="54">
        <f t="shared" si="32"/>
        <v>0</v>
      </c>
      <c r="CA22" s="54">
        <v>750</v>
      </c>
      <c r="CB22" s="54">
        <v>0</v>
      </c>
      <c r="CC22" s="54">
        <f t="shared" si="33"/>
        <v>750</v>
      </c>
      <c r="CD22" s="54">
        <f t="shared" si="34"/>
        <v>0</v>
      </c>
      <c r="CE22" s="54" t="e">
        <f t="shared" si="35"/>
        <v>#DIV/0!</v>
      </c>
      <c r="CF22" s="55">
        <v>0</v>
      </c>
      <c r="CG22" s="55">
        <v>0</v>
      </c>
      <c r="CH22" s="55">
        <v>0</v>
      </c>
      <c r="CI22" s="55">
        <f t="shared" si="36"/>
        <v>0</v>
      </c>
      <c r="CJ22" s="55">
        <v>730</v>
      </c>
      <c r="CK22" s="55">
        <v>0</v>
      </c>
      <c r="CL22" s="55">
        <f t="shared" si="37"/>
        <v>730</v>
      </c>
      <c r="CM22" s="55">
        <f t="shared" si="38"/>
        <v>0</v>
      </c>
      <c r="CN22" s="55" t="e">
        <f t="shared" si="39"/>
        <v>#DIV/0!</v>
      </c>
      <c r="CO22" s="56">
        <v>0</v>
      </c>
      <c r="CP22" s="56">
        <v>0</v>
      </c>
      <c r="CQ22" s="56">
        <v>0</v>
      </c>
      <c r="CR22" s="56">
        <f t="shared" si="40"/>
        <v>0</v>
      </c>
      <c r="CS22" s="56">
        <v>730</v>
      </c>
      <c r="CT22" s="56">
        <v>0</v>
      </c>
      <c r="CU22" s="56">
        <f t="shared" si="41"/>
        <v>730</v>
      </c>
      <c r="CV22" s="56">
        <f t="shared" si="42"/>
        <v>0</v>
      </c>
      <c r="CW22" s="56" t="e">
        <f t="shared" si="43"/>
        <v>#DIV/0!</v>
      </c>
      <c r="CX22" s="57">
        <v>0</v>
      </c>
      <c r="CY22" s="57">
        <v>0</v>
      </c>
      <c r="CZ22" s="57">
        <v>0</v>
      </c>
      <c r="DA22" s="57">
        <f t="shared" si="44"/>
        <v>0</v>
      </c>
      <c r="DB22" s="57">
        <v>600</v>
      </c>
      <c r="DC22" s="57">
        <v>0</v>
      </c>
      <c r="DD22" s="57">
        <f t="shared" si="45"/>
        <v>600</v>
      </c>
      <c r="DE22" s="57">
        <f t="shared" si="46"/>
        <v>0</v>
      </c>
      <c r="DF22" s="57" t="e">
        <f t="shared" si="47"/>
        <v>#DIV/0!</v>
      </c>
    </row>
    <row r="23" spans="1:110" ht="14.25" customHeight="1">
      <c r="A23" s="60"/>
      <c r="B23" s="44"/>
      <c r="C23" s="45">
        <v>0</v>
      </c>
      <c r="D23" s="45">
        <v>0</v>
      </c>
      <c r="E23" s="45">
        <v>0</v>
      </c>
      <c r="F23" s="45">
        <f t="shared" si="0"/>
        <v>0</v>
      </c>
      <c r="G23" s="45">
        <v>900</v>
      </c>
      <c r="H23" s="45">
        <v>0</v>
      </c>
      <c r="I23" s="45">
        <f t="shared" si="1"/>
        <v>900</v>
      </c>
      <c r="J23" s="45">
        <f t="shared" si="2"/>
        <v>0</v>
      </c>
      <c r="K23" s="45" t="e">
        <f t="shared" si="3"/>
        <v>#DIV/0!</v>
      </c>
      <c r="L23" s="47">
        <v>0</v>
      </c>
      <c r="M23" s="47">
        <v>0</v>
      </c>
      <c r="N23" s="47">
        <v>0</v>
      </c>
      <c r="O23" s="47">
        <f t="shared" si="4"/>
        <v>0</v>
      </c>
      <c r="P23" s="47">
        <v>1800</v>
      </c>
      <c r="Q23" s="47">
        <v>0</v>
      </c>
      <c r="R23" s="47">
        <f t="shared" si="5"/>
        <v>1800</v>
      </c>
      <c r="S23" s="47">
        <f t="shared" si="6"/>
        <v>0</v>
      </c>
      <c r="T23" s="47" t="e">
        <f t="shared" si="7"/>
        <v>#DIV/0!</v>
      </c>
      <c r="U23" s="48">
        <v>0</v>
      </c>
      <c r="V23" s="48">
        <v>0</v>
      </c>
      <c r="W23" s="48">
        <v>0</v>
      </c>
      <c r="X23" s="48">
        <f t="shared" si="8"/>
        <v>0</v>
      </c>
      <c r="Y23" s="48">
        <v>910</v>
      </c>
      <c r="Z23" s="48">
        <v>0</v>
      </c>
      <c r="AA23" s="48">
        <f t="shared" si="9"/>
        <v>910</v>
      </c>
      <c r="AB23" s="48">
        <f t="shared" si="10"/>
        <v>0</v>
      </c>
      <c r="AC23" s="48" t="e">
        <f t="shared" si="11"/>
        <v>#DIV/0!</v>
      </c>
      <c r="AD23" s="49">
        <v>0</v>
      </c>
      <c r="AE23" s="49">
        <v>0</v>
      </c>
      <c r="AF23" s="49">
        <v>0</v>
      </c>
      <c r="AG23" s="49">
        <f t="shared" si="12"/>
        <v>0</v>
      </c>
      <c r="AH23" s="49">
        <v>1200</v>
      </c>
      <c r="AI23" s="49">
        <v>0</v>
      </c>
      <c r="AJ23" s="49">
        <f t="shared" si="13"/>
        <v>1200</v>
      </c>
      <c r="AK23" s="49">
        <f t="shared" si="14"/>
        <v>0</v>
      </c>
      <c r="AL23" s="49" t="e">
        <f t="shared" si="15"/>
        <v>#DIV/0!</v>
      </c>
      <c r="AM23" s="50">
        <v>0</v>
      </c>
      <c r="AN23" s="50">
        <v>0</v>
      </c>
      <c r="AO23" s="50">
        <v>0</v>
      </c>
      <c r="AP23" s="50">
        <f t="shared" si="16"/>
        <v>0</v>
      </c>
      <c r="AQ23" s="50">
        <v>600</v>
      </c>
      <c r="AR23" s="50">
        <v>0</v>
      </c>
      <c r="AS23" s="50">
        <f t="shared" si="17"/>
        <v>600</v>
      </c>
      <c r="AT23" s="50">
        <f t="shared" si="18"/>
        <v>0</v>
      </c>
      <c r="AU23" s="50" t="e">
        <f t="shared" si="19"/>
        <v>#DIV/0!</v>
      </c>
      <c r="AV23" s="51">
        <v>0</v>
      </c>
      <c r="AW23" s="51">
        <v>0</v>
      </c>
      <c r="AX23" s="51">
        <v>0</v>
      </c>
      <c r="AY23" s="51">
        <f t="shared" si="20"/>
        <v>0</v>
      </c>
      <c r="AZ23" s="51">
        <v>1500</v>
      </c>
      <c r="BA23" s="51">
        <v>0</v>
      </c>
      <c r="BB23" s="51">
        <f t="shared" si="21"/>
        <v>1500</v>
      </c>
      <c r="BC23" s="51">
        <f t="shared" si="22"/>
        <v>0</v>
      </c>
      <c r="BD23" s="51" t="e">
        <f t="shared" si="23"/>
        <v>#DIV/0!</v>
      </c>
      <c r="BE23" s="52">
        <v>0</v>
      </c>
      <c r="BF23" s="52">
        <v>0</v>
      </c>
      <c r="BG23" s="52">
        <v>0</v>
      </c>
      <c r="BH23" s="52">
        <f t="shared" si="24"/>
        <v>0</v>
      </c>
      <c r="BI23" s="52">
        <v>750</v>
      </c>
      <c r="BJ23" s="52">
        <v>0</v>
      </c>
      <c r="BK23" s="52">
        <f t="shared" si="25"/>
        <v>750</v>
      </c>
      <c r="BL23" s="52">
        <f t="shared" si="26"/>
        <v>0</v>
      </c>
      <c r="BM23" s="52" t="e">
        <f t="shared" si="27"/>
        <v>#DIV/0!</v>
      </c>
      <c r="BN23" s="53">
        <v>0</v>
      </c>
      <c r="BO23" s="53">
        <v>0</v>
      </c>
      <c r="BP23" s="53">
        <v>0</v>
      </c>
      <c r="BQ23" s="53">
        <f t="shared" si="28"/>
        <v>0</v>
      </c>
      <c r="BR23" s="53">
        <v>2450</v>
      </c>
      <c r="BS23" s="53">
        <v>0</v>
      </c>
      <c r="BT23" s="53">
        <f t="shared" si="29"/>
        <v>2450</v>
      </c>
      <c r="BU23" s="53">
        <f t="shared" si="30"/>
        <v>0</v>
      </c>
      <c r="BV23" s="53" t="e">
        <f t="shared" si="31"/>
        <v>#DIV/0!</v>
      </c>
      <c r="BW23" s="54">
        <v>0</v>
      </c>
      <c r="BX23" s="54">
        <v>0</v>
      </c>
      <c r="BY23" s="54">
        <v>0</v>
      </c>
      <c r="BZ23" s="54">
        <f t="shared" si="32"/>
        <v>0</v>
      </c>
      <c r="CA23" s="54">
        <v>750</v>
      </c>
      <c r="CB23" s="54">
        <v>0</v>
      </c>
      <c r="CC23" s="54">
        <f t="shared" si="33"/>
        <v>750</v>
      </c>
      <c r="CD23" s="54">
        <f t="shared" si="34"/>
        <v>0</v>
      </c>
      <c r="CE23" s="54" t="e">
        <f t="shared" si="35"/>
        <v>#DIV/0!</v>
      </c>
      <c r="CF23" s="55">
        <v>0</v>
      </c>
      <c r="CG23" s="55">
        <v>0</v>
      </c>
      <c r="CH23" s="55">
        <v>0</v>
      </c>
      <c r="CI23" s="55">
        <f t="shared" si="36"/>
        <v>0</v>
      </c>
      <c r="CJ23" s="55">
        <v>730</v>
      </c>
      <c r="CK23" s="55">
        <v>0</v>
      </c>
      <c r="CL23" s="55">
        <f t="shared" si="37"/>
        <v>730</v>
      </c>
      <c r="CM23" s="55">
        <f t="shared" si="38"/>
        <v>0</v>
      </c>
      <c r="CN23" s="55" t="e">
        <f t="shared" si="39"/>
        <v>#DIV/0!</v>
      </c>
      <c r="CO23" s="56">
        <v>0</v>
      </c>
      <c r="CP23" s="56">
        <v>0</v>
      </c>
      <c r="CQ23" s="56">
        <v>0</v>
      </c>
      <c r="CR23" s="56">
        <f t="shared" si="40"/>
        <v>0</v>
      </c>
      <c r="CS23" s="56">
        <v>730</v>
      </c>
      <c r="CT23" s="56">
        <v>0</v>
      </c>
      <c r="CU23" s="56">
        <f t="shared" si="41"/>
        <v>730</v>
      </c>
      <c r="CV23" s="56">
        <f t="shared" si="42"/>
        <v>0</v>
      </c>
      <c r="CW23" s="56" t="e">
        <f t="shared" si="43"/>
        <v>#DIV/0!</v>
      </c>
      <c r="CX23" s="57">
        <v>0</v>
      </c>
      <c r="CY23" s="57">
        <v>0</v>
      </c>
      <c r="CZ23" s="57">
        <v>0</v>
      </c>
      <c r="DA23" s="57">
        <f t="shared" si="44"/>
        <v>0</v>
      </c>
      <c r="DB23" s="57">
        <v>600</v>
      </c>
      <c r="DC23" s="57">
        <v>0</v>
      </c>
      <c r="DD23" s="57">
        <f t="shared" si="45"/>
        <v>600</v>
      </c>
      <c r="DE23" s="57">
        <f t="shared" si="46"/>
        <v>0</v>
      </c>
      <c r="DF23" s="57" t="e">
        <f t="shared" si="47"/>
        <v>#DIV/0!</v>
      </c>
    </row>
    <row r="24" spans="1:110" ht="14.25" customHeight="1">
      <c r="A24" s="60"/>
      <c r="B24" s="44"/>
      <c r="C24" s="45">
        <v>0</v>
      </c>
      <c r="D24" s="45">
        <v>0</v>
      </c>
      <c r="E24" s="45">
        <v>0</v>
      </c>
      <c r="F24" s="45">
        <f t="shared" si="0"/>
        <v>0</v>
      </c>
      <c r="G24" s="45">
        <v>900</v>
      </c>
      <c r="H24" s="45">
        <v>0</v>
      </c>
      <c r="I24" s="45">
        <f t="shared" si="1"/>
        <v>900</v>
      </c>
      <c r="J24" s="45">
        <f t="shared" si="2"/>
        <v>0</v>
      </c>
      <c r="K24" s="45" t="e">
        <f t="shared" si="3"/>
        <v>#DIV/0!</v>
      </c>
      <c r="L24" s="47">
        <v>0</v>
      </c>
      <c r="M24" s="47">
        <v>0</v>
      </c>
      <c r="N24" s="47">
        <v>0</v>
      </c>
      <c r="O24" s="47">
        <f t="shared" si="4"/>
        <v>0</v>
      </c>
      <c r="P24" s="47">
        <v>1800</v>
      </c>
      <c r="Q24" s="47">
        <v>0</v>
      </c>
      <c r="R24" s="47">
        <f t="shared" si="5"/>
        <v>1800</v>
      </c>
      <c r="S24" s="47">
        <f t="shared" si="6"/>
        <v>0</v>
      </c>
      <c r="T24" s="47" t="e">
        <f t="shared" si="7"/>
        <v>#DIV/0!</v>
      </c>
      <c r="U24" s="48">
        <v>0</v>
      </c>
      <c r="V24" s="48">
        <v>0</v>
      </c>
      <c r="W24" s="48">
        <v>0</v>
      </c>
      <c r="X24" s="48">
        <f t="shared" si="8"/>
        <v>0</v>
      </c>
      <c r="Y24" s="48">
        <v>910</v>
      </c>
      <c r="Z24" s="48">
        <v>0</v>
      </c>
      <c r="AA24" s="48">
        <f t="shared" si="9"/>
        <v>910</v>
      </c>
      <c r="AB24" s="48">
        <f t="shared" si="10"/>
        <v>0</v>
      </c>
      <c r="AC24" s="48" t="e">
        <f t="shared" si="11"/>
        <v>#DIV/0!</v>
      </c>
      <c r="AD24" s="49">
        <v>0</v>
      </c>
      <c r="AE24" s="49">
        <v>0</v>
      </c>
      <c r="AF24" s="49">
        <v>0</v>
      </c>
      <c r="AG24" s="49">
        <f t="shared" si="12"/>
        <v>0</v>
      </c>
      <c r="AH24" s="49">
        <v>1200</v>
      </c>
      <c r="AI24" s="49">
        <v>0</v>
      </c>
      <c r="AJ24" s="49">
        <f t="shared" si="13"/>
        <v>1200</v>
      </c>
      <c r="AK24" s="49">
        <f t="shared" si="14"/>
        <v>0</v>
      </c>
      <c r="AL24" s="49" t="e">
        <f t="shared" si="15"/>
        <v>#DIV/0!</v>
      </c>
      <c r="AM24" s="50">
        <v>0</v>
      </c>
      <c r="AN24" s="50">
        <v>0</v>
      </c>
      <c r="AO24" s="50">
        <v>0</v>
      </c>
      <c r="AP24" s="50">
        <f t="shared" si="16"/>
        <v>0</v>
      </c>
      <c r="AQ24" s="50">
        <v>600</v>
      </c>
      <c r="AR24" s="50">
        <v>0</v>
      </c>
      <c r="AS24" s="50">
        <f t="shared" si="17"/>
        <v>600</v>
      </c>
      <c r="AT24" s="50">
        <f t="shared" si="18"/>
        <v>0</v>
      </c>
      <c r="AU24" s="50" t="e">
        <f t="shared" si="19"/>
        <v>#DIV/0!</v>
      </c>
      <c r="AV24" s="51">
        <v>0</v>
      </c>
      <c r="AW24" s="51">
        <v>0</v>
      </c>
      <c r="AX24" s="51">
        <v>0</v>
      </c>
      <c r="AY24" s="51">
        <f t="shared" si="20"/>
        <v>0</v>
      </c>
      <c r="AZ24" s="51">
        <v>1500</v>
      </c>
      <c r="BA24" s="51">
        <v>0</v>
      </c>
      <c r="BB24" s="51">
        <f t="shared" si="21"/>
        <v>1500</v>
      </c>
      <c r="BC24" s="51">
        <f t="shared" si="22"/>
        <v>0</v>
      </c>
      <c r="BD24" s="51" t="e">
        <f t="shared" si="23"/>
        <v>#DIV/0!</v>
      </c>
      <c r="BE24" s="52">
        <v>0</v>
      </c>
      <c r="BF24" s="52">
        <v>0</v>
      </c>
      <c r="BG24" s="52">
        <v>0</v>
      </c>
      <c r="BH24" s="52">
        <f t="shared" si="24"/>
        <v>0</v>
      </c>
      <c r="BI24" s="52">
        <v>750</v>
      </c>
      <c r="BJ24" s="52">
        <v>0</v>
      </c>
      <c r="BK24" s="52">
        <f t="shared" si="25"/>
        <v>750</v>
      </c>
      <c r="BL24" s="52">
        <f t="shared" si="26"/>
        <v>0</v>
      </c>
      <c r="BM24" s="52" t="e">
        <f t="shared" si="27"/>
        <v>#DIV/0!</v>
      </c>
      <c r="BN24" s="53">
        <v>0</v>
      </c>
      <c r="BO24" s="53">
        <v>0</v>
      </c>
      <c r="BP24" s="53">
        <v>0</v>
      </c>
      <c r="BQ24" s="53">
        <f t="shared" si="28"/>
        <v>0</v>
      </c>
      <c r="BR24" s="53">
        <v>2450</v>
      </c>
      <c r="BS24" s="53">
        <v>0</v>
      </c>
      <c r="BT24" s="53">
        <f t="shared" si="29"/>
        <v>2450</v>
      </c>
      <c r="BU24" s="53">
        <f t="shared" si="30"/>
        <v>0</v>
      </c>
      <c r="BV24" s="53" t="e">
        <f t="shared" si="31"/>
        <v>#DIV/0!</v>
      </c>
      <c r="BW24" s="54">
        <v>0</v>
      </c>
      <c r="BX24" s="54">
        <v>0</v>
      </c>
      <c r="BY24" s="54">
        <v>0</v>
      </c>
      <c r="BZ24" s="54">
        <f t="shared" si="32"/>
        <v>0</v>
      </c>
      <c r="CA24" s="54">
        <v>750</v>
      </c>
      <c r="CB24" s="54">
        <v>0</v>
      </c>
      <c r="CC24" s="54">
        <f t="shared" si="33"/>
        <v>750</v>
      </c>
      <c r="CD24" s="54">
        <f t="shared" si="34"/>
        <v>0</v>
      </c>
      <c r="CE24" s="54" t="e">
        <f t="shared" si="35"/>
        <v>#DIV/0!</v>
      </c>
      <c r="CF24" s="55">
        <v>0</v>
      </c>
      <c r="CG24" s="55">
        <v>0</v>
      </c>
      <c r="CH24" s="55">
        <v>0</v>
      </c>
      <c r="CI24" s="55">
        <f t="shared" si="36"/>
        <v>0</v>
      </c>
      <c r="CJ24" s="55">
        <v>730</v>
      </c>
      <c r="CK24" s="55">
        <v>0</v>
      </c>
      <c r="CL24" s="55">
        <f t="shared" si="37"/>
        <v>730</v>
      </c>
      <c r="CM24" s="55">
        <f t="shared" si="38"/>
        <v>0</v>
      </c>
      <c r="CN24" s="55" t="e">
        <f t="shared" si="39"/>
        <v>#DIV/0!</v>
      </c>
      <c r="CO24" s="56">
        <v>0</v>
      </c>
      <c r="CP24" s="56">
        <v>0</v>
      </c>
      <c r="CQ24" s="56">
        <v>0</v>
      </c>
      <c r="CR24" s="56">
        <f t="shared" si="40"/>
        <v>0</v>
      </c>
      <c r="CS24" s="56">
        <v>730</v>
      </c>
      <c r="CT24" s="56">
        <v>0</v>
      </c>
      <c r="CU24" s="56">
        <f t="shared" si="41"/>
        <v>730</v>
      </c>
      <c r="CV24" s="56">
        <f t="shared" si="42"/>
        <v>0</v>
      </c>
      <c r="CW24" s="56" t="e">
        <f t="shared" si="43"/>
        <v>#DIV/0!</v>
      </c>
      <c r="CX24" s="57">
        <v>0</v>
      </c>
      <c r="CY24" s="57">
        <v>0</v>
      </c>
      <c r="CZ24" s="57">
        <v>0</v>
      </c>
      <c r="DA24" s="57">
        <f t="shared" si="44"/>
        <v>0</v>
      </c>
      <c r="DB24" s="57">
        <v>600</v>
      </c>
      <c r="DC24" s="57">
        <v>0</v>
      </c>
      <c r="DD24" s="57">
        <f t="shared" si="45"/>
        <v>600</v>
      </c>
      <c r="DE24" s="57">
        <f t="shared" si="46"/>
        <v>0</v>
      </c>
      <c r="DF24" s="57" t="e">
        <f t="shared" si="47"/>
        <v>#DIV/0!</v>
      </c>
    </row>
    <row r="25" spans="1:110" ht="14.25" customHeight="1">
      <c r="A25" s="60"/>
      <c r="B25" s="44"/>
      <c r="C25" s="45">
        <v>0</v>
      </c>
      <c r="D25" s="45">
        <v>0</v>
      </c>
      <c r="E25" s="45">
        <v>0</v>
      </c>
      <c r="F25" s="45">
        <f t="shared" si="0"/>
        <v>0</v>
      </c>
      <c r="G25" s="45">
        <v>900</v>
      </c>
      <c r="H25" s="45">
        <v>0</v>
      </c>
      <c r="I25" s="45">
        <f t="shared" si="1"/>
        <v>900</v>
      </c>
      <c r="J25" s="45">
        <f t="shared" si="2"/>
        <v>0</v>
      </c>
      <c r="K25" s="45" t="e">
        <f t="shared" si="3"/>
        <v>#DIV/0!</v>
      </c>
      <c r="L25" s="47">
        <v>0</v>
      </c>
      <c r="M25" s="47">
        <v>0</v>
      </c>
      <c r="N25" s="47">
        <v>0</v>
      </c>
      <c r="O25" s="47">
        <f t="shared" si="4"/>
        <v>0</v>
      </c>
      <c r="P25" s="47">
        <v>1800</v>
      </c>
      <c r="Q25" s="47">
        <v>0</v>
      </c>
      <c r="R25" s="47">
        <f t="shared" si="5"/>
        <v>1800</v>
      </c>
      <c r="S25" s="47">
        <f t="shared" si="6"/>
        <v>0</v>
      </c>
      <c r="T25" s="47" t="e">
        <f t="shared" si="7"/>
        <v>#DIV/0!</v>
      </c>
      <c r="U25" s="48">
        <v>0</v>
      </c>
      <c r="V25" s="48">
        <v>0</v>
      </c>
      <c r="W25" s="48">
        <v>0</v>
      </c>
      <c r="X25" s="48">
        <f t="shared" si="8"/>
        <v>0</v>
      </c>
      <c r="Y25" s="48">
        <v>910</v>
      </c>
      <c r="Z25" s="48">
        <v>0</v>
      </c>
      <c r="AA25" s="48">
        <f t="shared" si="9"/>
        <v>910</v>
      </c>
      <c r="AB25" s="48">
        <f t="shared" si="10"/>
        <v>0</v>
      </c>
      <c r="AC25" s="48" t="e">
        <f t="shared" si="11"/>
        <v>#DIV/0!</v>
      </c>
      <c r="AD25" s="49">
        <v>0</v>
      </c>
      <c r="AE25" s="49">
        <v>0</v>
      </c>
      <c r="AF25" s="49">
        <v>0</v>
      </c>
      <c r="AG25" s="49">
        <f t="shared" si="12"/>
        <v>0</v>
      </c>
      <c r="AH25" s="49">
        <v>1200</v>
      </c>
      <c r="AI25" s="49">
        <v>0</v>
      </c>
      <c r="AJ25" s="49">
        <f t="shared" si="13"/>
        <v>1200</v>
      </c>
      <c r="AK25" s="49">
        <f t="shared" si="14"/>
        <v>0</v>
      </c>
      <c r="AL25" s="49" t="e">
        <f t="shared" si="15"/>
        <v>#DIV/0!</v>
      </c>
      <c r="AM25" s="50">
        <v>0</v>
      </c>
      <c r="AN25" s="50">
        <v>0</v>
      </c>
      <c r="AO25" s="50">
        <v>0</v>
      </c>
      <c r="AP25" s="50">
        <f t="shared" si="16"/>
        <v>0</v>
      </c>
      <c r="AQ25" s="50">
        <v>600</v>
      </c>
      <c r="AR25" s="50">
        <v>0</v>
      </c>
      <c r="AS25" s="50">
        <f t="shared" si="17"/>
        <v>600</v>
      </c>
      <c r="AT25" s="50">
        <f t="shared" si="18"/>
        <v>0</v>
      </c>
      <c r="AU25" s="50" t="e">
        <f t="shared" si="19"/>
        <v>#DIV/0!</v>
      </c>
      <c r="AV25" s="51">
        <v>0</v>
      </c>
      <c r="AW25" s="51">
        <v>0</v>
      </c>
      <c r="AX25" s="51">
        <v>0</v>
      </c>
      <c r="AY25" s="51">
        <f t="shared" si="20"/>
        <v>0</v>
      </c>
      <c r="AZ25" s="51">
        <v>1500</v>
      </c>
      <c r="BA25" s="51">
        <v>0</v>
      </c>
      <c r="BB25" s="51">
        <f t="shared" si="21"/>
        <v>1500</v>
      </c>
      <c r="BC25" s="51">
        <f t="shared" si="22"/>
        <v>0</v>
      </c>
      <c r="BD25" s="51" t="e">
        <f t="shared" si="23"/>
        <v>#DIV/0!</v>
      </c>
      <c r="BE25" s="52">
        <v>0</v>
      </c>
      <c r="BF25" s="52">
        <v>0</v>
      </c>
      <c r="BG25" s="52">
        <v>0</v>
      </c>
      <c r="BH25" s="52">
        <f t="shared" si="24"/>
        <v>0</v>
      </c>
      <c r="BI25" s="52">
        <v>750</v>
      </c>
      <c r="BJ25" s="52">
        <v>0</v>
      </c>
      <c r="BK25" s="52">
        <f t="shared" si="25"/>
        <v>750</v>
      </c>
      <c r="BL25" s="52">
        <f t="shared" si="26"/>
        <v>0</v>
      </c>
      <c r="BM25" s="52" t="e">
        <f t="shared" si="27"/>
        <v>#DIV/0!</v>
      </c>
      <c r="BN25" s="53">
        <v>0</v>
      </c>
      <c r="BO25" s="53">
        <v>0</v>
      </c>
      <c r="BP25" s="53">
        <v>0</v>
      </c>
      <c r="BQ25" s="53">
        <f t="shared" si="28"/>
        <v>0</v>
      </c>
      <c r="BR25" s="53">
        <v>2450</v>
      </c>
      <c r="BS25" s="53">
        <v>0</v>
      </c>
      <c r="BT25" s="53">
        <f t="shared" si="29"/>
        <v>2450</v>
      </c>
      <c r="BU25" s="53">
        <f t="shared" si="30"/>
        <v>0</v>
      </c>
      <c r="BV25" s="53" t="e">
        <f t="shared" si="31"/>
        <v>#DIV/0!</v>
      </c>
      <c r="BW25" s="54">
        <v>0</v>
      </c>
      <c r="BX25" s="54">
        <v>0</v>
      </c>
      <c r="BY25" s="54">
        <v>0</v>
      </c>
      <c r="BZ25" s="54">
        <f t="shared" si="32"/>
        <v>0</v>
      </c>
      <c r="CA25" s="54">
        <v>750</v>
      </c>
      <c r="CB25" s="54">
        <v>0</v>
      </c>
      <c r="CC25" s="54">
        <f t="shared" si="33"/>
        <v>750</v>
      </c>
      <c r="CD25" s="54">
        <f t="shared" si="34"/>
        <v>0</v>
      </c>
      <c r="CE25" s="54" t="e">
        <f t="shared" si="35"/>
        <v>#DIV/0!</v>
      </c>
      <c r="CF25" s="55">
        <v>0</v>
      </c>
      <c r="CG25" s="55">
        <v>0</v>
      </c>
      <c r="CH25" s="55">
        <v>0</v>
      </c>
      <c r="CI25" s="55">
        <f t="shared" si="36"/>
        <v>0</v>
      </c>
      <c r="CJ25" s="55">
        <v>730</v>
      </c>
      <c r="CK25" s="55">
        <v>0</v>
      </c>
      <c r="CL25" s="55">
        <f t="shared" si="37"/>
        <v>730</v>
      </c>
      <c r="CM25" s="55">
        <f t="shared" si="38"/>
        <v>0</v>
      </c>
      <c r="CN25" s="55" t="e">
        <f t="shared" si="39"/>
        <v>#DIV/0!</v>
      </c>
      <c r="CO25" s="56">
        <v>0</v>
      </c>
      <c r="CP25" s="56">
        <v>0</v>
      </c>
      <c r="CQ25" s="56">
        <v>0</v>
      </c>
      <c r="CR25" s="56">
        <f t="shared" si="40"/>
        <v>0</v>
      </c>
      <c r="CS25" s="56">
        <v>730</v>
      </c>
      <c r="CT25" s="56">
        <v>0</v>
      </c>
      <c r="CU25" s="56">
        <f t="shared" si="41"/>
        <v>730</v>
      </c>
      <c r="CV25" s="56">
        <f t="shared" si="42"/>
        <v>0</v>
      </c>
      <c r="CW25" s="56" t="e">
        <f t="shared" si="43"/>
        <v>#DIV/0!</v>
      </c>
      <c r="CX25" s="57">
        <v>0</v>
      </c>
      <c r="CY25" s="57">
        <v>0</v>
      </c>
      <c r="CZ25" s="57">
        <v>0</v>
      </c>
      <c r="DA25" s="57">
        <f t="shared" si="44"/>
        <v>0</v>
      </c>
      <c r="DB25" s="57">
        <v>600</v>
      </c>
      <c r="DC25" s="57">
        <v>0</v>
      </c>
      <c r="DD25" s="57">
        <f t="shared" si="45"/>
        <v>600</v>
      </c>
      <c r="DE25" s="57">
        <f t="shared" si="46"/>
        <v>0</v>
      </c>
      <c r="DF25" s="57" t="e">
        <f t="shared" si="47"/>
        <v>#DIV/0!</v>
      </c>
    </row>
    <row r="26" spans="1:110" ht="14.25" customHeight="1">
      <c r="A26" s="60"/>
      <c r="B26" s="44"/>
      <c r="C26" s="45">
        <v>0</v>
      </c>
      <c r="D26" s="45">
        <v>0</v>
      </c>
      <c r="E26" s="45">
        <v>0</v>
      </c>
      <c r="F26" s="45">
        <f t="shared" si="0"/>
        <v>0</v>
      </c>
      <c r="G26" s="45">
        <v>900</v>
      </c>
      <c r="H26" s="45">
        <v>0</v>
      </c>
      <c r="I26" s="45">
        <f t="shared" si="1"/>
        <v>900</v>
      </c>
      <c r="J26" s="45">
        <f t="shared" si="2"/>
        <v>0</v>
      </c>
      <c r="K26" s="45" t="e">
        <f t="shared" si="3"/>
        <v>#DIV/0!</v>
      </c>
      <c r="L26" s="47">
        <v>0</v>
      </c>
      <c r="M26" s="47">
        <v>0</v>
      </c>
      <c r="N26" s="47">
        <v>0</v>
      </c>
      <c r="O26" s="47">
        <f t="shared" si="4"/>
        <v>0</v>
      </c>
      <c r="P26" s="47">
        <v>1800</v>
      </c>
      <c r="Q26" s="47">
        <v>0</v>
      </c>
      <c r="R26" s="47">
        <f t="shared" si="5"/>
        <v>1800</v>
      </c>
      <c r="S26" s="47">
        <f t="shared" si="6"/>
        <v>0</v>
      </c>
      <c r="T26" s="47" t="e">
        <f t="shared" si="7"/>
        <v>#DIV/0!</v>
      </c>
      <c r="U26" s="48">
        <v>0</v>
      </c>
      <c r="V26" s="48">
        <v>0</v>
      </c>
      <c r="W26" s="48">
        <v>0</v>
      </c>
      <c r="X26" s="48">
        <f t="shared" si="8"/>
        <v>0</v>
      </c>
      <c r="Y26" s="48">
        <v>910</v>
      </c>
      <c r="Z26" s="48">
        <v>0</v>
      </c>
      <c r="AA26" s="48">
        <f t="shared" si="9"/>
        <v>910</v>
      </c>
      <c r="AB26" s="48">
        <f t="shared" si="10"/>
        <v>0</v>
      </c>
      <c r="AC26" s="48" t="e">
        <f t="shared" si="11"/>
        <v>#DIV/0!</v>
      </c>
      <c r="AD26" s="49">
        <v>0</v>
      </c>
      <c r="AE26" s="49">
        <v>0</v>
      </c>
      <c r="AF26" s="49">
        <v>0</v>
      </c>
      <c r="AG26" s="49">
        <f t="shared" si="12"/>
        <v>0</v>
      </c>
      <c r="AH26" s="49">
        <v>1200</v>
      </c>
      <c r="AI26" s="49">
        <v>0</v>
      </c>
      <c r="AJ26" s="49">
        <f t="shared" si="13"/>
        <v>1200</v>
      </c>
      <c r="AK26" s="49">
        <f t="shared" si="14"/>
        <v>0</v>
      </c>
      <c r="AL26" s="49" t="e">
        <f t="shared" si="15"/>
        <v>#DIV/0!</v>
      </c>
      <c r="AM26" s="50">
        <v>0</v>
      </c>
      <c r="AN26" s="50">
        <v>0</v>
      </c>
      <c r="AO26" s="50">
        <v>0</v>
      </c>
      <c r="AP26" s="50">
        <f t="shared" si="16"/>
        <v>0</v>
      </c>
      <c r="AQ26" s="50">
        <v>600</v>
      </c>
      <c r="AR26" s="50">
        <v>0</v>
      </c>
      <c r="AS26" s="50">
        <f t="shared" si="17"/>
        <v>600</v>
      </c>
      <c r="AT26" s="50">
        <f t="shared" si="18"/>
        <v>0</v>
      </c>
      <c r="AU26" s="50" t="e">
        <f t="shared" si="19"/>
        <v>#DIV/0!</v>
      </c>
      <c r="AV26" s="51">
        <v>0</v>
      </c>
      <c r="AW26" s="51">
        <v>0</v>
      </c>
      <c r="AX26" s="51">
        <v>0</v>
      </c>
      <c r="AY26" s="51">
        <f t="shared" si="20"/>
        <v>0</v>
      </c>
      <c r="AZ26" s="51">
        <v>1500</v>
      </c>
      <c r="BA26" s="51">
        <v>0</v>
      </c>
      <c r="BB26" s="51">
        <f t="shared" si="21"/>
        <v>1500</v>
      </c>
      <c r="BC26" s="51">
        <f t="shared" si="22"/>
        <v>0</v>
      </c>
      <c r="BD26" s="51" t="e">
        <f t="shared" si="23"/>
        <v>#DIV/0!</v>
      </c>
      <c r="BE26" s="52">
        <v>0</v>
      </c>
      <c r="BF26" s="52">
        <v>0</v>
      </c>
      <c r="BG26" s="52">
        <v>0</v>
      </c>
      <c r="BH26" s="52">
        <f t="shared" si="24"/>
        <v>0</v>
      </c>
      <c r="BI26" s="52">
        <v>750</v>
      </c>
      <c r="BJ26" s="52">
        <v>0</v>
      </c>
      <c r="BK26" s="52">
        <f t="shared" si="25"/>
        <v>750</v>
      </c>
      <c r="BL26" s="52">
        <f t="shared" si="26"/>
        <v>0</v>
      </c>
      <c r="BM26" s="52" t="e">
        <f t="shared" si="27"/>
        <v>#DIV/0!</v>
      </c>
      <c r="BN26" s="53">
        <v>0</v>
      </c>
      <c r="BO26" s="53">
        <v>0</v>
      </c>
      <c r="BP26" s="53">
        <v>0</v>
      </c>
      <c r="BQ26" s="53">
        <f t="shared" si="28"/>
        <v>0</v>
      </c>
      <c r="BR26" s="53">
        <v>2450</v>
      </c>
      <c r="BS26" s="53">
        <v>0</v>
      </c>
      <c r="BT26" s="53">
        <f t="shared" si="29"/>
        <v>2450</v>
      </c>
      <c r="BU26" s="53">
        <f t="shared" si="30"/>
        <v>0</v>
      </c>
      <c r="BV26" s="53" t="e">
        <f t="shared" si="31"/>
        <v>#DIV/0!</v>
      </c>
      <c r="BW26" s="54">
        <v>0</v>
      </c>
      <c r="BX26" s="54">
        <v>0</v>
      </c>
      <c r="BY26" s="54">
        <v>0</v>
      </c>
      <c r="BZ26" s="54">
        <f t="shared" si="32"/>
        <v>0</v>
      </c>
      <c r="CA26" s="54">
        <v>750</v>
      </c>
      <c r="CB26" s="54">
        <v>0</v>
      </c>
      <c r="CC26" s="54">
        <f t="shared" si="33"/>
        <v>750</v>
      </c>
      <c r="CD26" s="54">
        <f t="shared" si="34"/>
        <v>0</v>
      </c>
      <c r="CE26" s="54" t="e">
        <f t="shared" si="35"/>
        <v>#DIV/0!</v>
      </c>
      <c r="CF26" s="55">
        <v>0</v>
      </c>
      <c r="CG26" s="55">
        <v>0</v>
      </c>
      <c r="CH26" s="55">
        <v>0</v>
      </c>
      <c r="CI26" s="55">
        <f t="shared" si="36"/>
        <v>0</v>
      </c>
      <c r="CJ26" s="55">
        <v>730</v>
      </c>
      <c r="CK26" s="55">
        <v>0</v>
      </c>
      <c r="CL26" s="55">
        <f t="shared" si="37"/>
        <v>730</v>
      </c>
      <c r="CM26" s="55">
        <f t="shared" si="38"/>
        <v>0</v>
      </c>
      <c r="CN26" s="55" t="e">
        <f t="shared" si="39"/>
        <v>#DIV/0!</v>
      </c>
      <c r="CO26" s="56">
        <v>0</v>
      </c>
      <c r="CP26" s="56">
        <v>0</v>
      </c>
      <c r="CQ26" s="56">
        <v>0</v>
      </c>
      <c r="CR26" s="56">
        <f t="shared" si="40"/>
        <v>0</v>
      </c>
      <c r="CS26" s="56">
        <v>730</v>
      </c>
      <c r="CT26" s="56">
        <v>0</v>
      </c>
      <c r="CU26" s="56">
        <f t="shared" si="41"/>
        <v>730</v>
      </c>
      <c r="CV26" s="56">
        <f t="shared" si="42"/>
        <v>0</v>
      </c>
      <c r="CW26" s="56" t="e">
        <f t="shared" si="43"/>
        <v>#DIV/0!</v>
      </c>
      <c r="CX26" s="57">
        <v>0</v>
      </c>
      <c r="CY26" s="57">
        <v>0</v>
      </c>
      <c r="CZ26" s="57">
        <v>0</v>
      </c>
      <c r="DA26" s="57">
        <f t="shared" si="44"/>
        <v>0</v>
      </c>
      <c r="DB26" s="57">
        <v>600</v>
      </c>
      <c r="DC26" s="57">
        <v>0</v>
      </c>
      <c r="DD26" s="57">
        <f t="shared" si="45"/>
        <v>600</v>
      </c>
      <c r="DE26" s="57">
        <f t="shared" si="46"/>
        <v>0</v>
      </c>
      <c r="DF26" s="57" t="e">
        <f t="shared" si="47"/>
        <v>#DIV/0!</v>
      </c>
    </row>
    <row r="27" spans="1:110" ht="14.25" customHeight="1">
      <c r="A27" s="60"/>
      <c r="B27" s="44"/>
      <c r="C27" s="45">
        <v>0</v>
      </c>
      <c r="D27" s="45">
        <v>0</v>
      </c>
      <c r="E27" s="45">
        <v>0</v>
      </c>
      <c r="F27" s="45">
        <f t="shared" si="0"/>
        <v>0</v>
      </c>
      <c r="G27" s="45">
        <v>900</v>
      </c>
      <c r="H27" s="45">
        <v>0</v>
      </c>
      <c r="I27" s="45">
        <f t="shared" si="1"/>
        <v>900</v>
      </c>
      <c r="J27" s="45">
        <f t="shared" si="2"/>
        <v>0</v>
      </c>
      <c r="K27" s="45" t="e">
        <f t="shared" si="3"/>
        <v>#DIV/0!</v>
      </c>
      <c r="L27" s="47">
        <v>0</v>
      </c>
      <c r="M27" s="47">
        <v>0</v>
      </c>
      <c r="N27" s="47">
        <v>0</v>
      </c>
      <c r="O27" s="47">
        <f t="shared" si="4"/>
        <v>0</v>
      </c>
      <c r="P27" s="47">
        <v>1800</v>
      </c>
      <c r="Q27" s="47">
        <v>0</v>
      </c>
      <c r="R27" s="47">
        <f t="shared" si="5"/>
        <v>1800</v>
      </c>
      <c r="S27" s="47">
        <f t="shared" si="6"/>
        <v>0</v>
      </c>
      <c r="T27" s="47" t="e">
        <f t="shared" si="7"/>
        <v>#DIV/0!</v>
      </c>
      <c r="U27" s="48">
        <v>0</v>
      </c>
      <c r="V27" s="48">
        <v>0</v>
      </c>
      <c r="W27" s="48">
        <v>0</v>
      </c>
      <c r="X27" s="48">
        <f t="shared" si="8"/>
        <v>0</v>
      </c>
      <c r="Y27" s="48">
        <v>910</v>
      </c>
      <c r="Z27" s="48">
        <v>0</v>
      </c>
      <c r="AA27" s="48">
        <f t="shared" si="9"/>
        <v>910</v>
      </c>
      <c r="AB27" s="48">
        <f t="shared" si="10"/>
        <v>0</v>
      </c>
      <c r="AC27" s="48" t="e">
        <f t="shared" si="11"/>
        <v>#DIV/0!</v>
      </c>
      <c r="AD27" s="49">
        <v>0</v>
      </c>
      <c r="AE27" s="49">
        <v>0</v>
      </c>
      <c r="AF27" s="49">
        <v>0</v>
      </c>
      <c r="AG27" s="49">
        <f t="shared" si="12"/>
        <v>0</v>
      </c>
      <c r="AH27" s="49">
        <v>1200</v>
      </c>
      <c r="AI27" s="49">
        <v>0</v>
      </c>
      <c r="AJ27" s="49">
        <f t="shared" si="13"/>
        <v>1200</v>
      </c>
      <c r="AK27" s="49">
        <f t="shared" si="14"/>
        <v>0</v>
      </c>
      <c r="AL27" s="49" t="e">
        <f t="shared" si="15"/>
        <v>#DIV/0!</v>
      </c>
      <c r="AM27" s="50">
        <v>0</v>
      </c>
      <c r="AN27" s="50">
        <v>0</v>
      </c>
      <c r="AO27" s="50">
        <v>0</v>
      </c>
      <c r="AP27" s="50">
        <f t="shared" si="16"/>
        <v>0</v>
      </c>
      <c r="AQ27" s="50">
        <v>600</v>
      </c>
      <c r="AR27" s="50">
        <v>0</v>
      </c>
      <c r="AS27" s="50">
        <f t="shared" si="17"/>
        <v>600</v>
      </c>
      <c r="AT27" s="50">
        <f t="shared" si="18"/>
        <v>0</v>
      </c>
      <c r="AU27" s="50" t="e">
        <f t="shared" si="19"/>
        <v>#DIV/0!</v>
      </c>
      <c r="AV27" s="51">
        <v>0</v>
      </c>
      <c r="AW27" s="51">
        <v>0</v>
      </c>
      <c r="AX27" s="51">
        <v>0</v>
      </c>
      <c r="AY27" s="51">
        <f t="shared" si="20"/>
        <v>0</v>
      </c>
      <c r="AZ27" s="51">
        <v>1500</v>
      </c>
      <c r="BA27" s="51">
        <v>0</v>
      </c>
      <c r="BB27" s="51">
        <f t="shared" si="21"/>
        <v>1500</v>
      </c>
      <c r="BC27" s="51">
        <f t="shared" si="22"/>
        <v>0</v>
      </c>
      <c r="BD27" s="51" t="e">
        <f t="shared" si="23"/>
        <v>#DIV/0!</v>
      </c>
      <c r="BE27" s="52">
        <v>0</v>
      </c>
      <c r="BF27" s="52">
        <v>0</v>
      </c>
      <c r="BG27" s="52">
        <v>0</v>
      </c>
      <c r="BH27" s="52">
        <f t="shared" si="24"/>
        <v>0</v>
      </c>
      <c r="BI27" s="52">
        <v>750</v>
      </c>
      <c r="BJ27" s="52">
        <v>0</v>
      </c>
      <c r="BK27" s="52">
        <f t="shared" si="25"/>
        <v>750</v>
      </c>
      <c r="BL27" s="52">
        <f t="shared" si="26"/>
        <v>0</v>
      </c>
      <c r="BM27" s="52" t="e">
        <f t="shared" si="27"/>
        <v>#DIV/0!</v>
      </c>
      <c r="BN27" s="53">
        <v>0</v>
      </c>
      <c r="BO27" s="53">
        <v>0</v>
      </c>
      <c r="BP27" s="53">
        <v>0</v>
      </c>
      <c r="BQ27" s="53">
        <f t="shared" si="28"/>
        <v>0</v>
      </c>
      <c r="BR27" s="53">
        <v>2450</v>
      </c>
      <c r="BS27" s="53">
        <v>0</v>
      </c>
      <c r="BT27" s="53">
        <f t="shared" si="29"/>
        <v>2450</v>
      </c>
      <c r="BU27" s="53">
        <f t="shared" si="30"/>
        <v>0</v>
      </c>
      <c r="BV27" s="53" t="e">
        <f t="shared" si="31"/>
        <v>#DIV/0!</v>
      </c>
      <c r="BW27" s="54">
        <v>0</v>
      </c>
      <c r="BX27" s="54">
        <v>0</v>
      </c>
      <c r="BY27" s="54">
        <v>0</v>
      </c>
      <c r="BZ27" s="54">
        <f t="shared" si="32"/>
        <v>0</v>
      </c>
      <c r="CA27" s="54">
        <v>750</v>
      </c>
      <c r="CB27" s="54">
        <v>0</v>
      </c>
      <c r="CC27" s="54">
        <f t="shared" si="33"/>
        <v>750</v>
      </c>
      <c r="CD27" s="54">
        <f t="shared" si="34"/>
        <v>0</v>
      </c>
      <c r="CE27" s="54" t="e">
        <f t="shared" si="35"/>
        <v>#DIV/0!</v>
      </c>
      <c r="CF27" s="55">
        <v>0</v>
      </c>
      <c r="CG27" s="55">
        <v>0</v>
      </c>
      <c r="CH27" s="55">
        <v>0</v>
      </c>
      <c r="CI27" s="55">
        <f t="shared" si="36"/>
        <v>0</v>
      </c>
      <c r="CJ27" s="55">
        <v>730</v>
      </c>
      <c r="CK27" s="55">
        <v>0</v>
      </c>
      <c r="CL27" s="55">
        <f t="shared" si="37"/>
        <v>730</v>
      </c>
      <c r="CM27" s="55">
        <f t="shared" si="38"/>
        <v>0</v>
      </c>
      <c r="CN27" s="55" t="e">
        <f t="shared" si="39"/>
        <v>#DIV/0!</v>
      </c>
      <c r="CO27" s="56">
        <v>0</v>
      </c>
      <c r="CP27" s="56">
        <v>0</v>
      </c>
      <c r="CQ27" s="56">
        <v>0</v>
      </c>
      <c r="CR27" s="56">
        <f t="shared" si="40"/>
        <v>0</v>
      </c>
      <c r="CS27" s="56">
        <v>730</v>
      </c>
      <c r="CT27" s="56">
        <v>0</v>
      </c>
      <c r="CU27" s="56">
        <f t="shared" si="41"/>
        <v>730</v>
      </c>
      <c r="CV27" s="56">
        <f t="shared" si="42"/>
        <v>0</v>
      </c>
      <c r="CW27" s="56" t="e">
        <f t="shared" si="43"/>
        <v>#DIV/0!</v>
      </c>
      <c r="CX27" s="57">
        <v>0</v>
      </c>
      <c r="CY27" s="57">
        <v>0</v>
      </c>
      <c r="CZ27" s="57">
        <v>0</v>
      </c>
      <c r="DA27" s="57">
        <f t="shared" si="44"/>
        <v>0</v>
      </c>
      <c r="DB27" s="57">
        <v>600</v>
      </c>
      <c r="DC27" s="57">
        <v>0</v>
      </c>
      <c r="DD27" s="57">
        <f t="shared" si="45"/>
        <v>600</v>
      </c>
      <c r="DE27" s="57">
        <f t="shared" si="46"/>
        <v>0</v>
      </c>
      <c r="DF27" s="57" t="e">
        <f t="shared" si="47"/>
        <v>#DIV/0!</v>
      </c>
    </row>
    <row r="28" spans="1:110" ht="14.25" customHeight="1">
      <c r="A28" s="60"/>
      <c r="B28" s="44"/>
      <c r="C28" s="45">
        <v>0</v>
      </c>
      <c r="D28" s="45">
        <v>0</v>
      </c>
      <c r="E28" s="45">
        <v>0</v>
      </c>
      <c r="F28" s="45">
        <f t="shared" si="0"/>
        <v>0</v>
      </c>
      <c r="G28" s="45">
        <v>900</v>
      </c>
      <c r="H28" s="45">
        <v>0</v>
      </c>
      <c r="I28" s="45">
        <f t="shared" si="1"/>
        <v>900</v>
      </c>
      <c r="J28" s="45">
        <f t="shared" si="2"/>
        <v>0</v>
      </c>
      <c r="K28" s="45" t="e">
        <f t="shared" si="3"/>
        <v>#DIV/0!</v>
      </c>
      <c r="L28" s="47">
        <v>0</v>
      </c>
      <c r="M28" s="47">
        <v>0</v>
      </c>
      <c r="N28" s="47">
        <v>0</v>
      </c>
      <c r="O28" s="47">
        <f t="shared" si="4"/>
        <v>0</v>
      </c>
      <c r="P28" s="47">
        <v>1800</v>
      </c>
      <c r="Q28" s="47">
        <v>0</v>
      </c>
      <c r="R28" s="47">
        <f t="shared" si="5"/>
        <v>1800</v>
      </c>
      <c r="S28" s="47">
        <f t="shared" si="6"/>
        <v>0</v>
      </c>
      <c r="T28" s="47" t="e">
        <f t="shared" si="7"/>
        <v>#DIV/0!</v>
      </c>
      <c r="U28" s="48">
        <v>0</v>
      </c>
      <c r="V28" s="48">
        <v>0</v>
      </c>
      <c r="W28" s="48">
        <v>0</v>
      </c>
      <c r="X28" s="48">
        <f t="shared" si="8"/>
        <v>0</v>
      </c>
      <c r="Y28" s="48">
        <v>910</v>
      </c>
      <c r="Z28" s="48">
        <v>0</v>
      </c>
      <c r="AA28" s="48">
        <f t="shared" si="9"/>
        <v>910</v>
      </c>
      <c r="AB28" s="48">
        <f t="shared" si="10"/>
        <v>0</v>
      </c>
      <c r="AC28" s="48" t="e">
        <f t="shared" si="11"/>
        <v>#DIV/0!</v>
      </c>
      <c r="AD28" s="49">
        <v>0</v>
      </c>
      <c r="AE28" s="49">
        <v>0</v>
      </c>
      <c r="AF28" s="49">
        <v>0</v>
      </c>
      <c r="AG28" s="49">
        <f t="shared" si="12"/>
        <v>0</v>
      </c>
      <c r="AH28" s="49">
        <v>1200</v>
      </c>
      <c r="AI28" s="49">
        <v>0</v>
      </c>
      <c r="AJ28" s="49">
        <f t="shared" si="13"/>
        <v>1200</v>
      </c>
      <c r="AK28" s="49">
        <f t="shared" si="14"/>
        <v>0</v>
      </c>
      <c r="AL28" s="49" t="e">
        <f t="shared" si="15"/>
        <v>#DIV/0!</v>
      </c>
      <c r="AM28" s="50">
        <v>0</v>
      </c>
      <c r="AN28" s="50">
        <v>0</v>
      </c>
      <c r="AO28" s="50">
        <v>0</v>
      </c>
      <c r="AP28" s="50">
        <f t="shared" si="16"/>
        <v>0</v>
      </c>
      <c r="AQ28" s="50">
        <v>600</v>
      </c>
      <c r="AR28" s="50">
        <v>0</v>
      </c>
      <c r="AS28" s="50">
        <f t="shared" si="17"/>
        <v>600</v>
      </c>
      <c r="AT28" s="50">
        <f t="shared" si="18"/>
        <v>0</v>
      </c>
      <c r="AU28" s="50" t="e">
        <f t="shared" si="19"/>
        <v>#DIV/0!</v>
      </c>
      <c r="AV28" s="51">
        <v>0</v>
      </c>
      <c r="AW28" s="51">
        <v>0</v>
      </c>
      <c r="AX28" s="51">
        <v>0</v>
      </c>
      <c r="AY28" s="51">
        <f t="shared" si="20"/>
        <v>0</v>
      </c>
      <c r="AZ28" s="51">
        <v>1500</v>
      </c>
      <c r="BA28" s="51">
        <v>0</v>
      </c>
      <c r="BB28" s="51">
        <f t="shared" si="21"/>
        <v>1500</v>
      </c>
      <c r="BC28" s="51">
        <f t="shared" si="22"/>
        <v>0</v>
      </c>
      <c r="BD28" s="51" t="e">
        <f t="shared" si="23"/>
        <v>#DIV/0!</v>
      </c>
      <c r="BE28" s="52">
        <v>0</v>
      </c>
      <c r="BF28" s="52">
        <v>0</v>
      </c>
      <c r="BG28" s="52">
        <v>0</v>
      </c>
      <c r="BH28" s="52">
        <f t="shared" si="24"/>
        <v>0</v>
      </c>
      <c r="BI28" s="52">
        <v>750</v>
      </c>
      <c r="BJ28" s="52">
        <v>0</v>
      </c>
      <c r="BK28" s="52">
        <f t="shared" si="25"/>
        <v>750</v>
      </c>
      <c r="BL28" s="52">
        <f t="shared" si="26"/>
        <v>0</v>
      </c>
      <c r="BM28" s="52" t="e">
        <f t="shared" si="27"/>
        <v>#DIV/0!</v>
      </c>
      <c r="BN28" s="53">
        <v>0</v>
      </c>
      <c r="BO28" s="53">
        <v>0</v>
      </c>
      <c r="BP28" s="53">
        <v>0</v>
      </c>
      <c r="BQ28" s="53">
        <f t="shared" si="28"/>
        <v>0</v>
      </c>
      <c r="BR28" s="53">
        <v>2450</v>
      </c>
      <c r="BS28" s="53">
        <v>0</v>
      </c>
      <c r="BT28" s="53">
        <f t="shared" si="29"/>
        <v>2450</v>
      </c>
      <c r="BU28" s="53">
        <f t="shared" si="30"/>
        <v>0</v>
      </c>
      <c r="BV28" s="53" t="e">
        <f t="shared" si="31"/>
        <v>#DIV/0!</v>
      </c>
      <c r="BW28" s="54">
        <v>0</v>
      </c>
      <c r="BX28" s="54">
        <v>0</v>
      </c>
      <c r="BY28" s="54">
        <v>0</v>
      </c>
      <c r="BZ28" s="54">
        <f t="shared" si="32"/>
        <v>0</v>
      </c>
      <c r="CA28" s="54">
        <v>750</v>
      </c>
      <c r="CB28" s="54">
        <v>0</v>
      </c>
      <c r="CC28" s="54">
        <f t="shared" si="33"/>
        <v>750</v>
      </c>
      <c r="CD28" s="54">
        <f t="shared" si="34"/>
        <v>0</v>
      </c>
      <c r="CE28" s="54" t="e">
        <f t="shared" si="35"/>
        <v>#DIV/0!</v>
      </c>
      <c r="CF28" s="55">
        <v>0</v>
      </c>
      <c r="CG28" s="55">
        <v>0</v>
      </c>
      <c r="CH28" s="55">
        <v>0</v>
      </c>
      <c r="CI28" s="55">
        <f t="shared" si="36"/>
        <v>0</v>
      </c>
      <c r="CJ28" s="55">
        <v>730</v>
      </c>
      <c r="CK28" s="55">
        <v>0</v>
      </c>
      <c r="CL28" s="55">
        <f t="shared" si="37"/>
        <v>730</v>
      </c>
      <c r="CM28" s="55">
        <f t="shared" si="38"/>
        <v>0</v>
      </c>
      <c r="CN28" s="55" t="e">
        <f t="shared" si="39"/>
        <v>#DIV/0!</v>
      </c>
      <c r="CO28" s="56">
        <v>0</v>
      </c>
      <c r="CP28" s="56">
        <v>0</v>
      </c>
      <c r="CQ28" s="56">
        <v>0</v>
      </c>
      <c r="CR28" s="56">
        <f t="shared" si="40"/>
        <v>0</v>
      </c>
      <c r="CS28" s="56">
        <v>730</v>
      </c>
      <c r="CT28" s="56">
        <v>0</v>
      </c>
      <c r="CU28" s="56">
        <f t="shared" si="41"/>
        <v>730</v>
      </c>
      <c r="CV28" s="56">
        <f t="shared" si="42"/>
        <v>0</v>
      </c>
      <c r="CW28" s="56" t="e">
        <f t="shared" si="43"/>
        <v>#DIV/0!</v>
      </c>
      <c r="CX28" s="57">
        <v>0</v>
      </c>
      <c r="CY28" s="57">
        <v>0</v>
      </c>
      <c r="CZ28" s="57">
        <v>0</v>
      </c>
      <c r="DA28" s="57">
        <f t="shared" si="44"/>
        <v>0</v>
      </c>
      <c r="DB28" s="57">
        <v>600</v>
      </c>
      <c r="DC28" s="57">
        <v>0</v>
      </c>
      <c r="DD28" s="57">
        <f t="shared" si="45"/>
        <v>600</v>
      </c>
      <c r="DE28" s="57">
        <f t="shared" si="46"/>
        <v>0</v>
      </c>
      <c r="DF28" s="57" t="e">
        <f t="shared" si="47"/>
        <v>#DIV/0!</v>
      </c>
    </row>
    <row r="29" spans="1:110" ht="14.25" customHeight="1">
      <c r="A29" s="60"/>
      <c r="B29" s="44"/>
      <c r="C29" s="45">
        <v>0</v>
      </c>
      <c r="D29" s="45">
        <v>0</v>
      </c>
      <c r="E29" s="45">
        <v>0</v>
      </c>
      <c r="F29" s="45">
        <f t="shared" si="0"/>
        <v>0</v>
      </c>
      <c r="G29" s="45">
        <v>900</v>
      </c>
      <c r="H29" s="45">
        <v>0</v>
      </c>
      <c r="I29" s="45">
        <f t="shared" si="1"/>
        <v>900</v>
      </c>
      <c r="J29" s="45">
        <f t="shared" si="2"/>
        <v>0</v>
      </c>
      <c r="K29" s="45" t="e">
        <f t="shared" si="3"/>
        <v>#DIV/0!</v>
      </c>
      <c r="L29" s="47">
        <v>0</v>
      </c>
      <c r="M29" s="47">
        <v>0</v>
      </c>
      <c r="N29" s="47">
        <v>0</v>
      </c>
      <c r="O29" s="47">
        <f t="shared" si="4"/>
        <v>0</v>
      </c>
      <c r="P29" s="47">
        <v>1800</v>
      </c>
      <c r="Q29" s="47">
        <v>0</v>
      </c>
      <c r="R29" s="47">
        <f t="shared" si="5"/>
        <v>1800</v>
      </c>
      <c r="S29" s="47">
        <f t="shared" si="6"/>
        <v>0</v>
      </c>
      <c r="T29" s="47" t="e">
        <f t="shared" si="7"/>
        <v>#DIV/0!</v>
      </c>
      <c r="U29" s="48">
        <v>0</v>
      </c>
      <c r="V29" s="48">
        <v>0</v>
      </c>
      <c r="W29" s="48">
        <v>0</v>
      </c>
      <c r="X29" s="48">
        <f t="shared" si="8"/>
        <v>0</v>
      </c>
      <c r="Y29" s="48">
        <v>910</v>
      </c>
      <c r="Z29" s="48">
        <v>0</v>
      </c>
      <c r="AA29" s="48">
        <f t="shared" si="9"/>
        <v>910</v>
      </c>
      <c r="AB29" s="48">
        <f t="shared" si="10"/>
        <v>0</v>
      </c>
      <c r="AC29" s="48" t="e">
        <f t="shared" si="11"/>
        <v>#DIV/0!</v>
      </c>
      <c r="AD29" s="49">
        <v>0</v>
      </c>
      <c r="AE29" s="49">
        <v>0</v>
      </c>
      <c r="AF29" s="49">
        <v>0</v>
      </c>
      <c r="AG29" s="49">
        <f t="shared" si="12"/>
        <v>0</v>
      </c>
      <c r="AH29" s="49">
        <v>1200</v>
      </c>
      <c r="AI29" s="49">
        <v>0</v>
      </c>
      <c r="AJ29" s="49">
        <f t="shared" si="13"/>
        <v>1200</v>
      </c>
      <c r="AK29" s="49">
        <f t="shared" si="14"/>
        <v>0</v>
      </c>
      <c r="AL29" s="49" t="e">
        <f t="shared" si="15"/>
        <v>#DIV/0!</v>
      </c>
      <c r="AM29" s="50">
        <v>0</v>
      </c>
      <c r="AN29" s="50">
        <v>0</v>
      </c>
      <c r="AO29" s="50">
        <v>0</v>
      </c>
      <c r="AP29" s="50">
        <f t="shared" si="16"/>
        <v>0</v>
      </c>
      <c r="AQ29" s="50">
        <v>600</v>
      </c>
      <c r="AR29" s="50">
        <v>0</v>
      </c>
      <c r="AS29" s="50">
        <f t="shared" si="17"/>
        <v>600</v>
      </c>
      <c r="AT29" s="50">
        <f t="shared" si="18"/>
        <v>0</v>
      </c>
      <c r="AU29" s="50" t="e">
        <f t="shared" si="19"/>
        <v>#DIV/0!</v>
      </c>
      <c r="AV29" s="51">
        <v>0</v>
      </c>
      <c r="AW29" s="51">
        <v>0</v>
      </c>
      <c r="AX29" s="51">
        <v>0</v>
      </c>
      <c r="AY29" s="51">
        <f t="shared" si="20"/>
        <v>0</v>
      </c>
      <c r="AZ29" s="51">
        <v>1500</v>
      </c>
      <c r="BA29" s="51">
        <v>0</v>
      </c>
      <c r="BB29" s="51">
        <f t="shared" si="21"/>
        <v>1500</v>
      </c>
      <c r="BC29" s="51">
        <f t="shared" si="22"/>
        <v>0</v>
      </c>
      <c r="BD29" s="51" t="e">
        <f t="shared" si="23"/>
        <v>#DIV/0!</v>
      </c>
      <c r="BE29" s="52">
        <v>0</v>
      </c>
      <c r="BF29" s="52">
        <v>0</v>
      </c>
      <c r="BG29" s="52">
        <v>0</v>
      </c>
      <c r="BH29" s="52">
        <f t="shared" si="24"/>
        <v>0</v>
      </c>
      <c r="BI29" s="52">
        <v>750</v>
      </c>
      <c r="BJ29" s="52">
        <v>0</v>
      </c>
      <c r="BK29" s="52">
        <f t="shared" si="25"/>
        <v>750</v>
      </c>
      <c r="BL29" s="52">
        <f t="shared" si="26"/>
        <v>0</v>
      </c>
      <c r="BM29" s="52" t="e">
        <f t="shared" si="27"/>
        <v>#DIV/0!</v>
      </c>
      <c r="BN29" s="53">
        <v>0</v>
      </c>
      <c r="BO29" s="53">
        <v>0</v>
      </c>
      <c r="BP29" s="53">
        <v>0</v>
      </c>
      <c r="BQ29" s="53">
        <f t="shared" si="28"/>
        <v>0</v>
      </c>
      <c r="BR29" s="53">
        <v>2450</v>
      </c>
      <c r="BS29" s="53">
        <v>0</v>
      </c>
      <c r="BT29" s="53">
        <f t="shared" si="29"/>
        <v>2450</v>
      </c>
      <c r="BU29" s="53">
        <f t="shared" si="30"/>
        <v>0</v>
      </c>
      <c r="BV29" s="53" t="e">
        <f t="shared" si="31"/>
        <v>#DIV/0!</v>
      </c>
      <c r="BW29" s="54">
        <v>0</v>
      </c>
      <c r="BX29" s="54">
        <v>0</v>
      </c>
      <c r="BY29" s="54">
        <v>0</v>
      </c>
      <c r="BZ29" s="54">
        <f t="shared" si="32"/>
        <v>0</v>
      </c>
      <c r="CA29" s="54">
        <v>750</v>
      </c>
      <c r="CB29" s="54">
        <v>0</v>
      </c>
      <c r="CC29" s="54">
        <f t="shared" si="33"/>
        <v>750</v>
      </c>
      <c r="CD29" s="54">
        <f t="shared" si="34"/>
        <v>0</v>
      </c>
      <c r="CE29" s="54" t="e">
        <f t="shared" si="35"/>
        <v>#DIV/0!</v>
      </c>
      <c r="CF29" s="55">
        <v>0</v>
      </c>
      <c r="CG29" s="55">
        <v>0</v>
      </c>
      <c r="CH29" s="55">
        <v>0</v>
      </c>
      <c r="CI29" s="55">
        <f t="shared" si="36"/>
        <v>0</v>
      </c>
      <c r="CJ29" s="55">
        <v>730</v>
      </c>
      <c r="CK29" s="55">
        <v>0</v>
      </c>
      <c r="CL29" s="55">
        <f t="shared" si="37"/>
        <v>730</v>
      </c>
      <c r="CM29" s="55">
        <f t="shared" si="38"/>
        <v>0</v>
      </c>
      <c r="CN29" s="55" t="e">
        <f t="shared" si="39"/>
        <v>#DIV/0!</v>
      </c>
      <c r="CO29" s="56">
        <v>0</v>
      </c>
      <c r="CP29" s="56">
        <v>0</v>
      </c>
      <c r="CQ29" s="56">
        <v>0</v>
      </c>
      <c r="CR29" s="56">
        <f t="shared" si="40"/>
        <v>0</v>
      </c>
      <c r="CS29" s="56">
        <v>730</v>
      </c>
      <c r="CT29" s="56">
        <v>0</v>
      </c>
      <c r="CU29" s="56">
        <f t="shared" si="41"/>
        <v>730</v>
      </c>
      <c r="CV29" s="56">
        <f t="shared" si="42"/>
        <v>0</v>
      </c>
      <c r="CW29" s="56" t="e">
        <f t="shared" si="43"/>
        <v>#DIV/0!</v>
      </c>
      <c r="CX29" s="57">
        <v>0</v>
      </c>
      <c r="CY29" s="57">
        <v>0</v>
      </c>
      <c r="CZ29" s="57">
        <v>0</v>
      </c>
      <c r="DA29" s="57">
        <f t="shared" si="44"/>
        <v>0</v>
      </c>
      <c r="DB29" s="57">
        <v>600</v>
      </c>
      <c r="DC29" s="57">
        <v>0</v>
      </c>
      <c r="DD29" s="57">
        <f t="shared" si="45"/>
        <v>600</v>
      </c>
      <c r="DE29" s="57">
        <f t="shared" si="46"/>
        <v>0</v>
      </c>
      <c r="DF29" s="57" t="e">
        <f t="shared" si="47"/>
        <v>#DIV/0!</v>
      </c>
    </row>
    <row r="30" spans="1:110" ht="14.25" customHeight="1">
      <c r="A30" s="60"/>
      <c r="B30" s="44"/>
      <c r="C30" s="45">
        <v>0</v>
      </c>
      <c r="D30" s="45">
        <v>0</v>
      </c>
      <c r="E30" s="45">
        <v>0</v>
      </c>
      <c r="F30" s="45">
        <f t="shared" si="0"/>
        <v>0</v>
      </c>
      <c r="G30" s="45">
        <v>900</v>
      </c>
      <c r="H30" s="45">
        <v>0</v>
      </c>
      <c r="I30" s="45">
        <f t="shared" si="1"/>
        <v>900</v>
      </c>
      <c r="J30" s="45">
        <f t="shared" si="2"/>
        <v>0</v>
      </c>
      <c r="K30" s="45" t="e">
        <f t="shared" si="3"/>
        <v>#DIV/0!</v>
      </c>
      <c r="L30" s="47">
        <v>0</v>
      </c>
      <c r="M30" s="47">
        <v>0</v>
      </c>
      <c r="N30" s="47">
        <v>0</v>
      </c>
      <c r="O30" s="47">
        <f t="shared" si="4"/>
        <v>0</v>
      </c>
      <c r="P30" s="47">
        <v>1800</v>
      </c>
      <c r="Q30" s="47">
        <v>0</v>
      </c>
      <c r="R30" s="47">
        <f t="shared" si="5"/>
        <v>1800</v>
      </c>
      <c r="S30" s="47">
        <f t="shared" si="6"/>
        <v>0</v>
      </c>
      <c r="T30" s="47" t="e">
        <f t="shared" si="7"/>
        <v>#DIV/0!</v>
      </c>
      <c r="U30" s="48">
        <v>0</v>
      </c>
      <c r="V30" s="48">
        <v>0</v>
      </c>
      <c r="W30" s="48">
        <v>0</v>
      </c>
      <c r="X30" s="48">
        <f t="shared" si="8"/>
        <v>0</v>
      </c>
      <c r="Y30" s="48">
        <v>910</v>
      </c>
      <c r="Z30" s="48">
        <v>0</v>
      </c>
      <c r="AA30" s="48">
        <f t="shared" si="9"/>
        <v>910</v>
      </c>
      <c r="AB30" s="48">
        <f t="shared" si="10"/>
        <v>0</v>
      </c>
      <c r="AC30" s="48" t="e">
        <f t="shared" si="11"/>
        <v>#DIV/0!</v>
      </c>
      <c r="AD30" s="49">
        <v>0</v>
      </c>
      <c r="AE30" s="49">
        <v>0</v>
      </c>
      <c r="AF30" s="49">
        <v>0</v>
      </c>
      <c r="AG30" s="49">
        <f t="shared" si="12"/>
        <v>0</v>
      </c>
      <c r="AH30" s="49">
        <v>1200</v>
      </c>
      <c r="AI30" s="49">
        <v>0</v>
      </c>
      <c r="AJ30" s="49">
        <f t="shared" si="13"/>
        <v>1200</v>
      </c>
      <c r="AK30" s="49">
        <f t="shared" si="14"/>
        <v>0</v>
      </c>
      <c r="AL30" s="49" t="e">
        <f t="shared" si="15"/>
        <v>#DIV/0!</v>
      </c>
      <c r="AM30" s="50">
        <v>0</v>
      </c>
      <c r="AN30" s="50">
        <v>0</v>
      </c>
      <c r="AO30" s="50">
        <v>0</v>
      </c>
      <c r="AP30" s="50">
        <f t="shared" si="16"/>
        <v>0</v>
      </c>
      <c r="AQ30" s="50">
        <v>600</v>
      </c>
      <c r="AR30" s="50">
        <v>0</v>
      </c>
      <c r="AS30" s="50">
        <f t="shared" si="17"/>
        <v>600</v>
      </c>
      <c r="AT30" s="50">
        <f t="shared" si="18"/>
        <v>0</v>
      </c>
      <c r="AU30" s="50" t="e">
        <f t="shared" si="19"/>
        <v>#DIV/0!</v>
      </c>
      <c r="AV30" s="51">
        <v>0</v>
      </c>
      <c r="AW30" s="51">
        <v>0</v>
      </c>
      <c r="AX30" s="51">
        <v>0</v>
      </c>
      <c r="AY30" s="51">
        <f t="shared" si="20"/>
        <v>0</v>
      </c>
      <c r="AZ30" s="51">
        <v>1500</v>
      </c>
      <c r="BA30" s="51">
        <v>0</v>
      </c>
      <c r="BB30" s="51">
        <f t="shared" si="21"/>
        <v>1500</v>
      </c>
      <c r="BC30" s="51">
        <f t="shared" si="22"/>
        <v>0</v>
      </c>
      <c r="BD30" s="51" t="e">
        <f t="shared" si="23"/>
        <v>#DIV/0!</v>
      </c>
      <c r="BE30" s="52">
        <v>0</v>
      </c>
      <c r="BF30" s="52">
        <v>0</v>
      </c>
      <c r="BG30" s="52">
        <v>0</v>
      </c>
      <c r="BH30" s="52">
        <f t="shared" si="24"/>
        <v>0</v>
      </c>
      <c r="BI30" s="52">
        <v>750</v>
      </c>
      <c r="BJ30" s="52">
        <v>0</v>
      </c>
      <c r="BK30" s="52">
        <f t="shared" si="25"/>
        <v>750</v>
      </c>
      <c r="BL30" s="52">
        <f t="shared" si="26"/>
        <v>0</v>
      </c>
      <c r="BM30" s="52" t="e">
        <f t="shared" si="27"/>
        <v>#DIV/0!</v>
      </c>
      <c r="BN30" s="53">
        <v>0</v>
      </c>
      <c r="BO30" s="53">
        <v>0</v>
      </c>
      <c r="BP30" s="53">
        <v>0</v>
      </c>
      <c r="BQ30" s="53">
        <f t="shared" si="28"/>
        <v>0</v>
      </c>
      <c r="BR30" s="53">
        <v>2450</v>
      </c>
      <c r="BS30" s="53">
        <v>0</v>
      </c>
      <c r="BT30" s="53">
        <f t="shared" si="29"/>
        <v>2450</v>
      </c>
      <c r="BU30" s="53">
        <f t="shared" si="30"/>
        <v>0</v>
      </c>
      <c r="BV30" s="53" t="e">
        <f t="shared" si="31"/>
        <v>#DIV/0!</v>
      </c>
      <c r="BW30" s="54">
        <v>0</v>
      </c>
      <c r="BX30" s="54">
        <v>0</v>
      </c>
      <c r="BY30" s="54">
        <v>0</v>
      </c>
      <c r="BZ30" s="54">
        <f t="shared" si="32"/>
        <v>0</v>
      </c>
      <c r="CA30" s="54">
        <v>750</v>
      </c>
      <c r="CB30" s="54">
        <v>0</v>
      </c>
      <c r="CC30" s="54">
        <f t="shared" si="33"/>
        <v>750</v>
      </c>
      <c r="CD30" s="54">
        <f t="shared" si="34"/>
        <v>0</v>
      </c>
      <c r="CE30" s="54" t="e">
        <f t="shared" si="35"/>
        <v>#DIV/0!</v>
      </c>
      <c r="CF30" s="55">
        <v>0</v>
      </c>
      <c r="CG30" s="55">
        <v>0</v>
      </c>
      <c r="CH30" s="55">
        <v>0</v>
      </c>
      <c r="CI30" s="55">
        <f t="shared" si="36"/>
        <v>0</v>
      </c>
      <c r="CJ30" s="55">
        <v>730</v>
      </c>
      <c r="CK30" s="55">
        <v>0</v>
      </c>
      <c r="CL30" s="55">
        <f t="shared" si="37"/>
        <v>730</v>
      </c>
      <c r="CM30" s="55">
        <f t="shared" si="38"/>
        <v>0</v>
      </c>
      <c r="CN30" s="55" t="e">
        <f t="shared" si="39"/>
        <v>#DIV/0!</v>
      </c>
      <c r="CO30" s="56">
        <v>0</v>
      </c>
      <c r="CP30" s="56">
        <v>0</v>
      </c>
      <c r="CQ30" s="56">
        <v>0</v>
      </c>
      <c r="CR30" s="56">
        <f t="shared" si="40"/>
        <v>0</v>
      </c>
      <c r="CS30" s="56">
        <v>730</v>
      </c>
      <c r="CT30" s="56">
        <v>0</v>
      </c>
      <c r="CU30" s="56">
        <f t="shared" si="41"/>
        <v>730</v>
      </c>
      <c r="CV30" s="56">
        <f t="shared" si="42"/>
        <v>0</v>
      </c>
      <c r="CW30" s="56" t="e">
        <f t="shared" si="43"/>
        <v>#DIV/0!</v>
      </c>
      <c r="CX30" s="57">
        <v>0</v>
      </c>
      <c r="CY30" s="57">
        <v>0</v>
      </c>
      <c r="CZ30" s="57">
        <v>0</v>
      </c>
      <c r="DA30" s="57">
        <f t="shared" si="44"/>
        <v>0</v>
      </c>
      <c r="DB30" s="57">
        <v>600</v>
      </c>
      <c r="DC30" s="57">
        <v>0</v>
      </c>
      <c r="DD30" s="57">
        <f t="shared" si="45"/>
        <v>600</v>
      </c>
      <c r="DE30" s="57">
        <f t="shared" si="46"/>
        <v>0</v>
      </c>
      <c r="DF30" s="57" t="e">
        <f t="shared" si="47"/>
        <v>#DIV/0!</v>
      </c>
    </row>
    <row r="31" spans="1:110" ht="14.25" customHeight="1">
      <c r="A31" s="60"/>
      <c r="B31" s="44"/>
      <c r="C31" s="45">
        <v>0</v>
      </c>
      <c r="D31" s="45">
        <v>0</v>
      </c>
      <c r="E31" s="45">
        <v>0</v>
      </c>
      <c r="F31" s="45">
        <f t="shared" si="0"/>
        <v>0</v>
      </c>
      <c r="G31" s="45">
        <v>900</v>
      </c>
      <c r="H31" s="45">
        <v>0</v>
      </c>
      <c r="I31" s="45">
        <f t="shared" si="1"/>
        <v>900</v>
      </c>
      <c r="J31" s="45">
        <f t="shared" si="2"/>
        <v>0</v>
      </c>
      <c r="K31" s="45" t="e">
        <f t="shared" si="3"/>
        <v>#DIV/0!</v>
      </c>
      <c r="L31" s="47">
        <v>0</v>
      </c>
      <c r="M31" s="47">
        <v>0</v>
      </c>
      <c r="N31" s="47">
        <v>0</v>
      </c>
      <c r="O31" s="47">
        <f t="shared" si="4"/>
        <v>0</v>
      </c>
      <c r="P31" s="47">
        <v>1800</v>
      </c>
      <c r="Q31" s="47">
        <v>0</v>
      </c>
      <c r="R31" s="47">
        <f t="shared" si="5"/>
        <v>1800</v>
      </c>
      <c r="S31" s="47">
        <f t="shared" si="6"/>
        <v>0</v>
      </c>
      <c r="T31" s="47" t="e">
        <f t="shared" si="7"/>
        <v>#DIV/0!</v>
      </c>
      <c r="U31" s="48">
        <v>0</v>
      </c>
      <c r="V31" s="48">
        <v>0</v>
      </c>
      <c r="W31" s="48">
        <v>0</v>
      </c>
      <c r="X31" s="48">
        <f t="shared" si="8"/>
        <v>0</v>
      </c>
      <c r="Y31" s="48">
        <v>910</v>
      </c>
      <c r="Z31" s="48">
        <v>0</v>
      </c>
      <c r="AA31" s="48">
        <f t="shared" si="9"/>
        <v>910</v>
      </c>
      <c r="AB31" s="48">
        <f t="shared" si="10"/>
        <v>0</v>
      </c>
      <c r="AC31" s="48" t="e">
        <f t="shared" si="11"/>
        <v>#DIV/0!</v>
      </c>
      <c r="AD31" s="49">
        <v>0</v>
      </c>
      <c r="AE31" s="49">
        <v>0</v>
      </c>
      <c r="AF31" s="49">
        <v>0</v>
      </c>
      <c r="AG31" s="49">
        <f t="shared" si="12"/>
        <v>0</v>
      </c>
      <c r="AH31" s="49">
        <v>1200</v>
      </c>
      <c r="AI31" s="49">
        <v>0</v>
      </c>
      <c r="AJ31" s="49">
        <f t="shared" si="13"/>
        <v>1200</v>
      </c>
      <c r="AK31" s="49">
        <f t="shared" si="14"/>
        <v>0</v>
      </c>
      <c r="AL31" s="49" t="e">
        <f t="shared" si="15"/>
        <v>#DIV/0!</v>
      </c>
      <c r="AM31" s="50">
        <v>0</v>
      </c>
      <c r="AN31" s="50">
        <v>0</v>
      </c>
      <c r="AO31" s="50">
        <v>0</v>
      </c>
      <c r="AP31" s="50">
        <f t="shared" si="16"/>
        <v>0</v>
      </c>
      <c r="AQ31" s="50">
        <v>600</v>
      </c>
      <c r="AR31" s="50">
        <v>0</v>
      </c>
      <c r="AS31" s="50">
        <f t="shared" si="17"/>
        <v>600</v>
      </c>
      <c r="AT31" s="50">
        <f t="shared" si="18"/>
        <v>0</v>
      </c>
      <c r="AU31" s="50" t="e">
        <f t="shared" si="19"/>
        <v>#DIV/0!</v>
      </c>
      <c r="AV31" s="51">
        <v>0</v>
      </c>
      <c r="AW31" s="51">
        <v>0</v>
      </c>
      <c r="AX31" s="51">
        <v>0</v>
      </c>
      <c r="AY31" s="51">
        <f t="shared" si="20"/>
        <v>0</v>
      </c>
      <c r="AZ31" s="51">
        <v>1500</v>
      </c>
      <c r="BA31" s="51">
        <v>0</v>
      </c>
      <c r="BB31" s="51">
        <f t="shared" si="21"/>
        <v>1500</v>
      </c>
      <c r="BC31" s="51">
        <f t="shared" si="22"/>
        <v>0</v>
      </c>
      <c r="BD31" s="51" t="e">
        <f t="shared" si="23"/>
        <v>#DIV/0!</v>
      </c>
      <c r="BE31" s="52">
        <v>0</v>
      </c>
      <c r="BF31" s="52">
        <v>0</v>
      </c>
      <c r="BG31" s="52">
        <v>0</v>
      </c>
      <c r="BH31" s="52">
        <f t="shared" si="24"/>
        <v>0</v>
      </c>
      <c r="BI31" s="52">
        <v>750</v>
      </c>
      <c r="BJ31" s="52">
        <v>0</v>
      </c>
      <c r="BK31" s="52">
        <f t="shared" si="25"/>
        <v>750</v>
      </c>
      <c r="BL31" s="52">
        <f t="shared" si="26"/>
        <v>0</v>
      </c>
      <c r="BM31" s="52" t="e">
        <f t="shared" si="27"/>
        <v>#DIV/0!</v>
      </c>
      <c r="BN31" s="53">
        <v>0</v>
      </c>
      <c r="BO31" s="53">
        <v>0</v>
      </c>
      <c r="BP31" s="53">
        <v>0</v>
      </c>
      <c r="BQ31" s="53">
        <f t="shared" si="28"/>
        <v>0</v>
      </c>
      <c r="BR31" s="53">
        <v>2450</v>
      </c>
      <c r="BS31" s="53">
        <v>0</v>
      </c>
      <c r="BT31" s="53">
        <f t="shared" si="29"/>
        <v>2450</v>
      </c>
      <c r="BU31" s="53">
        <f t="shared" si="30"/>
        <v>0</v>
      </c>
      <c r="BV31" s="53" t="e">
        <f t="shared" si="31"/>
        <v>#DIV/0!</v>
      </c>
      <c r="BW31" s="54">
        <v>0</v>
      </c>
      <c r="BX31" s="54">
        <v>0</v>
      </c>
      <c r="BY31" s="54">
        <v>0</v>
      </c>
      <c r="BZ31" s="54">
        <f t="shared" si="32"/>
        <v>0</v>
      </c>
      <c r="CA31" s="54">
        <v>750</v>
      </c>
      <c r="CB31" s="54">
        <v>0</v>
      </c>
      <c r="CC31" s="54">
        <f t="shared" si="33"/>
        <v>750</v>
      </c>
      <c r="CD31" s="54">
        <f t="shared" si="34"/>
        <v>0</v>
      </c>
      <c r="CE31" s="54" t="e">
        <f t="shared" si="35"/>
        <v>#DIV/0!</v>
      </c>
      <c r="CF31" s="55">
        <v>0</v>
      </c>
      <c r="CG31" s="55">
        <v>0</v>
      </c>
      <c r="CH31" s="55">
        <v>0</v>
      </c>
      <c r="CI31" s="55">
        <f t="shared" si="36"/>
        <v>0</v>
      </c>
      <c r="CJ31" s="55">
        <v>730</v>
      </c>
      <c r="CK31" s="55">
        <v>0</v>
      </c>
      <c r="CL31" s="55">
        <f t="shared" si="37"/>
        <v>730</v>
      </c>
      <c r="CM31" s="55">
        <f t="shared" si="38"/>
        <v>0</v>
      </c>
      <c r="CN31" s="55" t="e">
        <f t="shared" si="39"/>
        <v>#DIV/0!</v>
      </c>
      <c r="CO31" s="56">
        <v>0</v>
      </c>
      <c r="CP31" s="56">
        <v>0</v>
      </c>
      <c r="CQ31" s="56">
        <v>0</v>
      </c>
      <c r="CR31" s="56">
        <f t="shared" si="40"/>
        <v>0</v>
      </c>
      <c r="CS31" s="56">
        <v>730</v>
      </c>
      <c r="CT31" s="56">
        <v>0</v>
      </c>
      <c r="CU31" s="56">
        <f t="shared" si="41"/>
        <v>730</v>
      </c>
      <c r="CV31" s="56">
        <f t="shared" si="42"/>
        <v>0</v>
      </c>
      <c r="CW31" s="56" t="e">
        <f t="shared" si="43"/>
        <v>#DIV/0!</v>
      </c>
      <c r="CX31" s="57">
        <v>0</v>
      </c>
      <c r="CY31" s="57">
        <v>0</v>
      </c>
      <c r="CZ31" s="57">
        <v>0</v>
      </c>
      <c r="DA31" s="57">
        <f t="shared" si="44"/>
        <v>0</v>
      </c>
      <c r="DB31" s="57">
        <v>600</v>
      </c>
      <c r="DC31" s="57">
        <v>0</v>
      </c>
      <c r="DD31" s="57">
        <f t="shared" si="45"/>
        <v>600</v>
      </c>
      <c r="DE31" s="57">
        <f t="shared" si="46"/>
        <v>0</v>
      </c>
      <c r="DF31" s="57" t="e">
        <f t="shared" si="47"/>
        <v>#DIV/0!</v>
      </c>
    </row>
    <row r="32" spans="1:110" ht="14.25" customHeight="1">
      <c r="A32" s="60"/>
      <c r="B32" s="44"/>
      <c r="C32" s="45">
        <v>0</v>
      </c>
      <c r="D32" s="45">
        <v>0</v>
      </c>
      <c r="E32" s="45">
        <v>0</v>
      </c>
      <c r="F32" s="45">
        <f t="shared" si="0"/>
        <v>0</v>
      </c>
      <c r="G32" s="45">
        <v>900</v>
      </c>
      <c r="H32" s="45">
        <v>0</v>
      </c>
      <c r="I32" s="45">
        <f t="shared" si="1"/>
        <v>900</v>
      </c>
      <c r="J32" s="45">
        <f t="shared" si="2"/>
        <v>0</v>
      </c>
      <c r="K32" s="45" t="e">
        <f t="shared" si="3"/>
        <v>#DIV/0!</v>
      </c>
      <c r="L32" s="47">
        <v>0</v>
      </c>
      <c r="M32" s="47">
        <v>0</v>
      </c>
      <c r="N32" s="47">
        <v>0</v>
      </c>
      <c r="O32" s="47">
        <f t="shared" si="4"/>
        <v>0</v>
      </c>
      <c r="P32" s="47">
        <v>1800</v>
      </c>
      <c r="Q32" s="47">
        <v>0</v>
      </c>
      <c r="R32" s="47">
        <f t="shared" si="5"/>
        <v>1800</v>
      </c>
      <c r="S32" s="47">
        <f t="shared" si="6"/>
        <v>0</v>
      </c>
      <c r="T32" s="47" t="e">
        <f t="shared" si="7"/>
        <v>#DIV/0!</v>
      </c>
      <c r="U32" s="48">
        <v>0</v>
      </c>
      <c r="V32" s="48">
        <v>0</v>
      </c>
      <c r="W32" s="48">
        <v>0</v>
      </c>
      <c r="X32" s="48">
        <f t="shared" si="8"/>
        <v>0</v>
      </c>
      <c r="Y32" s="48">
        <v>910</v>
      </c>
      <c r="Z32" s="48">
        <v>0</v>
      </c>
      <c r="AA32" s="48">
        <f t="shared" si="9"/>
        <v>910</v>
      </c>
      <c r="AB32" s="48">
        <f t="shared" si="10"/>
        <v>0</v>
      </c>
      <c r="AC32" s="48" t="e">
        <f t="shared" si="11"/>
        <v>#DIV/0!</v>
      </c>
      <c r="AD32" s="49">
        <v>0</v>
      </c>
      <c r="AE32" s="49">
        <v>0</v>
      </c>
      <c r="AF32" s="49">
        <v>0</v>
      </c>
      <c r="AG32" s="49">
        <f t="shared" si="12"/>
        <v>0</v>
      </c>
      <c r="AH32" s="49">
        <v>1200</v>
      </c>
      <c r="AI32" s="49">
        <v>0</v>
      </c>
      <c r="AJ32" s="49">
        <f t="shared" si="13"/>
        <v>1200</v>
      </c>
      <c r="AK32" s="49">
        <f t="shared" si="14"/>
        <v>0</v>
      </c>
      <c r="AL32" s="49" t="e">
        <f t="shared" si="15"/>
        <v>#DIV/0!</v>
      </c>
      <c r="AM32" s="50">
        <v>0</v>
      </c>
      <c r="AN32" s="50">
        <v>0</v>
      </c>
      <c r="AO32" s="50">
        <v>0</v>
      </c>
      <c r="AP32" s="50">
        <f t="shared" si="16"/>
        <v>0</v>
      </c>
      <c r="AQ32" s="50">
        <v>600</v>
      </c>
      <c r="AR32" s="50">
        <v>0</v>
      </c>
      <c r="AS32" s="50">
        <f t="shared" si="17"/>
        <v>600</v>
      </c>
      <c r="AT32" s="50">
        <f t="shared" si="18"/>
        <v>0</v>
      </c>
      <c r="AU32" s="50" t="e">
        <f t="shared" si="19"/>
        <v>#DIV/0!</v>
      </c>
      <c r="AV32" s="51">
        <v>0</v>
      </c>
      <c r="AW32" s="51">
        <v>0</v>
      </c>
      <c r="AX32" s="51">
        <v>0</v>
      </c>
      <c r="AY32" s="51">
        <f t="shared" si="20"/>
        <v>0</v>
      </c>
      <c r="AZ32" s="51">
        <v>1500</v>
      </c>
      <c r="BA32" s="51">
        <v>0</v>
      </c>
      <c r="BB32" s="51">
        <f t="shared" si="21"/>
        <v>1500</v>
      </c>
      <c r="BC32" s="51">
        <f t="shared" si="22"/>
        <v>0</v>
      </c>
      <c r="BD32" s="51" t="e">
        <f t="shared" si="23"/>
        <v>#DIV/0!</v>
      </c>
      <c r="BE32" s="52">
        <v>0</v>
      </c>
      <c r="BF32" s="52">
        <v>0</v>
      </c>
      <c r="BG32" s="52">
        <v>0</v>
      </c>
      <c r="BH32" s="52">
        <f t="shared" si="24"/>
        <v>0</v>
      </c>
      <c r="BI32" s="52">
        <v>750</v>
      </c>
      <c r="BJ32" s="52">
        <v>0</v>
      </c>
      <c r="BK32" s="52">
        <f t="shared" si="25"/>
        <v>750</v>
      </c>
      <c r="BL32" s="52">
        <f t="shared" si="26"/>
        <v>0</v>
      </c>
      <c r="BM32" s="52" t="e">
        <f t="shared" si="27"/>
        <v>#DIV/0!</v>
      </c>
      <c r="BN32" s="53">
        <v>0</v>
      </c>
      <c r="BO32" s="53">
        <v>0</v>
      </c>
      <c r="BP32" s="53">
        <v>0</v>
      </c>
      <c r="BQ32" s="53">
        <f t="shared" si="28"/>
        <v>0</v>
      </c>
      <c r="BR32" s="53">
        <v>2450</v>
      </c>
      <c r="BS32" s="53">
        <v>0</v>
      </c>
      <c r="BT32" s="53">
        <f t="shared" si="29"/>
        <v>2450</v>
      </c>
      <c r="BU32" s="53">
        <f t="shared" si="30"/>
        <v>0</v>
      </c>
      <c r="BV32" s="53" t="e">
        <f t="shared" si="31"/>
        <v>#DIV/0!</v>
      </c>
      <c r="BW32" s="54">
        <v>0</v>
      </c>
      <c r="BX32" s="54">
        <v>0</v>
      </c>
      <c r="BY32" s="54">
        <v>0</v>
      </c>
      <c r="BZ32" s="54">
        <f t="shared" si="32"/>
        <v>0</v>
      </c>
      <c r="CA32" s="54">
        <v>750</v>
      </c>
      <c r="CB32" s="54">
        <v>0</v>
      </c>
      <c r="CC32" s="54">
        <f t="shared" si="33"/>
        <v>750</v>
      </c>
      <c r="CD32" s="54">
        <f t="shared" si="34"/>
        <v>0</v>
      </c>
      <c r="CE32" s="54" t="e">
        <f t="shared" si="35"/>
        <v>#DIV/0!</v>
      </c>
      <c r="CF32" s="55">
        <v>0</v>
      </c>
      <c r="CG32" s="55">
        <v>0</v>
      </c>
      <c r="CH32" s="55">
        <v>0</v>
      </c>
      <c r="CI32" s="55">
        <f t="shared" si="36"/>
        <v>0</v>
      </c>
      <c r="CJ32" s="55">
        <v>730</v>
      </c>
      <c r="CK32" s="55">
        <v>0</v>
      </c>
      <c r="CL32" s="55">
        <f t="shared" si="37"/>
        <v>730</v>
      </c>
      <c r="CM32" s="55">
        <f t="shared" si="38"/>
        <v>0</v>
      </c>
      <c r="CN32" s="55" t="e">
        <f t="shared" si="39"/>
        <v>#DIV/0!</v>
      </c>
      <c r="CO32" s="56">
        <v>0</v>
      </c>
      <c r="CP32" s="56">
        <v>0</v>
      </c>
      <c r="CQ32" s="56">
        <v>0</v>
      </c>
      <c r="CR32" s="56">
        <f t="shared" si="40"/>
        <v>0</v>
      </c>
      <c r="CS32" s="56">
        <v>730</v>
      </c>
      <c r="CT32" s="56">
        <v>0</v>
      </c>
      <c r="CU32" s="56">
        <f t="shared" si="41"/>
        <v>730</v>
      </c>
      <c r="CV32" s="56">
        <f t="shared" si="42"/>
        <v>0</v>
      </c>
      <c r="CW32" s="56" t="e">
        <f t="shared" si="43"/>
        <v>#DIV/0!</v>
      </c>
      <c r="CX32" s="57">
        <v>0</v>
      </c>
      <c r="CY32" s="57">
        <v>0</v>
      </c>
      <c r="CZ32" s="57">
        <v>0</v>
      </c>
      <c r="DA32" s="57">
        <f t="shared" si="44"/>
        <v>0</v>
      </c>
      <c r="DB32" s="57">
        <v>600</v>
      </c>
      <c r="DC32" s="57">
        <v>0</v>
      </c>
      <c r="DD32" s="57">
        <f t="shared" si="45"/>
        <v>600</v>
      </c>
      <c r="DE32" s="57">
        <f t="shared" si="46"/>
        <v>0</v>
      </c>
      <c r="DF32" s="57" t="e">
        <f t="shared" si="47"/>
        <v>#DIV/0!</v>
      </c>
    </row>
    <row r="33" spans="1:110" ht="14.25" customHeight="1">
      <c r="A33" s="60"/>
      <c r="B33" s="44"/>
      <c r="C33" s="45">
        <v>0</v>
      </c>
      <c r="D33" s="45">
        <v>0</v>
      </c>
      <c r="E33" s="45">
        <v>0</v>
      </c>
      <c r="F33" s="45">
        <f t="shared" si="0"/>
        <v>0</v>
      </c>
      <c r="G33" s="45">
        <v>900</v>
      </c>
      <c r="H33" s="45">
        <v>0</v>
      </c>
      <c r="I33" s="45">
        <f t="shared" si="1"/>
        <v>900</v>
      </c>
      <c r="J33" s="45">
        <f t="shared" si="2"/>
        <v>0</v>
      </c>
      <c r="K33" s="45" t="e">
        <f t="shared" si="3"/>
        <v>#DIV/0!</v>
      </c>
      <c r="L33" s="47">
        <v>0</v>
      </c>
      <c r="M33" s="47">
        <v>0</v>
      </c>
      <c r="N33" s="47">
        <v>0</v>
      </c>
      <c r="O33" s="47">
        <f t="shared" si="4"/>
        <v>0</v>
      </c>
      <c r="P33" s="47">
        <v>1800</v>
      </c>
      <c r="Q33" s="47">
        <v>0</v>
      </c>
      <c r="R33" s="47">
        <f t="shared" si="5"/>
        <v>1800</v>
      </c>
      <c r="S33" s="47">
        <f t="shared" si="6"/>
        <v>0</v>
      </c>
      <c r="T33" s="47" t="e">
        <f t="shared" si="7"/>
        <v>#DIV/0!</v>
      </c>
      <c r="U33" s="48">
        <v>0</v>
      </c>
      <c r="V33" s="48">
        <v>0</v>
      </c>
      <c r="W33" s="48">
        <v>0</v>
      </c>
      <c r="X33" s="48">
        <f t="shared" si="8"/>
        <v>0</v>
      </c>
      <c r="Y33" s="48">
        <v>910</v>
      </c>
      <c r="Z33" s="48">
        <v>0</v>
      </c>
      <c r="AA33" s="48">
        <f t="shared" si="9"/>
        <v>910</v>
      </c>
      <c r="AB33" s="48">
        <f t="shared" si="10"/>
        <v>0</v>
      </c>
      <c r="AC33" s="48" t="e">
        <f t="shared" si="11"/>
        <v>#DIV/0!</v>
      </c>
      <c r="AD33" s="49">
        <v>0</v>
      </c>
      <c r="AE33" s="49">
        <v>0</v>
      </c>
      <c r="AF33" s="49">
        <v>0</v>
      </c>
      <c r="AG33" s="49">
        <f t="shared" si="12"/>
        <v>0</v>
      </c>
      <c r="AH33" s="49">
        <v>1200</v>
      </c>
      <c r="AI33" s="49">
        <v>0</v>
      </c>
      <c r="AJ33" s="49">
        <f t="shared" si="13"/>
        <v>1200</v>
      </c>
      <c r="AK33" s="49">
        <f t="shared" si="14"/>
        <v>0</v>
      </c>
      <c r="AL33" s="49" t="e">
        <f t="shared" si="15"/>
        <v>#DIV/0!</v>
      </c>
      <c r="AM33" s="50">
        <v>0</v>
      </c>
      <c r="AN33" s="50">
        <v>0</v>
      </c>
      <c r="AO33" s="50">
        <v>0</v>
      </c>
      <c r="AP33" s="50">
        <f t="shared" si="16"/>
        <v>0</v>
      </c>
      <c r="AQ33" s="50">
        <v>600</v>
      </c>
      <c r="AR33" s="50">
        <v>0</v>
      </c>
      <c r="AS33" s="50">
        <f t="shared" si="17"/>
        <v>600</v>
      </c>
      <c r="AT33" s="50">
        <f t="shared" si="18"/>
        <v>0</v>
      </c>
      <c r="AU33" s="50" t="e">
        <f t="shared" si="19"/>
        <v>#DIV/0!</v>
      </c>
      <c r="AV33" s="51">
        <v>0</v>
      </c>
      <c r="AW33" s="51">
        <v>0</v>
      </c>
      <c r="AX33" s="51">
        <v>0</v>
      </c>
      <c r="AY33" s="51">
        <f t="shared" si="20"/>
        <v>0</v>
      </c>
      <c r="AZ33" s="51">
        <v>1500</v>
      </c>
      <c r="BA33" s="51">
        <v>0</v>
      </c>
      <c r="BB33" s="51">
        <f t="shared" si="21"/>
        <v>1500</v>
      </c>
      <c r="BC33" s="51">
        <f t="shared" si="22"/>
        <v>0</v>
      </c>
      <c r="BD33" s="51" t="e">
        <f t="shared" si="23"/>
        <v>#DIV/0!</v>
      </c>
      <c r="BE33" s="52">
        <v>0</v>
      </c>
      <c r="BF33" s="52">
        <v>0</v>
      </c>
      <c r="BG33" s="52">
        <v>0</v>
      </c>
      <c r="BH33" s="52">
        <f t="shared" si="24"/>
        <v>0</v>
      </c>
      <c r="BI33" s="52">
        <v>750</v>
      </c>
      <c r="BJ33" s="52">
        <v>0</v>
      </c>
      <c r="BK33" s="52">
        <f t="shared" si="25"/>
        <v>750</v>
      </c>
      <c r="BL33" s="52">
        <f t="shared" si="26"/>
        <v>0</v>
      </c>
      <c r="BM33" s="52" t="e">
        <f t="shared" si="27"/>
        <v>#DIV/0!</v>
      </c>
      <c r="BN33" s="53">
        <v>0</v>
      </c>
      <c r="BO33" s="53">
        <v>0</v>
      </c>
      <c r="BP33" s="53">
        <v>0</v>
      </c>
      <c r="BQ33" s="53">
        <f t="shared" si="28"/>
        <v>0</v>
      </c>
      <c r="BR33" s="53">
        <v>2450</v>
      </c>
      <c r="BS33" s="53">
        <v>0</v>
      </c>
      <c r="BT33" s="53">
        <f t="shared" si="29"/>
        <v>2450</v>
      </c>
      <c r="BU33" s="53">
        <f t="shared" si="30"/>
        <v>0</v>
      </c>
      <c r="BV33" s="53" t="e">
        <f t="shared" si="31"/>
        <v>#DIV/0!</v>
      </c>
      <c r="BW33" s="54">
        <v>0</v>
      </c>
      <c r="BX33" s="54">
        <v>0</v>
      </c>
      <c r="BY33" s="54">
        <v>0</v>
      </c>
      <c r="BZ33" s="54">
        <f t="shared" si="32"/>
        <v>0</v>
      </c>
      <c r="CA33" s="54">
        <v>750</v>
      </c>
      <c r="CB33" s="54">
        <v>0</v>
      </c>
      <c r="CC33" s="54">
        <f t="shared" si="33"/>
        <v>750</v>
      </c>
      <c r="CD33" s="54">
        <f t="shared" si="34"/>
        <v>0</v>
      </c>
      <c r="CE33" s="54" t="e">
        <f t="shared" si="35"/>
        <v>#DIV/0!</v>
      </c>
      <c r="CF33" s="55">
        <v>0</v>
      </c>
      <c r="CG33" s="55">
        <v>0</v>
      </c>
      <c r="CH33" s="55">
        <v>0</v>
      </c>
      <c r="CI33" s="55">
        <f t="shared" si="36"/>
        <v>0</v>
      </c>
      <c r="CJ33" s="55">
        <v>730</v>
      </c>
      <c r="CK33" s="55">
        <v>0</v>
      </c>
      <c r="CL33" s="55">
        <f t="shared" si="37"/>
        <v>730</v>
      </c>
      <c r="CM33" s="55">
        <f t="shared" si="38"/>
        <v>0</v>
      </c>
      <c r="CN33" s="55" t="e">
        <f t="shared" si="39"/>
        <v>#DIV/0!</v>
      </c>
      <c r="CO33" s="56">
        <v>0</v>
      </c>
      <c r="CP33" s="56">
        <v>0</v>
      </c>
      <c r="CQ33" s="56">
        <v>0</v>
      </c>
      <c r="CR33" s="56">
        <f t="shared" si="40"/>
        <v>0</v>
      </c>
      <c r="CS33" s="56">
        <v>730</v>
      </c>
      <c r="CT33" s="56">
        <v>0</v>
      </c>
      <c r="CU33" s="56">
        <f t="shared" si="41"/>
        <v>730</v>
      </c>
      <c r="CV33" s="56">
        <f t="shared" si="42"/>
        <v>0</v>
      </c>
      <c r="CW33" s="56" t="e">
        <f t="shared" si="43"/>
        <v>#DIV/0!</v>
      </c>
      <c r="CX33" s="57">
        <v>0</v>
      </c>
      <c r="CY33" s="57">
        <v>0</v>
      </c>
      <c r="CZ33" s="57">
        <v>0</v>
      </c>
      <c r="DA33" s="57">
        <f t="shared" si="44"/>
        <v>0</v>
      </c>
      <c r="DB33" s="57">
        <v>600</v>
      </c>
      <c r="DC33" s="57">
        <v>0</v>
      </c>
      <c r="DD33" s="57">
        <f t="shared" si="45"/>
        <v>600</v>
      </c>
      <c r="DE33" s="57">
        <f t="shared" si="46"/>
        <v>0</v>
      </c>
      <c r="DF33" s="57" t="e">
        <f t="shared" si="47"/>
        <v>#DIV/0!</v>
      </c>
    </row>
    <row r="34" spans="1:110" ht="14.25" customHeight="1">
      <c r="A34" s="60"/>
      <c r="B34" s="44"/>
      <c r="C34" s="45">
        <v>0</v>
      </c>
      <c r="D34" s="45">
        <v>0</v>
      </c>
      <c r="E34" s="45">
        <v>0</v>
      </c>
      <c r="F34" s="45">
        <f t="shared" si="0"/>
        <v>0</v>
      </c>
      <c r="G34" s="45">
        <v>900</v>
      </c>
      <c r="H34" s="45">
        <v>0</v>
      </c>
      <c r="I34" s="45">
        <f t="shared" si="1"/>
        <v>900</v>
      </c>
      <c r="J34" s="45">
        <f t="shared" si="2"/>
        <v>0</v>
      </c>
      <c r="K34" s="45" t="e">
        <f t="shared" si="3"/>
        <v>#DIV/0!</v>
      </c>
      <c r="L34" s="47">
        <v>0</v>
      </c>
      <c r="M34" s="47">
        <v>0</v>
      </c>
      <c r="N34" s="47">
        <v>0</v>
      </c>
      <c r="O34" s="47">
        <f t="shared" si="4"/>
        <v>0</v>
      </c>
      <c r="P34" s="47">
        <v>1800</v>
      </c>
      <c r="Q34" s="47">
        <v>0</v>
      </c>
      <c r="R34" s="47">
        <f t="shared" si="5"/>
        <v>1800</v>
      </c>
      <c r="S34" s="47">
        <f t="shared" si="6"/>
        <v>0</v>
      </c>
      <c r="T34" s="47" t="e">
        <f t="shared" si="7"/>
        <v>#DIV/0!</v>
      </c>
      <c r="U34" s="48">
        <v>0</v>
      </c>
      <c r="V34" s="48">
        <v>0</v>
      </c>
      <c r="W34" s="48">
        <v>0</v>
      </c>
      <c r="X34" s="48">
        <f t="shared" si="8"/>
        <v>0</v>
      </c>
      <c r="Y34" s="48">
        <v>910</v>
      </c>
      <c r="Z34" s="48">
        <v>0</v>
      </c>
      <c r="AA34" s="48">
        <f t="shared" si="9"/>
        <v>910</v>
      </c>
      <c r="AB34" s="48">
        <f t="shared" si="10"/>
        <v>0</v>
      </c>
      <c r="AC34" s="48" t="e">
        <f t="shared" si="11"/>
        <v>#DIV/0!</v>
      </c>
      <c r="AD34" s="49">
        <v>0</v>
      </c>
      <c r="AE34" s="49">
        <v>0</v>
      </c>
      <c r="AF34" s="49">
        <v>0</v>
      </c>
      <c r="AG34" s="49">
        <f t="shared" si="12"/>
        <v>0</v>
      </c>
      <c r="AH34" s="49">
        <v>1200</v>
      </c>
      <c r="AI34" s="49">
        <v>0</v>
      </c>
      <c r="AJ34" s="49">
        <f t="shared" si="13"/>
        <v>1200</v>
      </c>
      <c r="AK34" s="49">
        <f t="shared" si="14"/>
        <v>0</v>
      </c>
      <c r="AL34" s="49" t="e">
        <f t="shared" si="15"/>
        <v>#DIV/0!</v>
      </c>
      <c r="AM34" s="50">
        <v>0</v>
      </c>
      <c r="AN34" s="50">
        <v>0</v>
      </c>
      <c r="AO34" s="50">
        <v>0</v>
      </c>
      <c r="AP34" s="50">
        <f t="shared" si="16"/>
        <v>0</v>
      </c>
      <c r="AQ34" s="50">
        <v>600</v>
      </c>
      <c r="AR34" s="50">
        <v>0</v>
      </c>
      <c r="AS34" s="50">
        <f t="shared" si="17"/>
        <v>600</v>
      </c>
      <c r="AT34" s="50">
        <f t="shared" si="18"/>
        <v>0</v>
      </c>
      <c r="AU34" s="50" t="e">
        <f t="shared" si="19"/>
        <v>#DIV/0!</v>
      </c>
      <c r="AV34" s="51">
        <v>0</v>
      </c>
      <c r="AW34" s="51">
        <v>0</v>
      </c>
      <c r="AX34" s="51">
        <v>0</v>
      </c>
      <c r="AY34" s="51">
        <f t="shared" si="20"/>
        <v>0</v>
      </c>
      <c r="AZ34" s="51">
        <v>1500</v>
      </c>
      <c r="BA34" s="51">
        <v>0</v>
      </c>
      <c r="BB34" s="51">
        <f t="shared" si="21"/>
        <v>1500</v>
      </c>
      <c r="BC34" s="51">
        <f t="shared" si="22"/>
        <v>0</v>
      </c>
      <c r="BD34" s="51" t="e">
        <f t="shared" si="23"/>
        <v>#DIV/0!</v>
      </c>
      <c r="BE34" s="52">
        <v>0</v>
      </c>
      <c r="BF34" s="52">
        <v>0</v>
      </c>
      <c r="BG34" s="52">
        <v>0</v>
      </c>
      <c r="BH34" s="52">
        <f t="shared" si="24"/>
        <v>0</v>
      </c>
      <c r="BI34" s="52">
        <v>750</v>
      </c>
      <c r="BJ34" s="52">
        <v>0</v>
      </c>
      <c r="BK34" s="52">
        <f t="shared" si="25"/>
        <v>750</v>
      </c>
      <c r="BL34" s="52">
        <f t="shared" si="26"/>
        <v>0</v>
      </c>
      <c r="BM34" s="52" t="e">
        <f t="shared" si="27"/>
        <v>#DIV/0!</v>
      </c>
      <c r="BN34" s="53">
        <v>0</v>
      </c>
      <c r="BO34" s="53">
        <v>0</v>
      </c>
      <c r="BP34" s="53">
        <v>0</v>
      </c>
      <c r="BQ34" s="53">
        <f t="shared" si="28"/>
        <v>0</v>
      </c>
      <c r="BR34" s="53">
        <v>2450</v>
      </c>
      <c r="BS34" s="53">
        <v>0</v>
      </c>
      <c r="BT34" s="53">
        <f t="shared" si="29"/>
        <v>2450</v>
      </c>
      <c r="BU34" s="53">
        <f t="shared" si="30"/>
        <v>0</v>
      </c>
      <c r="BV34" s="53" t="e">
        <f t="shared" si="31"/>
        <v>#DIV/0!</v>
      </c>
      <c r="BW34" s="54">
        <v>0</v>
      </c>
      <c r="BX34" s="54">
        <v>0</v>
      </c>
      <c r="BY34" s="54">
        <v>0</v>
      </c>
      <c r="BZ34" s="54">
        <f t="shared" si="32"/>
        <v>0</v>
      </c>
      <c r="CA34" s="54">
        <v>750</v>
      </c>
      <c r="CB34" s="54">
        <v>0</v>
      </c>
      <c r="CC34" s="54">
        <f t="shared" si="33"/>
        <v>750</v>
      </c>
      <c r="CD34" s="54">
        <f t="shared" si="34"/>
        <v>0</v>
      </c>
      <c r="CE34" s="54" t="e">
        <f t="shared" si="35"/>
        <v>#DIV/0!</v>
      </c>
      <c r="CF34" s="55">
        <v>0</v>
      </c>
      <c r="CG34" s="55">
        <v>0</v>
      </c>
      <c r="CH34" s="55">
        <v>0</v>
      </c>
      <c r="CI34" s="55">
        <f t="shared" si="36"/>
        <v>0</v>
      </c>
      <c r="CJ34" s="55">
        <v>730</v>
      </c>
      <c r="CK34" s="55">
        <v>0</v>
      </c>
      <c r="CL34" s="55">
        <f t="shared" si="37"/>
        <v>730</v>
      </c>
      <c r="CM34" s="55">
        <f t="shared" si="38"/>
        <v>0</v>
      </c>
      <c r="CN34" s="55" t="e">
        <f t="shared" si="39"/>
        <v>#DIV/0!</v>
      </c>
      <c r="CO34" s="56">
        <v>0</v>
      </c>
      <c r="CP34" s="56">
        <v>0</v>
      </c>
      <c r="CQ34" s="56">
        <v>0</v>
      </c>
      <c r="CR34" s="56">
        <f t="shared" si="40"/>
        <v>0</v>
      </c>
      <c r="CS34" s="56">
        <v>730</v>
      </c>
      <c r="CT34" s="56">
        <v>0</v>
      </c>
      <c r="CU34" s="56">
        <f t="shared" si="41"/>
        <v>730</v>
      </c>
      <c r="CV34" s="56">
        <f t="shared" si="42"/>
        <v>0</v>
      </c>
      <c r="CW34" s="56" t="e">
        <f t="shared" si="43"/>
        <v>#DIV/0!</v>
      </c>
      <c r="CX34" s="57">
        <v>0</v>
      </c>
      <c r="CY34" s="57">
        <v>0</v>
      </c>
      <c r="CZ34" s="57">
        <v>0</v>
      </c>
      <c r="DA34" s="57">
        <f t="shared" si="44"/>
        <v>0</v>
      </c>
      <c r="DB34" s="57">
        <v>600</v>
      </c>
      <c r="DC34" s="57">
        <v>0</v>
      </c>
      <c r="DD34" s="57">
        <f t="shared" si="45"/>
        <v>600</v>
      </c>
      <c r="DE34" s="57">
        <f t="shared" si="46"/>
        <v>0</v>
      </c>
      <c r="DF34" s="57" t="e">
        <f t="shared" si="47"/>
        <v>#DIV/0!</v>
      </c>
    </row>
    <row r="35" spans="1:110" ht="14.25" customHeight="1">
      <c r="A35" s="60"/>
      <c r="B35" s="44"/>
      <c r="C35" s="45">
        <v>0</v>
      </c>
      <c r="D35" s="45">
        <v>0</v>
      </c>
      <c r="E35" s="45">
        <v>0</v>
      </c>
      <c r="F35" s="45">
        <f t="shared" si="0"/>
        <v>0</v>
      </c>
      <c r="G35" s="45">
        <v>900</v>
      </c>
      <c r="H35" s="45">
        <v>0</v>
      </c>
      <c r="I35" s="45">
        <f t="shared" si="1"/>
        <v>900</v>
      </c>
      <c r="J35" s="45">
        <f t="shared" si="2"/>
        <v>0</v>
      </c>
      <c r="K35" s="45" t="e">
        <f t="shared" si="3"/>
        <v>#DIV/0!</v>
      </c>
      <c r="L35" s="47">
        <v>0</v>
      </c>
      <c r="M35" s="47">
        <v>0</v>
      </c>
      <c r="N35" s="47">
        <v>0</v>
      </c>
      <c r="O35" s="47">
        <f t="shared" si="4"/>
        <v>0</v>
      </c>
      <c r="P35" s="47">
        <v>1800</v>
      </c>
      <c r="Q35" s="47">
        <v>0</v>
      </c>
      <c r="R35" s="47">
        <f t="shared" si="5"/>
        <v>1800</v>
      </c>
      <c r="S35" s="47">
        <f t="shared" si="6"/>
        <v>0</v>
      </c>
      <c r="T35" s="47" t="e">
        <f t="shared" si="7"/>
        <v>#DIV/0!</v>
      </c>
      <c r="U35" s="48">
        <v>0</v>
      </c>
      <c r="V35" s="48">
        <v>0</v>
      </c>
      <c r="W35" s="48">
        <v>0</v>
      </c>
      <c r="X35" s="48">
        <f t="shared" si="8"/>
        <v>0</v>
      </c>
      <c r="Y35" s="48">
        <v>910</v>
      </c>
      <c r="Z35" s="48">
        <v>0</v>
      </c>
      <c r="AA35" s="48">
        <f t="shared" si="9"/>
        <v>910</v>
      </c>
      <c r="AB35" s="48">
        <f t="shared" si="10"/>
        <v>0</v>
      </c>
      <c r="AC35" s="48" t="e">
        <f t="shared" si="11"/>
        <v>#DIV/0!</v>
      </c>
      <c r="AD35" s="49">
        <v>0</v>
      </c>
      <c r="AE35" s="49">
        <v>0</v>
      </c>
      <c r="AF35" s="49">
        <v>0</v>
      </c>
      <c r="AG35" s="49">
        <f t="shared" si="12"/>
        <v>0</v>
      </c>
      <c r="AH35" s="49">
        <v>1200</v>
      </c>
      <c r="AI35" s="49">
        <v>0</v>
      </c>
      <c r="AJ35" s="49">
        <f t="shared" si="13"/>
        <v>1200</v>
      </c>
      <c r="AK35" s="49">
        <f t="shared" si="14"/>
        <v>0</v>
      </c>
      <c r="AL35" s="49" t="e">
        <f t="shared" si="15"/>
        <v>#DIV/0!</v>
      </c>
      <c r="AM35" s="50">
        <v>0</v>
      </c>
      <c r="AN35" s="50">
        <v>0</v>
      </c>
      <c r="AO35" s="50">
        <v>0</v>
      </c>
      <c r="AP35" s="50">
        <f t="shared" si="16"/>
        <v>0</v>
      </c>
      <c r="AQ35" s="50">
        <v>600</v>
      </c>
      <c r="AR35" s="50">
        <v>0</v>
      </c>
      <c r="AS35" s="50">
        <f t="shared" si="17"/>
        <v>600</v>
      </c>
      <c r="AT35" s="50">
        <f t="shared" si="18"/>
        <v>0</v>
      </c>
      <c r="AU35" s="50" t="e">
        <f t="shared" si="19"/>
        <v>#DIV/0!</v>
      </c>
      <c r="AV35" s="51">
        <v>0</v>
      </c>
      <c r="AW35" s="51">
        <v>0</v>
      </c>
      <c r="AX35" s="51">
        <v>0</v>
      </c>
      <c r="AY35" s="51">
        <f t="shared" si="20"/>
        <v>0</v>
      </c>
      <c r="AZ35" s="51">
        <v>1500</v>
      </c>
      <c r="BA35" s="51">
        <v>0</v>
      </c>
      <c r="BB35" s="51">
        <f t="shared" si="21"/>
        <v>1500</v>
      </c>
      <c r="BC35" s="51">
        <f t="shared" si="22"/>
        <v>0</v>
      </c>
      <c r="BD35" s="51" t="e">
        <f t="shared" si="23"/>
        <v>#DIV/0!</v>
      </c>
      <c r="BE35" s="52">
        <v>0</v>
      </c>
      <c r="BF35" s="52">
        <v>0</v>
      </c>
      <c r="BG35" s="52">
        <v>0</v>
      </c>
      <c r="BH35" s="52">
        <f t="shared" si="24"/>
        <v>0</v>
      </c>
      <c r="BI35" s="52">
        <v>750</v>
      </c>
      <c r="BJ35" s="52">
        <v>0</v>
      </c>
      <c r="BK35" s="52">
        <f t="shared" si="25"/>
        <v>750</v>
      </c>
      <c r="BL35" s="52">
        <f t="shared" si="26"/>
        <v>0</v>
      </c>
      <c r="BM35" s="52" t="e">
        <f t="shared" si="27"/>
        <v>#DIV/0!</v>
      </c>
      <c r="BN35" s="53">
        <v>0</v>
      </c>
      <c r="BO35" s="53">
        <v>0</v>
      </c>
      <c r="BP35" s="53">
        <v>0</v>
      </c>
      <c r="BQ35" s="53">
        <f t="shared" si="28"/>
        <v>0</v>
      </c>
      <c r="BR35" s="53">
        <v>2450</v>
      </c>
      <c r="BS35" s="53">
        <v>0</v>
      </c>
      <c r="BT35" s="53">
        <f t="shared" si="29"/>
        <v>2450</v>
      </c>
      <c r="BU35" s="53">
        <f t="shared" si="30"/>
        <v>0</v>
      </c>
      <c r="BV35" s="53" t="e">
        <f t="shared" si="31"/>
        <v>#DIV/0!</v>
      </c>
      <c r="BW35" s="54">
        <v>0</v>
      </c>
      <c r="BX35" s="54">
        <v>0</v>
      </c>
      <c r="BY35" s="54">
        <v>0</v>
      </c>
      <c r="BZ35" s="54">
        <f t="shared" si="32"/>
        <v>0</v>
      </c>
      <c r="CA35" s="54">
        <v>750</v>
      </c>
      <c r="CB35" s="54">
        <v>0</v>
      </c>
      <c r="CC35" s="54">
        <f t="shared" si="33"/>
        <v>750</v>
      </c>
      <c r="CD35" s="54">
        <f t="shared" si="34"/>
        <v>0</v>
      </c>
      <c r="CE35" s="54" t="e">
        <f t="shared" si="35"/>
        <v>#DIV/0!</v>
      </c>
      <c r="CF35" s="55">
        <v>0</v>
      </c>
      <c r="CG35" s="55">
        <v>0</v>
      </c>
      <c r="CH35" s="55">
        <v>0</v>
      </c>
      <c r="CI35" s="55">
        <f t="shared" si="36"/>
        <v>0</v>
      </c>
      <c r="CJ35" s="55">
        <v>730</v>
      </c>
      <c r="CK35" s="55">
        <v>0</v>
      </c>
      <c r="CL35" s="55">
        <f t="shared" si="37"/>
        <v>730</v>
      </c>
      <c r="CM35" s="55">
        <f t="shared" si="38"/>
        <v>0</v>
      </c>
      <c r="CN35" s="55" t="e">
        <f t="shared" si="39"/>
        <v>#DIV/0!</v>
      </c>
      <c r="CO35" s="56">
        <v>0</v>
      </c>
      <c r="CP35" s="56">
        <v>0</v>
      </c>
      <c r="CQ35" s="56">
        <v>0</v>
      </c>
      <c r="CR35" s="56">
        <f t="shared" si="40"/>
        <v>0</v>
      </c>
      <c r="CS35" s="56">
        <v>730</v>
      </c>
      <c r="CT35" s="56">
        <v>0</v>
      </c>
      <c r="CU35" s="56">
        <f t="shared" si="41"/>
        <v>730</v>
      </c>
      <c r="CV35" s="56">
        <f t="shared" si="42"/>
        <v>0</v>
      </c>
      <c r="CW35" s="56" t="e">
        <f t="shared" si="43"/>
        <v>#DIV/0!</v>
      </c>
      <c r="CX35" s="57">
        <v>0</v>
      </c>
      <c r="CY35" s="57">
        <v>0</v>
      </c>
      <c r="CZ35" s="57">
        <v>0</v>
      </c>
      <c r="DA35" s="57">
        <f t="shared" si="44"/>
        <v>0</v>
      </c>
      <c r="DB35" s="57">
        <v>600</v>
      </c>
      <c r="DC35" s="57">
        <v>0</v>
      </c>
      <c r="DD35" s="57">
        <f t="shared" si="45"/>
        <v>600</v>
      </c>
      <c r="DE35" s="57">
        <f t="shared" si="46"/>
        <v>0</v>
      </c>
      <c r="DF35" s="57" t="e">
        <f t="shared" si="47"/>
        <v>#DIV/0!</v>
      </c>
    </row>
    <row r="36" spans="1:110" ht="14.25" customHeight="1">
      <c r="A36" s="60"/>
      <c r="B36" s="44"/>
      <c r="C36" s="45">
        <v>0</v>
      </c>
      <c r="D36" s="45">
        <v>0</v>
      </c>
      <c r="E36" s="45">
        <v>0</v>
      </c>
      <c r="F36" s="45">
        <f t="shared" si="0"/>
        <v>0</v>
      </c>
      <c r="G36" s="45">
        <v>900</v>
      </c>
      <c r="H36" s="45">
        <v>0</v>
      </c>
      <c r="I36" s="45">
        <f t="shared" si="1"/>
        <v>900</v>
      </c>
      <c r="J36" s="45">
        <f t="shared" si="2"/>
        <v>0</v>
      </c>
      <c r="K36" s="45" t="e">
        <f t="shared" si="3"/>
        <v>#DIV/0!</v>
      </c>
      <c r="L36" s="47">
        <v>0</v>
      </c>
      <c r="M36" s="47">
        <v>0</v>
      </c>
      <c r="N36" s="47">
        <v>0</v>
      </c>
      <c r="O36" s="47">
        <f t="shared" si="4"/>
        <v>0</v>
      </c>
      <c r="P36" s="47">
        <v>1800</v>
      </c>
      <c r="Q36" s="47">
        <v>0</v>
      </c>
      <c r="R36" s="47">
        <f t="shared" si="5"/>
        <v>1800</v>
      </c>
      <c r="S36" s="47">
        <f t="shared" si="6"/>
        <v>0</v>
      </c>
      <c r="T36" s="47" t="e">
        <f t="shared" si="7"/>
        <v>#DIV/0!</v>
      </c>
      <c r="U36" s="48">
        <v>0</v>
      </c>
      <c r="V36" s="48">
        <v>0</v>
      </c>
      <c r="W36" s="48">
        <v>0</v>
      </c>
      <c r="X36" s="48">
        <f t="shared" si="8"/>
        <v>0</v>
      </c>
      <c r="Y36" s="48">
        <v>910</v>
      </c>
      <c r="Z36" s="48">
        <v>0</v>
      </c>
      <c r="AA36" s="48">
        <f t="shared" si="9"/>
        <v>910</v>
      </c>
      <c r="AB36" s="48">
        <f t="shared" si="10"/>
        <v>0</v>
      </c>
      <c r="AC36" s="48" t="e">
        <f t="shared" si="11"/>
        <v>#DIV/0!</v>
      </c>
      <c r="AD36" s="49">
        <v>0</v>
      </c>
      <c r="AE36" s="49">
        <v>0</v>
      </c>
      <c r="AF36" s="49">
        <v>0</v>
      </c>
      <c r="AG36" s="49">
        <f t="shared" si="12"/>
        <v>0</v>
      </c>
      <c r="AH36" s="49">
        <v>1200</v>
      </c>
      <c r="AI36" s="49">
        <v>0</v>
      </c>
      <c r="AJ36" s="49">
        <f t="shared" si="13"/>
        <v>1200</v>
      </c>
      <c r="AK36" s="49">
        <f t="shared" si="14"/>
        <v>0</v>
      </c>
      <c r="AL36" s="49" t="e">
        <f t="shared" si="15"/>
        <v>#DIV/0!</v>
      </c>
      <c r="AM36" s="50">
        <v>0</v>
      </c>
      <c r="AN36" s="50">
        <v>0</v>
      </c>
      <c r="AO36" s="50">
        <v>0</v>
      </c>
      <c r="AP36" s="50">
        <f t="shared" si="16"/>
        <v>0</v>
      </c>
      <c r="AQ36" s="50">
        <v>600</v>
      </c>
      <c r="AR36" s="50">
        <v>0</v>
      </c>
      <c r="AS36" s="50">
        <f t="shared" si="17"/>
        <v>600</v>
      </c>
      <c r="AT36" s="50">
        <f t="shared" si="18"/>
        <v>0</v>
      </c>
      <c r="AU36" s="50" t="e">
        <f t="shared" si="19"/>
        <v>#DIV/0!</v>
      </c>
      <c r="AV36" s="51">
        <v>0</v>
      </c>
      <c r="AW36" s="51">
        <v>0</v>
      </c>
      <c r="AX36" s="51">
        <v>0</v>
      </c>
      <c r="AY36" s="51">
        <f t="shared" si="20"/>
        <v>0</v>
      </c>
      <c r="AZ36" s="51">
        <v>1500</v>
      </c>
      <c r="BA36" s="51">
        <v>0</v>
      </c>
      <c r="BB36" s="51">
        <f t="shared" si="21"/>
        <v>1500</v>
      </c>
      <c r="BC36" s="51">
        <f t="shared" si="22"/>
        <v>0</v>
      </c>
      <c r="BD36" s="51" t="e">
        <f t="shared" si="23"/>
        <v>#DIV/0!</v>
      </c>
      <c r="BE36" s="52">
        <v>0</v>
      </c>
      <c r="BF36" s="52">
        <v>0</v>
      </c>
      <c r="BG36" s="52">
        <v>0</v>
      </c>
      <c r="BH36" s="52">
        <f t="shared" si="24"/>
        <v>0</v>
      </c>
      <c r="BI36" s="52">
        <v>750</v>
      </c>
      <c r="BJ36" s="52">
        <v>0</v>
      </c>
      <c r="BK36" s="52">
        <f t="shared" si="25"/>
        <v>750</v>
      </c>
      <c r="BL36" s="52">
        <f t="shared" si="26"/>
        <v>0</v>
      </c>
      <c r="BM36" s="52" t="e">
        <f t="shared" si="27"/>
        <v>#DIV/0!</v>
      </c>
      <c r="BN36" s="53">
        <v>0</v>
      </c>
      <c r="BO36" s="53">
        <v>0</v>
      </c>
      <c r="BP36" s="53">
        <v>0</v>
      </c>
      <c r="BQ36" s="53">
        <f t="shared" si="28"/>
        <v>0</v>
      </c>
      <c r="BR36" s="53">
        <v>2450</v>
      </c>
      <c r="BS36" s="53">
        <v>0</v>
      </c>
      <c r="BT36" s="53">
        <f t="shared" si="29"/>
        <v>2450</v>
      </c>
      <c r="BU36" s="53">
        <f t="shared" si="30"/>
        <v>0</v>
      </c>
      <c r="BV36" s="53" t="e">
        <f t="shared" si="31"/>
        <v>#DIV/0!</v>
      </c>
      <c r="BW36" s="54">
        <v>0</v>
      </c>
      <c r="BX36" s="54">
        <v>0</v>
      </c>
      <c r="BY36" s="54">
        <v>0</v>
      </c>
      <c r="BZ36" s="54">
        <f t="shared" si="32"/>
        <v>0</v>
      </c>
      <c r="CA36" s="54">
        <v>750</v>
      </c>
      <c r="CB36" s="54">
        <v>0</v>
      </c>
      <c r="CC36" s="54">
        <f t="shared" si="33"/>
        <v>750</v>
      </c>
      <c r="CD36" s="54">
        <f t="shared" si="34"/>
        <v>0</v>
      </c>
      <c r="CE36" s="54" t="e">
        <f t="shared" si="35"/>
        <v>#DIV/0!</v>
      </c>
      <c r="CF36" s="55">
        <v>0</v>
      </c>
      <c r="CG36" s="55">
        <v>0</v>
      </c>
      <c r="CH36" s="55">
        <v>0</v>
      </c>
      <c r="CI36" s="55">
        <f t="shared" si="36"/>
        <v>0</v>
      </c>
      <c r="CJ36" s="55">
        <v>730</v>
      </c>
      <c r="CK36" s="55">
        <v>0</v>
      </c>
      <c r="CL36" s="55">
        <f t="shared" si="37"/>
        <v>730</v>
      </c>
      <c r="CM36" s="55">
        <f t="shared" si="38"/>
        <v>0</v>
      </c>
      <c r="CN36" s="55" t="e">
        <f t="shared" si="39"/>
        <v>#DIV/0!</v>
      </c>
      <c r="CO36" s="56">
        <v>0</v>
      </c>
      <c r="CP36" s="56">
        <v>0</v>
      </c>
      <c r="CQ36" s="56">
        <v>0</v>
      </c>
      <c r="CR36" s="56">
        <f t="shared" si="40"/>
        <v>0</v>
      </c>
      <c r="CS36" s="56">
        <v>730</v>
      </c>
      <c r="CT36" s="56">
        <v>0</v>
      </c>
      <c r="CU36" s="56">
        <f t="shared" si="41"/>
        <v>730</v>
      </c>
      <c r="CV36" s="56">
        <f t="shared" si="42"/>
        <v>0</v>
      </c>
      <c r="CW36" s="56" t="e">
        <f t="shared" si="43"/>
        <v>#DIV/0!</v>
      </c>
      <c r="CX36" s="57">
        <v>0</v>
      </c>
      <c r="CY36" s="57">
        <v>0</v>
      </c>
      <c r="CZ36" s="57">
        <v>0</v>
      </c>
      <c r="DA36" s="57">
        <f t="shared" si="44"/>
        <v>0</v>
      </c>
      <c r="DB36" s="57">
        <v>600</v>
      </c>
      <c r="DC36" s="57">
        <v>0</v>
      </c>
      <c r="DD36" s="57">
        <f t="shared" si="45"/>
        <v>600</v>
      </c>
      <c r="DE36" s="57">
        <f t="shared" si="46"/>
        <v>0</v>
      </c>
      <c r="DF36" s="57" t="e">
        <f t="shared" si="47"/>
        <v>#DIV/0!</v>
      </c>
    </row>
    <row r="37" spans="1:110" ht="14.25" customHeight="1">
      <c r="A37" s="60"/>
      <c r="B37" s="44"/>
      <c r="C37" s="45">
        <v>0</v>
      </c>
      <c r="D37" s="45">
        <v>0</v>
      </c>
      <c r="E37" s="45">
        <v>0</v>
      </c>
      <c r="F37" s="45">
        <f t="shared" si="0"/>
        <v>0</v>
      </c>
      <c r="G37" s="45">
        <v>900</v>
      </c>
      <c r="H37" s="45">
        <v>0</v>
      </c>
      <c r="I37" s="45">
        <f t="shared" si="1"/>
        <v>900</v>
      </c>
      <c r="J37" s="45">
        <f t="shared" si="2"/>
        <v>0</v>
      </c>
      <c r="K37" s="45" t="e">
        <f t="shared" si="3"/>
        <v>#DIV/0!</v>
      </c>
      <c r="L37" s="47">
        <v>0</v>
      </c>
      <c r="M37" s="47">
        <v>0</v>
      </c>
      <c r="N37" s="47">
        <v>0</v>
      </c>
      <c r="O37" s="47">
        <f t="shared" si="4"/>
        <v>0</v>
      </c>
      <c r="P37" s="47">
        <v>1800</v>
      </c>
      <c r="Q37" s="47">
        <v>0</v>
      </c>
      <c r="R37" s="47">
        <f t="shared" si="5"/>
        <v>1800</v>
      </c>
      <c r="S37" s="47">
        <f t="shared" si="6"/>
        <v>0</v>
      </c>
      <c r="T37" s="47" t="e">
        <f t="shared" si="7"/>
        <v>#DIV/0!</v>
      </c>
      <c r="U37" s="48">
        <v>0</v>
      </c>
      <c r="V37" s="48">
        <v>0</v>
      </c>
      <c r="W37" s="48">
        <v>0</v>
      </c>
      <c r="X37" s="48">
        <f t="shared" si="8"/>
        <v>0</v>
      </c>
      <c r="Y37" s="48">
        <v>910</v>
      </c>
      <c r="Z37" s="48">
        <v>0</v>
      </c>
      <c r="AA37" s="48">
        <f t="shared" si="9"/>
        <v>910</v>
      </c>
      <c r="AB37" s="48">
        <f t="shared" si="10"/>
        <v>0</v>
      </c>
      <c r="AC37" s="48" t="e">
        <f t="shared" si="11"/>
        <v>#DIV/0!</v>
      </c>
      <c r="AD37" s="49">
        <v>0</v>
      </c>
      <c r="AE37" s="49">
        <v>0</v>
      </c>
      <c r="AF37" s="49">
        <v>0</v>
      </c>
      <c r="AG37" s="49">
        <f t="shared" si="12"/>
        <v>0</v>
      </c>
      <c r="AH37" s="49">
        <v>1200</v>
      </c>
      <c r="AI37" s="49">
        <v>0</v>
      </c>
      <c r="AJ37" s="49">
        <f t="shared" si="13"/>
        <v>1200</v>
      </c>
      <c r="AK37" s="49">
        <f t="shared" si="14"/>
        <v>0</v>
      </c>
      <c r="AL37" s="49" t="e">
        <f t="shared" si="15"/>
        <v>#DIV/0!</v>
      </c>
      <c r="AM37" s="50">
        <v>0</v>
      </c>
      <c r="AN37" s="50">
        <v>0</v>
      </c>
      <c r="AO37" s="50">
        <v>0</v>
      </c>
      <c r="AP37" s="50">
        <f t="shared" si="16"/>
        <v>0</v>
      </c>
      <c r="AQ37" s="50">
        <v>600</v>
      </c>
      <c r="AR37" s="50">
        <v>0</v>
      </c>
      <c r="AS37" s="50">
        <f t="shared" si="17"/>
        <v>600</v>
      </c>
      <c r="AT37" s="50">
        <f t="shared" si="18"/>
        <v>0</v>
      </c>
      <c r="AU37" s="50" t="e">
        <f t="shared" si="19"/>
        <v>#DIV/0!</v>
      </c>
      <c r="AV37" s="51">
        <v>0</v>
      </c>
      <c r="AW37" s="51">
        <v>0</v>
      </c>
      <c r="AX37" s="51">
        <v>0</v>
      </c>
      <c r="AY37" s="51">
        <f t="shared" si="20"/>
        <v>0</v>
      </c>
      <c r="AZ37" s="51">
        <v>1500</v>
      </c>
      <c r="BA37" s="51">
        <v>0</v>
      </c>
      <c r="BB37" s="51">
        <f t="shared" si="21"/>
        <v>1500</v>
      </c>
      <c r="BC37" s="51">
        <f t="shared" si="22"/>
        <v>0</v>
      </c>
      <c r="BD37" s="51" t="e">
        <f t="shared" si="23"/>
        <v>#DIV/0!</v>
      </c>
      <c r="BE37" s="52">
        <v>0</v>
      </c>
      <c r="BF37" s="52">
        <v>0</v>
      </c>
      <c r="BG37" s="52">
        <v>0</v>
      </c>
      <c r="BH37" s="52">
        <f t="shared" si="24"/>
        <v>0</v>
      </c>
      <c r="BI37" s="52">
        <v>750</v>
      </c>
      <c r="BJ37" s="52">
        <v>0</v>
      </c>
      <c r="BK37" s="52">
        <f t="shared" si="25"/>
        <v>750</v>
      </c>
      <c r="BL37" s="52">
        <f t="shared" si="26"/>
        <v>0</v>
      </c>
      <c r="BM37" s="52" t="e">
        <f t="shared" si="27"/>
        <v>#DIV/0!</v>
      </c>
      <c r="BN37" s="53">
        <v>0</v>
      </c>
      <c r="BO37" s="53">
        <v>0</v>
      </c>
      <c r="BP37" s="53">
        <v>0</v>
      </c>
      <c r="BQ37" s="53">
        <f t="shared" si="28"/>
        <v>0</v>
      </c>
      <c r="BR37" s="53">
        <v>2450</v>
      </c>
      <c r="BS37" s="53">
        <v>0</v>
      </c>
      <c r="BT37" s="53">
        <f t="shared" si="29"/>
        <v>2450</v>
      </c>
      <c r="BU37" s="53">
        <f t="shared" si="30"/>
        <v>0</v>
      </c>
      <c r="BV37" s="53" t="e">
        <f t="shared" si="31"/>
        <v>#DIV/0!</v>
      </c>
      <c r="BW37" s="54">
        <v>0</v>
      </c>
      <c r="BX37" s="54">
        <v>0</v>
      </c>
      <c r="BY37" s="54">
        <v>0</v>
      </c>
      <c r="BZ37" s="54">
        <f t="shared" si="32"/>
        <v>0</v>
      </c>
      <c r="CA37" s="54">
        <v>750</v>
      </c>
      <c r="CB37" s="54">
        <v>0</v>
      </c>
      <c r="CC37" s="54">
        <f t="shared" si="33"/>
        <v>750</v>
      </c>
      <c r="CD37" s="54">
        <f t="shared" si="34"/>
        <v>0</v>
      </c>
      <c r="CE37" s="54" t="e">
        <f t="shared" si="35"/>
        <v>#DIV/0!</v>
      </c>
      <c r="CF37" s="55">
        <v>0</v>
      </c>
      <c r="CG37" s="55">
        <v>0</v>
      </c>
      <c r="CH37" s="55">
        <v>0</v>
      </c>
      <c r="CI37" s="55">
        <f t="shared" si="36"/>
        <v>0</v>
      </c>
      <c r="CJ37" s="55">
        <v>730</v>
      </c>
      <c r="CK37" s="55">
        <v>0</v>
      </c>
      <c r="CL37" s="55">
        <f t="shared" si="37"/>
        <v>730</v>
      </c>
      <c r="CM37" s="55">
        <f t="shared" si="38"/>
        <v>0</v>
      </c>
      <c r="CN37" s="55" t="e">
        <f t="shared" si="39"/>
        <v>#DIV/0!</v>
      </c>
      <c r="CO37" s="56">
        <v>0</v>
      </c>
      <c r="CP37" s="56">
        <v>0</v>
      </c>
      <c r="CQ37" s="56">
        <v>0</v>
      </c>
      <c r="CR37" s="56">
        <f t="shared" si="40"/>
        <v>0</v>
      </c>
      <c r="CS37" s="56">
        <v>730</v>
      </c>
      <c r="CT37" s="56">
        <v>0</v>
      </c>
      <c r="CU37" s="56">
        <f t="shared" si="41"/>
        <v>730</v>
      </c>
      <c r="CV37" s="56">
        <f t="shared" si="42"/>
        <v>0</v>
      </c>
      <c r="CW37" s="56" t="e">
        <f t="shared" si="43"/>
        <v>#DIV/0!</v>
      </c>
      <c r="CX37" s="57">
        <v>0</v>
      </c>
      <c r="CY37" s="57">
        <v>0</v>
      </c>
      <c r="CZ37" s="57">
        <v>0</v>
      </c>
      <c r="DA37" s="57">
        <f t="shared" si="44"/>
        <v>0</v>
      </c>
      <c r="DB37" s="57">
        <v>600</v>
      </c>
      <c r="DC37" s="57">
        <v>0</v>
      </c>
      <c r="DD37" s="57">
        <f t="shared" si="45"/>
        <v>600</v>
      </c>
      <c r="DE37" s="57">
        <f t="shared" si="46"/>
        <v>0</v>
      </c>
      <c r="DF37" s="57" t="e">
        <f t="shared" si="47"/>
        <v>#DIV/0!</v>
      </c>
    </row>
    <row r="38" spans="1:110" ht="14.25" customHeight="1">
      <c r="A38" s="60"/>
      <c r="B38" s="44"/>
      <c r="C38" s="45">
        <v>0</v>
      </c>
      <c r="D38" s="45">
        <v>0</v>
      </c>
      <c r="E38" s="45">
        <v>0</v>
      </c>
      <c r="F38" s="45">
        <f t="shared" si="0"/>
        <v>0</v>
      </c>
      <c r="G38" s="45">
        <v>900</v>
      </c>
      <c r="H38" s="45">
        <v>0</v>
      </c>
      <c r="I38" s="45">
        <f t="shared" si="1"/>
        <v>900</v>
      </c>
      <c r="J38" s="45">
        <f t="shared" si="2"/>
        <v>0</v>
      </c>
      <c r="K38" s="45" t="e">
        <f t="shared" si="3"/>
        <v>#DIV/0!</v>
      </c>
      <c r="L38" s="47">
        <v>0</v>
      </c>
      <c r="M38" s="47">
        <v>0</v>
      </c>
      <c r="N38" s="47">
        <v>0</v>
      </c>
      <c r="O38" s="47">
        <f t="shared" si="4"/>
        <v>0</v>
      </c>
      <c r="P38" s="47">
        <v>1800</v>
      </c>
      <c r="Q38" s="47">
        <v>0</v>
      </c>
      <c r="R38" s="47">
        <f t="shared" si="5"/>
        <v>1800</v>
      </c>
      <c r="S38" s="47">
        <f t="shared" si="6"/>
        <v>0</v>
      </c>
      <c r="T38" s="47" t="e">
        <f t="shared" si="7"/>
        <v>#DIV/0!</v>
      </c>
      <c r="U38" s="48">
        <v>0</v>
      </c>
      <c r="V38" s="48">
        <v>0</v>
      </c>
      <c r="W38" s="48">
        <v>0</v>
      </c>
      <c r="X38" s="48">
        <f t="shared" si="8"/>
        <v>0</v>
      </c>
      <c r="Y38" s="48">
        <v>910</v>
      </c>
      <c r="Z38" s="48">
        <v>0</v>
      </c>
      <c r="AA38" s="48">
        <f t="shared" si="9"/>
        <v>910</v>
      </c>
      <c r="AB38" s="48">
        <f t="shared" si="10"/>
        <v>0</v>
      </c>
      <c r="AC38" s="48" t="e">
        <f t="shared" si="11"/>
        <v>#DIV/0!</v>
      </c>
      <c r="AD38" s="49">
        <v>0</v>
      </c>
      <c r="AE38" s="49">
        <v>0</v>
      </c>
      <c r="AF38" s="49">
        <v>0</v>
      </c>
      <c r="AG38" s="49">
        <f t="shared" si="12"/>
        <v>0</v>
      </c>
      <c r="AH38" s="49">
        <v>1200</v>
      </c>
      <c r="AI38" s="49">
        <v>0</v>
      </c>
      <c r="AJ38" s="49">
        <f t="shared" si="13"/>
        <v>1200</v>
      </c>
      <c r="AK38" s="49">
        <f t="shared" si="14"/>
        <v>0</v>
      </c>
      <c r="AL38" s="49" t="e">
        <f t="shared" si="15"/>
        <v>#DIV/0!</v>
      </c>
      <c r="AM38" s="50">
        <v>0</v>
      </c>
      <c r="AN38" s="50">
        <v>0</v>
      </c>
      <c r="AO38" s="50">
        <v>0</v>
      </c>
      <c r="AP38" s="50">
        <f t="shared" si="16"/>
        <v>0</v>
      </c>
      <c r="AQ38" s="50">
        <v>600</v>
      </c>
      <c r="AR38" s="50">
        <v>0</v>
      </c>
      <c r="AS38" s="50">
        <f t="shared" si="17"/>
        <v>600</v>
      </c>
      <c r="AT38" s="50">
        <f t="shared" si="18"/>
        <v>0</v>
      </c>
      <c r="AU38" s="50" t="e">
        <f t="shared" si="19"/>
        <v>#DIV/0!</v>
      </c>
      <c r="AV38" s="51">
        <v>0</v>
      </c>
      <c r="AW38" s="51">
        <v>0</v>
      </c>
      <c r="AX38" s="51">
        <v>0</v>
      </c>
      <c r="AY38" s="51">
        <f t="shared" si="20"/>
        <v>0</v>
      </c>
      <c r="AZ38" s="51">
        <v>1500</v>
      </c>
      <c r="BA38" s="51">
        <v>0</v>
      </c>
      <c r="BB38" s="51">
        <f t="shared" si="21"/>
        <v>1500</v>
      </c>
      <c r="BC38" s="51">
        <f t="shared" si="22"/>
        <v>0</v>
      </c>
      <c r="BD38" s="51" t="e">
        <f t="shared" si="23"/>
        <v>#DIV/0!</v>
      </c>
      <c r="BE38" s="52">
        <v>0</v>
      </c>
      <c r="BF38" s="52">
        <v>0</v>
      </c>
      <c r="BG38" s="52">
        <v>0</v>
      </c>
      <c r="BH38" s="52">
        <f t="shared" si="24"/>
        <v>0</v>
      </c>
      <c r="BI38" s="52">
        <v>750</v>
      </c>
      <c r="BJ38" s="52">
        <v>0</v>
      </c>
      <c r="BK38" s="52">
        <f t="shared" si="25"/>
        <v>750</v>
      </c>
      <c r="BL38" s="52">
        <f t="shared" si="26"/>
        <v>0</v>
      </c>
      <c r="BM38" s="52" t="e">
        <f t="shared" si="27"/>
        <v>#DIV/0!</v>
      </c>
      <c r="BN38" s="53">
        <v>0</v>
      </c>
      <c r="BO38" s="53">
        <v>0</v>
      </c>
      <c r="BP38" s="53">
        <v>0</v>
      </c>
      <c r="BQ38" s="53">
        <f t="shared" si="28"/>
        <v>0</v>
      </c>
      <c r="BR38" s="53">
        <v>2450</v>
      </c>
      <c r="BS38" s="53">
        <v>0</v>
      </c>
      <c r="BT38" s="53">
        <f t="shared" si="29"/>
        <v>2450</v>
      </c>
      <c r="BU38" s="53">
        <f t="shared" si="30"/>
        <v>0</v>
      </c>
      <c r="BV38" s="53" t="e">
        <f t="shared" si="31"/>
        <v>#DIV/0!</v>
      </c>
      <c r="BW38" s="54">
        <v>0</v>
      </c>
      <c r="BX38" s="54">
        <v>0</v>
      </c>
      <c r="BY38" s="54">
        <v>0</v>
      </c>
      <c r="BZ38" s="54">
        <f t="shared" si="32"/>
        <v>0</v>
      </c>
      <c r="CA38" s="54">
        <v>750</v>
      </c>
      <c r="CB38" s="54">
        <v>0</v>
      </c>
      <c r="CC38" s="54">
        <f t="shared" si="33"/>
        <v>750</v>
      </c>
      <c r="CD38" s="54">
        <f t="shared" si="34"/>
        <v>0</v>
      </c>
      <c r="CE38" s="54" t="e">
        <f t="shared" si="35"/>
        <v>#DIV/0!</v>
      </c>
      <c r="CF38" s="55">
        <v>0</v>
      </c>
      <c r="CG38" s="55">
        <v>0</v>
      </c>
      <c r="CH38" s="55">
        <v>0</v>
      </c>
      <c r="CI38" s="55">
        <f t="shared" si="36"/>
        <v>0</v>
      </c>
      <c r="CJ38" s="55">
        <v>730</v>
      </c>
      <c r="CK38" s="55">
        <v>0</v>
      </c>
      <c r="CL38" s="55">
        <f t="shared" si="37"/>
        <v>730</v>
      </c>
      <c r="CM38" s="55">
        <f t="shared" si="38"/>
        <v>0</v>
      </c>
      <c r="CN38" s="55" t="e">
        <f t="shared" si="39"/>
        <v>#DIV/0!</v>
      </c>
      <c r="CO38" s="56">
        <v>0</v>
      </c>
      <c r="CP38" s="56">
        <v>0</v>
      </c>
      <c r="CQ38" s="56">
        <v>0</v>
      </c>
      <c r="CR38" s="56">
        <f t="shared" si="40"/>
        <v>0</v>
      </c>
      <c r="CS38" s="56">
        <v>730</v>
      </c>
      <c r="CT38" s="56">
        <v>0</v>
      </c>
      <c r="CU38" s="56">
        <f t="shared" si="41"/>
        <v>730</v>
      </c>
      <c r="CV38" s="56">
        <f t="shared" si="42"/>
        <v>0</v>
      </c>
      <c r="CW38" s="56" t="e">
        <f t="shared" si="43"/>
        <v>#DIV/0!</v>
      </c>
      <c r="CX38" s="57">
        <v>0</v>
      </c>
      <c r="CY38" s="57">
        <v>0</v>
      </c>
      <c r="CZ38" s="57">
        <v>0</v>
      </c>
      <c r="DA38" s="57">
        <f t="shared" si="44"/>
        <v>0</v>
      </c>
      <c r="DB38" s="57">
        <v>600</v>
      </c>
      <c r="DC38" s="57">
        <v>0</v>
      </c>
      <c r="DD38" s="57">
        <f t="shared" si="45"/>
        <v>600</v>
      </c>
      <c r="DE38" s="57">
        <f t="shared" si="46"/>
        <v>0</v>
      </c>
      <c r="DF38" s="57" t="e">
        <f t="shared" si="47"/>
        <v>#DIV/0!</v>
      </c>
    </row>
    <row r="39" spans="1:110" ht="14.25" customHeight="1">
      <c r="A39" s="60"/>
      <c r="B39" s="44"/>
      <c r="C39" s="45">
        <v>0</v>
      </c>
      <c r="D39" s="45">
        <v>0</v>
      </c>
      <c r="E39" s="45">
        <v>0</v>
      </c>
      <c r="F39" s="45">
        <f t="shared" si="0"/>
        <v>0</v>
      </c>
      <c r="G39" s="45">
        <v>900</v>
      </c>
      <c r="H39" s="45">
        <v>0</v>
      </c>
      <c r="I39" s="45">
        <f t="shared" si="1"/>
        <v>900</v>
      </c>
      <c r="J39" s="45">
        <f t="shared" si="2"/>
        <v>0</v>
      </c>
      <c r="K39" s="45" t="e">
        <f t="shared" si="3"/>
        <v>#DIV/0!</v>
      </c>
      <c r="L39" s="47">
        <v>0</v>
      </c>
      <c r="M39" s="47">
        <v>0</v>
      </c>
      <c r="N39" s="47">
        <v>0</v>
      </c>
      <c r="O39" s="47">
        <f t="shared" si="4"/>
        <v>0</v>
      </c>
      <c r="P39" s="47">
        <v>1800</v>
      </c>
      <c r="Q39" s="47">
        <v>0</v>
      </c>
      <c r="R39" s="47">
        <f t="shared" si="5"/>
        <v>1800</v>
      </c>
      <c r="S39" s="47">
        <f t="shared" si="6"/>
        <v>0</v>
      </c>
      <c r="T39" s="47" t="e">
        <f t="shared" si="7"/>
        <v>#DIV/0!</v>
      </c>
      <c r="U39" s="48">
        <v>0</v>
      </c>
      <c r="V39" s="48">
        <v>0</v>
      </c>
      <c r="W39" s="48">
        <v>0</v>
      </c>
      <c r="X39" s="48">
        <f t="shared" si="8"/>
        <v>0</v>
      </c>
      <c r="Y39" s="48">
        <v>910</v>
      </c>
      <c r="Z39" s="48">
        <v>0</v>
      </c>
      <c r="AA39" s="48">
        <f t="shared" si="9"/>
        <v>910</v>
      </c>
      <c r="AB39" s="48">
        <f t="shared" si="10"/>
        <v>0</v>
      </c>
      <c r="AC39" s="48" t="e">
        <f t="shared" si="11"/>
        <v>#DIV/0!</v>
      </c>
      <c r="AD39" s="49">
        <v>0</v>
      </c>
      <c r="AE39" s="49">
        <v>0</v>
      </c>
      <c r="AF39" s="49">
        <v>0</v>
      </c>
      <c r="AG39" s="49">
        <f t="shared" si="12"/>
        <v>0</v>
      </c>
      <c r="AH39" s="49">
        <v>1200</v>
      </c>
      <c r="AI39" s="49">
        <v>0</v>
      </c>
      <c r="AJ39" s="49">
        <f t="shared" si="13"/>
        <v>1200</v>
      </c>
      <c r="AK39" s="49">
        <f t="shared" si="14"/>
        <v>0</v>
      </c>
      <c r="AL39" s="49" t="e">
        <f t="shared" si="15"/>
        <v>#DIV/0!</v>
      </c>
      <c r="AM39" s="50">
        <v>0</v>
      </c>
      <c r="AN39" s="50">
        <v>0</v>
      </c>
      <c r="AO39" s="50">
        <v>0</v>
      </c>
      <c r="AP39" s="50">
        <f t="shared" si="16"/>
        <v>0</v>
      </c>
      <c r="AQ39" s="50">
        <v>600</v>
      </c>
      <c r="AR39" s="50">
        <v>0</v>
      </c>
      <c r="AS39" s="50">
        <f t="shared" si="17"/>
        <v>600</v>
      </c>
      <c r="AT39" s="50">
        <f t="shared" si="18"/>
        <v>0</v>
      </c>
      <c r="AU39" s="50" t="e">
        <f t="shared" si="19"/>
        <v>#DIV/0!</v>
      </c>
      <c r="AV39" s="51">
        <v>0</v>
      </c>
      <c r="AW39" s="51">
        <v>0</v>
      </c>
      <c r="AX39" s="51">
        <v>0</v>
      </c>
      <c r="AY39" s="51">
        <f t="shared" si="20"/>
        <v>0</v>
      </c>
      <c r="AZ39" s="51">
        <v>1500</v>
      </c>
      <c r="BA39" s="51">
        <v>0</v>
      </c>
      <c r="BB39" s="51">
        <f t="shared" si="21"/>
        <v>1500</v>
      </c>
      <c r="BC39" s="51">
        <f t="shared" si="22"/>
        <v>0</v>
      </c>
      <c r="BD39" s="51" t="e">
        <f t="shared" si="23"/>
        <v>#DIV/0!</v>
      </c>
      <c r="BE39" s="52">
        <v>0</v>
      </c>
      <c r="BF39" s="52">
        <v>0</v>
      </c>
      <c r="BG39" s="52">
        <v>0</v>
      </c>
      <c r="BH39" s="52">
        <f t="shared" si="24"/>
        <v>0</v>
      </c>
      <c r="BI39" s="52">
        <v>750</v>
      </c>
      <c r="BJ39" s="52">
        <v>0</v>
      </c>
      <c r="BK39" s="52">
        <f t="shared" si="25"/>
        <v>750</v>
      </c>
      <c r="BL39" s="52">
        <f t="shared" si="26"/>
        <v>0</v>
      </c>
      <c r="BM39" s="52" t="e">
        <f t="shared" si="27"/>
        <v>#DIV/0!</v>
      </c>
      <c r="BN39" s="53">
        <v>0</v>
      </c>
      <c r="BO39" s="53">
        <v>0</v>
      </c>
      <c r="BP39" s="53">
        <v>0</v>
      </c>
      <c r="BQ39" s="53">
        <f t="shared" si="28"/>
        <v>0</v>
      </c>
      <c r="BR39" s="53">
        <v>2450</v>
      </c>
      <c r="BS39" s="53">
        <v>0</v>
      </c>
      <c r="BT39" s="53">
        <f t="shared" si="29"/>
        <v>2450</v>
      </c>
      <c r="BU39" s="53">
        <f t="shared" si="30"/>
        <v>0</v>
      </c>
      <c r="BV39" s="53" t="e">
        <f t="shared" si="31"/>
        <v>#DIV/0!</v>
      </c>
      <c r="BW39" s="54">
        <v>0</v>
      </c>
      <c r="BX39" s="54">
        <v>0</v>
      </c>
      <c r="BY39" s="54">
        <v>0</v>
      </c>
      <c r="BZ39" s="54">
        <f t="shared" si="32"/>
        <v>0</v>
      </c>
      <c r="CA39" s="54">
        <v>750</v>
      </c>
      <c r="CB39" s="54">
        <v>0</v>
      </c>
      <c r="CC39" s="54">
        <f t="shared" si="33"/>
        <v>750</v>
      </c>
      <c r="CD39" s="54">
        <f t="shared" si="34"/>
        <v>0</v>
      </c>
      <c r="CE39" s="54" t="e">
        <f t="shared" si="35"/>
        <v>#DIV/0!</v>
      </c>
      <c r="CF39" s="55">
        <v>0</v>
      </c>
      <c r="CG39" s="55">
        <v>0</v>
      </c>
      <c r="CH39" s="55">
        <v>0</v>
      </c>
      <c r="CI39" s="55">
        <f t="shared" si="36"/>
        <v>0</v>
      </c>
      <c r="CJ39" s="55">
        <v>730</v>
      </c>
      <c r="CK39" s="55">
        <v>0</v>
      </c>
      <c r="CL39" s="55">
        <f t="shared" si="37"/>
        <v>730</v>
      </c>
      <c r="CM39" s="55">
        <f t="shared" si="38"/>
        <v>0</v>
      </c>
      <c r="CN39" s="55" t="e">
        <f t="shared" si="39"/>
        <v>#DIV/0!</v>
      </c>
      <c r="CO39" s="56">
        <v>0</v>
      </c>
      <c r="CP39" s="56">
        <v>0</v>
      </c>
      <c r="CQ39" s="56">
        <v>0</v>
      </c>
      <c r="CR39" s="56">
        <f t="shared" si="40"/>
        <v>0</v>
      </c>
      <c r="CS39" s="56">
        <v>730</v>
      </c>
      <c r="CT39" s="56">
        <v>0</v>
      </c>
      <c r="CU39" s="56">
        <f t="shared" si="41"/>
        <v>730</v>
      </c>
      <c r="CV39" s="56">
        <f t="shared" si="42"/>
        <v>0</v>
      </c>
      <c r="CW39" s="56" t="e">
        <f t="shared" si="43"/>
        <v>#DIV/0!</v>
      </c>
      <c r="CX39" s="57">
        <v>0</v>
      </c>
      <c r="CY39" s="57">
        <v>0</v>
      </c>
      <c r="CZ39" s="57">
        <v>0</v>
      </c>
      <c r="DA39" s="57">
        <f t="shared" si="44"/>
        <v>0</v>
      </c>
      <c r="DB39" s="57">
        <v>600</v>
      </c>
      <c r="DC39" s="57">
        <v>0</v>
      </c>
      <c r="DD39" s="57">
        <f t="shared" si="45"/>
        <v>600</v>
      </c>
      <c r="DE39" s="57">
        <f t="shared" si="46"/>
        <v>0</v>
      </c>
      <c r="DF39" s="57" t="e">
        <f t="shared" si="47"/>
        <v>#DIV/0!</v>
      </c>
    </row>
    <row r="40" spans="1:110" ht="14.25" customHeight="1">
      <c r="A40" s="60"/>
      <c r="B40" s="44"/>
      <c r="C40" s="45">
        <v>0</v>
      </c>
      <c r="D40" s="45">
        <v>0</v>
      </c>
      <c r="E40" s="45">
        <v>0</v>
      </c>
      <c r="F40" s="45">
        <f t="shared" si="0"/>
        <v>0</v>
      </c>
      <c r="G40" s="45">
        <v>900</v>
      </c>
      <c r="H40" s="45">
        <v>0</v>
      </c>
      <c r="I40" s="45">
        <f t="shared" si="1"/>
        <v>900</v>
      </c>
      <c r="J40" s="45">
        <f t="shared" si="2"/>
        <v>0</v>
      </c>
      <c r="K40" s="45" t="e">
        <f t="shared" si="3"/>
        <v>#DIV/0!</v>
      </c>
      <c r="L40" s="47">
        <v>0</v>
      </c>
      <c r="M40" s="47">
        <v>0</v>
      </c>
      <c r="N40" s="47">
        <v>0</v>
      </c>
      <c r="O40" s="47">
        <f t="shared" si="4"/>
        <v>0</v>
      </c>
      <c r="P40" s="47">
        <v>1800</v>
      </c>
      <c r="Q40" s="47">
        <v>0</v>
      </c>
      <c r="R40" s="47">
        <f t="shared" si="5"/>
        <v>1800</v>
      </c>
      <c r="S40" s="47">
        <f t="shared" si="6"/>
        <v>0</v>
      </c>
      <c r="T40" s="47" t="e">
        <f t="shared" si="7"/>
        <v>#DIV/0!</v>
      </c>
      <c r="U40" s="48">
        <v>0</v>
      </c>
      <c r="V40" s="48">
        <v>0</v>
      </c>
      <c r="W40" s="48">
        <v>0</v>
      </c>
      <c r="X40" s="48">
        <f t="shared" si="8"/>
        <v>0</v>
      </c>
      <c r="Y40" s="48">
        <v>910</v>
      </c>
      <c r="Z40" s="48">
        <v>0</v>
      </c>
      <c r="AA40" s="48">
        <f t="shared" si="9"/>
        <v>910</v>
      </c>
      <c r="AB40" s="48">
        <f t="shared" si="10"/>
        <v>0</v>
      </c>
      <c r="AC40" s="48" t="e">
        <f t="shared" si="11"/>
        <v>#DIV/0!</v>
      </c>
      <c r="AD40" s="49">
        <v>0</v>
      </c>
      <c r="AE40" s="49">
        <v>0</v>
      </c>
      <c r="AF40" s="49">
        <v>0</v>
      </c>
      <c r="AG40" s="49">
        <f t="shared" si="12"/>
        <v>0</v>
      </c>
      <c r="AH40" s="49">
        <v>1200</v>
      </c>
      <c r="AI40" s="49">
        <v>0</v>
      </c>
      <c r="AJ40" s="49">
        <f t="shared" si="13"/>
        <v>1200</v>
      </c>
      <c r="AK40" s="49">
        <f t="shared" si="14"/>
        <v>0</v>
      </c>
      <c r="AL40" s="49" t="e">
        <f t="shared" si="15"/>
        <v>#DIV/0!</v>
      </c>
      <c r="AM40" s="50">
        <v>0</v>
      </c>
      <c r="AN40" s="50">
        <v>0</v>
      </c>
      <c r="AO40" s="50">
        <v>0</v>
      </c>
      <c r="AP40" s="50">
        <f t="shared" si="16"/>
        <v>0</v>
      </c>
      <c r="AQ40" s="50">
        <v>600</v>
      </c>
      <c r="AR40" s="50">
        <v>0</v>
      </c>
      <c r="AS40" s="50">
        <f t="shared" si="17"/>
        <v>600</v>
      </c>
      <c r="AT40" s="50">
        <f t="shared" si="18"/>
        <v>0</v>
      </c>
      <c r="AU40" s="50" t="e">
        <f t="shared" si="19"/>
        <v>#DIV/0!</v>
      </c>
      <c r="AV40" s="51">
        <v>0</v>
      </c>
      <c r="AW40" s="51">
        <v>0</v>
      </c>
      <c r="AX40" s="51">
        <v>0</v>
      </c>
      <c r="AY40" s="51">
        <f t="shared" si="20"/>
        <v>0</v>
      </c>
      <c r="AZ40" s="51">
        <v>1500</v>
      </c>
      <c r="BA40" s="51">
        <v>0</v>
      </c>
      <c r="BB40" s="51">
        <f t="shared" si="21"/>
        <v>1500</v>
      </c>
      <c r="BC40" s="51">
        <f t="shared" si="22"/>
        <v>0</v>
      </c>
      <c r="BD40" s="51" t="e">
        <f t="shared" si="23"/>
        <v>#DIV/0!</v>
      </c>
      <c r="BE40" s="52">
        <v>0</v>
      </c>
      <c r="BF40" s="52">
        <v>0</v>
      </c>
      <c r="BG40" s="52">
        <v>0</v>
      </c>
      <c r="BH40" s="52">
        <f t="shared" si="24"/>
        <v>0</v>
      </c>
      <c r="BI40" s="52">
        <v>750</v>
      </c>
      <c r="BJ40" s="52">
        <v>0</v>
      </c>
      <c r="BK40" s="52">
        <f t="shared" si="25"/>
        <v>750</v>
      </c>
      <c r="BL40" s="52">
        <f t="shared" si="26"/>
        <v>0</v>
      </c>
      <c r="BM40" s="52" t="e">
        <f t="shared" si="27"/>
        <v>#DIV/0!</v>
      </c>
      <c r="BN40" s="53">
        <v>0</v>
      </c>
      <c r="BO40" s="53">
        <v>0</v>
      </c>
      <c r="BP40" s="53">
        <v>0</v>
      </c>
      <c r="BQ40" s="53">
        <f t="shared" si="28"/>
        <v>0</v>
      </c>
      <c r="BR40" s="53">
        <v>2450</v>
      </c>
      <c r="BS40" s="53">
        <v>0</v>
      </c>
      <c r="BT40" s="53">
        <f t="shared" si="29"/>
        <v>2450</v>
      </c>
      <c r="BU40" s="53">
        <f t="shared" si="30"/>
        <v>0</v>
      </c>
      <c r="BV40" s="53" t="e">
        <f t="shared" si="31"/>
        <v>#DIV/0!</v>
      </c>
      <c r="BW40" s="54">
        <v>0</v>
      </c>
      <c r="BX40" s="54">
        <v>0</v>
      </c>
      <c r="BY40" s="54">
        <v>0</v>
      </c>
      <c r="BZ40" s="54">
        <f t="shared" si="32"/>
        <v>0</v>
      </c>
      <c r="CA40" s="54">
        <v>750</v>
      </c>
      <c r="CB40" s="54">
        <v>0</v>
      </c>
      <c r="CC40" s="54">
        <f t="shared" si="33"/>
        <v>750</v>
      </c>
      <c r="CD40" s="54">
        <f t="shared" si="34"/>
        <v>0</v>
      </c>
      <c r="CE40" s="54" t="e">
        <f t="shared" si="35"/>
        <v>#DIV/0!</v>
      </c>
      <c r="CF40" s="55">
        <v>0</v>
      </c>
      <c r="CG40" s="55">
        <v>0</v>
      </c>
      <c r="CH40" s="55">
        <v>0</v>
      </c>
      <c r="CI40" s="55">
        <f t="shared" si="36"/>
        <v>0</v>
      </c>
      <c r="CJ40" s="55">
        <v>730</v>
      </c>
      <c r="CK40" s="55">
        <v>0</v>
      </c>
      <c r="CL40" s="55">
        <f t="shared" si="37"/>
        <v>730</v>
      </c>
      <c r="CM40" s="55">
        <f t="shared" si="38"/>
        <v>0</v>
      </c>
      <c r="CN40" s="55" t="e">
        <f t="shared" si="39"/>
        <v>#DIV/0!</v>
      </c>
      <c r="CO40" s="56">
        <v>0</v>
      </c>
      <c r="CP40" s="56">
        <v>0</v>
      </c>
      <c r="CQ40" s="56">
        <v>0</v>
      </c>
      <c r="CR40" s="56">
        <f t="shared" si="40"/>
        <v>0</v>
      </c>
      <c r="CS40" s="56">
        <v>730</v>
      </c>
      <c r="CT40" s="56">
        <v>0</v>
      </c>
      <c r="CU40" s="56">
        <f t="shared" si="41"/>
        <v>730</v>
      </c>
      <c r="CV40" s="56">
        <f t="shared" si="42"/>
        <v>0</v>
      </c>
      <c r="CW40" s="56" t="e">
        <f t="shared" si="43"/>
        <v>#DIV/0!</v>
      </c>
      <c r="CX40" s="57">
        <v>0</v>
      </c>
      <c r="CY40" s="57">
        <v>0</v>
      </c>
      <c r="CZ40" s="57">
        <v>0</v>
      </c>
      <c r="DA40" s="57">
        <f t="shared" si="44"/>
        <v>0</v>
      </c>
      <c r="DB40" s="57">
        <v>600</v>
      </c>
      <c r="DC40" s="57">
        <v>0</v>
      </c>
      <c r="DD40" s="57">
        <f t="shared" si="45"/>
        <v>600</v>
      </c>
      <c r="DE40" s="57">
        <f t="shared" si="46"/>
        <v>0</v>
      </c>
      <c r="DF40" s="57" t="e">
        <f t="shared" si="47"/>
        <v>#DIV/0!</v>
      </c>
    </row>
    <row r="41" spans="1:110" ht="14.25" customHeight="1">
      <c r="A41" s="60"/>
      <c r="B41" s="44"/>
      <c r="C41" s="45">
        <v>0</v>
      </c>
      <c r="D41" s="45">
        <v>0</v>
      </c>
      <c r="E41" s="45">
        <v>0</v>
      </c>
      <c r="F41" s="45">
        <f t="shared" si="0"/>
        <v>0</v>
      </c>
      <c r="G41" s="45">
        <v>900</v>
      </c>
      <c r="H41" s="45">
        <v>0</v>
      </c>
      <c r="I41" s="45">
        <f t="shared" si="1"/>
        <v>900</v>
      </c>
      <c r="J41" s="45">
        <f t="shared" si="2"/>
        <v>0</v>
      </c>
      <c r="K41" s="45" t="e">
        <f t="shared" si="3"/>
        <v>#DIV/0!</v>
      </c>
      <c r="L41" s="47">
        <v>0</v>
      </c>
      <c r="M41" s="47">
        <v>0</v>
      </c>
      <c r="N41" s="47">
        <v>0</v>
      </c>
      <c r="O41" s="47">
        <f t="shared" si="4"/>
        <v>0</v>
      </c>
      <c r="P41" s="47">
        <v>1800</v>
      </c>
      <c r="Q41" s="47">
        <v>0</v>
      </c>
      <c r="R41" s="47">
        <f t="shared" si="5"/>
        <v>1800</v>
      </c>
      <c r="S41" s="47">
        <f t="shared" si="6"/>
        <v>0</v>
      </c>
      <c r="T41" s="47" t="e">
        <f t="shared" si="7"/>
        <v>#DIV/0!</v>
      </c>
      <c r="U41" s="48">
        <v>0</v>
      </c>
      <c r="V41" s="48">
        <v>0</v>
      </c>
      <c r="W41" s="48">
        <v>0</v>
      </c>
      <c r="X41" s="48">
        <f t="shared" si="8"/>
        <v>0</v>
      </c>
      <c r="Y41" s="48">
        <v>910</v>
      </c>
      <c r="Z41" s="48">
        <v>0</v>
      </c>
      <c r="AA41" s="48">
        <f t="shared" si="9"/>
        <v>910</v>
      </c>
      <c r="AB41" s="48">
        <f t="shared" si="10"/>
        <v>0</v>
      </c>
      <c r="AC41" s="48" t="e">
        <f t="shared" si="11"/>
        <v>#DIV/0!</v>
      </c>
      <c r="AD41" s="49">
        <v>0</v>
      </c>
      <c r="AE41" s="49">
        <v>0</v>
      </c>
      <c r="AF41" s="49">
        <v>0</v>
      </c>
      <c r="AG41" s="49">
        <f t="shared" si="12"/>
        <v>0</v>
      </c>
      <c r="AH41" s="49">
        <v>1200</v>
      </c>
      <c r="AI41" s="49">
        <v>0</v>
      </c>
      <c r="AJ41" s="49">
        <f t="shared" si="13"/>
        <v>1200</v>
      </c>
      <c r="AK41" s="49">
        <f t="shared" si="14"/>
        <v>0</v>
      </c>
      <c r="AL41" s="49" t="e">
        <f t="shared" si="15"/>
        <v>#DIV/0!</v>
      </c>
      <c r="AM41" s="50">
        <v>0</v>
      </c>
      <c r="AN41" s="50">
        <v>0</v>
      </c>
      <c r="AO41" s="50">
        <v>0</v>
      </c>
      <c r="AP41" s="50">
        <f t="shared" si="16"/>
        <v>0</v>
      </c>
      <c r="AQ41" s="50">
        <v>600</v>
      </c>
      <c r="AR41" s="50">
        <v>0</v>
      </c>
      <c r="AS41" s="50">
        <f t="shared" si="17"/>
        <v>600</v>
      </c>
      <c r="AT41" s="50">
        <f t="shared" si="18"/>
        <v>0</v>
      </c>
      <c r="AU41" s="50" t="e">
        <f t="shared" si="19"/>
        <v>#DIV/0!</v>
      </c>
      <c r="AV41" s="51">
        <v>0</v>
      </c>
      <c r="AW41" s="51">
        <v>0</v>
      </c>
      <c r="AX41" s="51">
        <v>0</v>
      </c>
      <c r="AY41" s="51">
        <f t="shared" si="20"/>
        <v>0</v>
      </c>
      <c r="AZ41" s="51">
        <v>1500</v>
      </c>
      <c r="BA41" s="51">
        <v>0</v>
      </c>
      <c r="BB41" s="51">
        <f t="shared" si="21"/>
        <v>1500</v>
      </c>
      <c r="BC41" s="51">
        <f t="shared" si="22"/>
        <v>0</v>
      </c>
      <c r="BD41" s="51" t="e">
        <f t="shared" si="23"/>
        <v>#DIV/0!</v>
      </c>
      <c r="BE41" s="52">
        <v>0</v>
      </c>
      <c r="BF41" s="52">
        <v>0</v>
      </c>
      <c r="BG41" s="52">
        <v>0</v>
      </c>
      <c r="BH41" s="52">
        <f t="shared" si="24"/>
        <v>0</v>
      </c>
      <c r="BI41" s="52">
        <v>750</v>
      </c>
      <c r="BJ41" s="52">
        <v>0</v>
      </c>
      <c r="BK41" s="52">
        <f t="shared" si="25"/>
        <v>750</v>
      </c>
      <c r="BL41" s="52">
        <f t="shared" si="26"/>
        <v>0</v>
      </c>
      <c r="BM41" s="52" t="e">
        <f t="shared" si="27"/>
        <v>#DIV/0!</v>
      </c>
      <c r="BN41" s="53">
        <v>0</v>
      </c>
      <c r="BO41" s="53">
        <v>0</v>
      </c>
      <c r="BP41" s="53">
        <v>0</v>
      </c>
      <c r="BQ41" s="53">
        <f t="shared" si="28"/>
        <v>0</v>
      </c>
      <c r="BR41" s="53">
        <v>2450</v>
      </c>
      <c r="BS41" s="53">
        <v>0</v>
      </c>
      <c r="BT41" s="53">
        <f t="shared" si="29"/>
        <v>2450</v>
      </c>
      <c r="BU41" s="53">
        <f t="shared" si="30"/>
        <v>0</v>
      </c>
      <c r="BV41" s="53" t="e">
        <f t="shared" si="31"/>
        <v>#DIV/0!</v>
      </c>
      <c r="BW41" s="54">
        <v>0</v>
      </c>
      <c r="BX41" s="54">
        <v>0</v>
      </c>
      <c r="BY41" s="54">
        <v>0</v>
      </c>
      <c r="BZ41" s="54">
        <f t="shared" si="32"/>
        <v>0</v>
      </c>
      <c r="CA41" s="54">
        <v>750</v>
      </c>
      <c r="CB41" s="54">
        <v>0</v>
      </c>
      <c r="CC41" s="54">
        <f t="shared" si="33"/>
        <v>750</v>
      </c>
      <c r="CD41" s="54">
        <f t="shared" si="34"/>
        <v>0</v>
      </c>
      <c r="CE41" s="54" t="e">
        <f t="shared" si="35"/>
        <v>#DIV/0!</v>
      </c>
      <c r="CF41" s="55">
        <v>0</v>
      </c>
      <c r="CG41" s="55">
        <v>0</v>
      </c>
      <c r="CH41" s="55">
        <v>0</v>
      </c>
      <c r="CI41" s="55">
        <f t="shared" si="36"/>
        <v>0</v>
      </c>
      <c r="CJ41" s="55">
        <v>730</v>
      </c>
      <c r="CK41" s="55">
        <v>0</v>
      </c>
      <c r="CL41" s="55">
        <f t="shared" si="37"/>
        <v>730</v>
      </c>
      <c r="CM41" s="55">
        <f t="shared" si="38"/>
        <v>0</v>
      </c>
      <c r="CN41" s="55" t="e">
        <f t="shared" si="39"/>
        <v>#DIV/0!</v>
      </c>
      <c r="CO41" s="56">
        <v>0</v>
      </c>
      <c r="CP41" s="56">
        <v>0</v>
      </c>
      <c r="CQ41" s="56">
        <v>0</v>
      </c>
      <c r="CR41" s="56">
        <f t="shared" si="40"/>
        <v>0</v>
      </c>
      <c r="CS41" s="56">
        <v>730</v>
      </c>
      <c r="CT41" s="56">
        <v>0</v>
      </c>
      <c r="CU41" s="56">
        <f t="shared" si="41"/>
        <v>730</v>
      </c>
      <c r="CV41" s="56">
        <f t="shared" si="42"/>
        <v>0</v>
      </c>
      <c r="CW41" s="56" t="e">
        <f t="shared" si="43"/>
        <v>#DIV/0!</v>
      </c>
      <c r="CX41" s="57">
        <v>0</v>
      </c>
      <c r="CY41" s="57">
        <v>0</v>
      </c>
      <c r="CZ41" s="57">
        <v>0</v>
      </c>
      <c r="DA41" s="57">
        <f t="shared" si="44"/>
        <v>0</v>
      </c>
      <c r="DB41" s="57">
        <v>600</v>
      </c>
      <c r="DC41" s="57">
        <v>0</v>
      </c>
      <c r="DD41" s="57">
        <f t="shared" si="45"/>
        <v>600</v>
      </c>
      <c r="DE41" s="57">
        <f t="shared" si="46"/>
        <v>0</v>
      </c>
      <c r="DF41" s="57" t="e">
        <f t="shared" si="47"/>
        <v>#DIV/0!</v>
      </c>
    </row>
    <row r="42" spans="1:110" ht="14.25" customHeight="1">
      <c r="A42" s="60"/>
      <c r="B42" s="44"/>
      <c r="C42" s="45">
        <v>0</v>
      </c>
      <c r="D42" s="45">
        <v>0</v>
      </c>
      <c r="E42" s="45">
        <v>0</v>
      </c>
      <c r="F42" s="45">
        <f t="shared" si="0"/>
        <v>0</v>
      </c>
      <c r="G42" s="45">
        <v>900</v>
      </c>
      <c r="H42" s="45">
        <v>0</v>
      </c>
      <c r="I42" s="45">
        <f t="shared" si="1"/>
        <v>900</v>
      </c>
      <c r="J42" s="45">
        <f t="shared" si="2"/>
        <v>0</v>
      </c>
      <c r="K42" s="45" t="e">
        <f t="shared" si="3"/>
        <v>#DIV/0!</v>
      </c>
      <c r="L42" s="47">
        <v>0</v>
      </c>
      <c r="M42" s="47">
        <v>0</v>
      </c>
      <c r="N42" s="47">
        <v>0</v>
      </c>
      <c r="O42" s="47">
        <f t="shared" si="4"/>
        <v>0</v>
      </c>
      <c r="P42" s="47">
        <v>1800</v>
      </c>
      <c r="Q42" s="47">
        <v>0</v>
      </c>
      <c r="R42" s="47">
        <f t="shared" si="5"/>
        <v>1800</v>
      </c>
      <c r="S42" s="47">
        <f t="shared" si="6"/>
        <v>0</v>
      </c>
      <c r="T42" s="47" t="e">
        <f t="shared" si="7"/>
        <v>#DIV/0!</v>
      </c>
      <c r="U42" s="48">
        <v>0</v>
      </c>
      <c r="V42" s="48">
        <v>0</v>
      </c>
      <c r="W42" s="48">
        <v>0</v>
      </c>
      <c r="X42" s="48">
        <f t="shared" si="8"/>
        <v>0</v>
      </c>
      <c r="Y42" s="48">
        <v>910</v>
      </c>
      <c r="Z42" s="48">
        <v>0</v>
      </c>
      <c r="AA42" s="48">
        <f t="shared" si="9"/>
        <v>910</v>
      </c>
      <c r="AB42" s="48">
        <f t="shared" si="10"/>
        <v>0</v>
      </c>
      <c r="AC42" s="48" t="e">
        <f t="shared" si="11"/>
        <v>#DIV/0!</v>
      </c>
      <c r="AD42" s="49">
        <v>0</v>
      </c>
      <c r="AE42" s="49">
        <v>0</v>
      </c>
      <c r="AF42" s="49">
        <v>0</v>
      </c>
      <c r="AG42" s="49">
        <f t="shared" si="12"/>
        <v>0</v>
      </c>
      <c r="AH42" s="49">
        <v>1200</v>
      </c>
      <c r="AI42" s="49">
        <v>0</v>
      </c>
      <c r="AJ42" s="49">
        <f t="shared" si="13"/>
        <v>1200</v>
      </c>
      <c r="AK42" s="49">
        <f t="shared" si="14"/>
        <v>0</v>
      </c>
      <c r="AL42" s="49" t="e">
        <f t="shared" si="15"/>
        <v>#DIV/0!</v>
      </c>
      <c r="AM42" s="50">
        <v>0</v>
      </c>
      <c r="AN42" s="50">
        <v>0</v>
      </c>
      <c r="AO42" s="50">
        <v>0</v>
      </c>
      <c r="AP42" s="50">
        <f t="shared" si="16"/>
        <v>0</v>
      </c>
      <c r="AQ42" s="50">
        <v>600</v>
      </c>
      <c r="AR42" s="50">
        <v>0</v>
      </c>
      <c r="AS42" s="50">
        <f t="shared" si="17"/>
        <v>600</v>
      </c>
      <c r="AT42" s="50">
        <f t="shared" si="18"/>
        <v>0</v>
      </c>
      <c r="AU42" s="50" t="e">
        <f t="shared" si="19"/>
        <v>#DIV/0!</v>
      </c>
      <c r="AV42" s="51">
        <v>0</v>
      </c>
      <c r="AW42" s="51">
        <v>0</v>
      </c>
      <c r="AX42" s="51">
        <v>0</v>
      </c>
      <c r="AY42" s="51">
        <f t="shared" si="20"/>
        <v>0</v>
      </c>
      <c r="AZ42" s="51">
        <v>1500</v>
      </c>
      <c r="BA42" s="51">
        <v>0</v>
      </c>
      <c r="BB42" s="51">
        <f t="shared" si="21"/>
        <v>1500</v>
      </c>
      <c r="BC42" s="51">
        <f t="shared" si="22"/>
        <v>0</v>
      </c>
      <c r="BD42" s="51" t="e">
        <f t="shared" si="23"/>
        <v>#DIV/0!</v>
      </c>
      <c r="BE42" s="52">
        <v>0</v>
      </c>
      <c r="BF42" s="52">
        <v>0</v>
      </c>
      <c r="BG42" s="52">
        <v>0</v>
      </c>
      <c r="BH42" s="52">
        <f t="shared" si="24"/>
        <v>0</v>
      </c>
      <c r="BI42" s="52">
        <v>750</v>
      </c>
      <c r="BJ42" s="52">
        <v>0</v>
      </c>
      <c r="BK42" s="52">
        <f t="shared" si="25"/>
        <v>750</v>
      </c>
      <c r="BL42" s="52">
        <f t="shared" si="26"/>
        <v>0</v>
      </c>
      <c r="BM42" s="52" t="e">
        <f t="shared" si="27"/>
        <v>#DIV/0!</v>
      </c>
      <c r="BN42" s="53">
        <v>0</v>
      </c>
      <c r="BO42" s="53">
        <v>0</v>
      </c>
      <c r="BP42" s="53">
        <v>0</v>
      </c>
      <c r="BQ42" s="53">
        <f t="shared" si="28"/>
        <v>0</v>
      </c>
      <c r="BR42" s="53">
        <v>2450</v>
      </c>
      <c r="BS42" s="53">
        <v>0</v>
      </c>
      <c r="BT42" s="53">
        <f t="shared" si="29"/>
        <v>2450</v>
      </c>
      <c r="BU42" s="53">
        <f t="shared" si="30"/>
        <v>0</v>
      </c>
      <c r="BV42" s="53" t="e">
        <f t="shared" si="31"/>
        <v>#DIV/0!</v>
      </c>
      <c r="BW42" s="54">
        <v>0</v>
      </c>
      <c r="BX42" s="54">
        <v>0</v>
      </c>
      <c r="BY42" s="54">
        <v>0</v>
      </c>
      <c r="BZ42" s="54">
        <f t="shared" si="32"/>
        <v>0</v>
      </c>
      <c r="CA42" s="54">
        <v>750</v>
      </c>
      <c r="CB42" s="54">
        <v>0</v>
      </c>
      <c r="CC42" s="54">
        <f t="shared" si="33"/>
        <v>750</v>
      </c>
      <c r="CD42" s="54">
        <f t="shared" si="34"/>
        <v>0</v>
      </c>
      <c r="CE42" s="54" t="e">
        <f t="shared" si="35"/>
        <v>#DIV/0!</v>
      </c>
      <c r="CF42" s="55">
        <v>0</v>
      </c>
      <c r="CG42" s="55">
        <v>0</v>
      </c>
      <c r="CH42" s="55">
        <v>0</v>
      </c>
      <c r="CI42" s="55">
        <f t="shared" si="36"/>
        <v>0</v>
      </c>
      <c r="CJ42" s="55">
        <v>730</v>
      </c>
      <c r="CK42" s="55">
        <v>0</v>
      </c>
      <c r="CL42" s="55">
        <f t="shared" si="37"/>
        <v>730</v>
      </c>
      <c r="CM42" s="55">
        <f t="shared" si="38"/>
        <v>0</v>
      </c>
      <c r="CN42" s="55" t="e">
        <f t="shared" si="39"/>
        <v>#DIV/0!</v>
      </c>
      <c r="CO42" s="56">
        <v>0</v>
      </c>
      <c r="CP42" s="56">
        <v>0</v>
      </c>
      <c r="CQ42" s="56">
        <v>0</v>
      </c>
      <c r="CR42" s="56">
        <f t="shared" si="40"/>
        <v>0</v>
      </c>
      <c r="CS42" s="56">
        <v>730</v>
      </c>
      <c r="CT42" s="56">
        <v>0</v>
      </c>
      <c r="CU42" s="56">
        <f t="shared" si="41"/>
        <v>730</v>
      </c>
      <c r="CV42" s="56">
        <f t="shared" si="42"/>
        <v>0</v>
      </c>
      <c r="CW42" s="56" t="e">
        <f t="shared" si="43"/>
        <v>#DIV/0!</v>
      </c>
      <c r="CX42" s="57">
        <v>0</v>
      </c>
      <c r="CY42" s="57">
        <v>0</v>
      </c>
      <c r="CZ42" s="57">
        <v>0</v>
      </c>
      <c r="DA42" s="57">
        <f t="shared" si="44"/>
        <v>0</v>
      </c>
      <c r="DB42" s="57">
        <v>600</v>
      </c>
      <c r="DC42" s="57">
        <v>0</v>
      </c>
      <c r="DD42" s="57">
        <f t="shared" si="45"/>
        <v>600</v>
      </c>
      <c r="DE42" s="57">
        <f t="shared" si="46"/>
        <v>0</v>
      </c>
      <c r="DF42" s="57" t="e">
        <f t="shared" si="47"/>
        <v>#DIV/0!</v>
      </c>
    </row>
    <row r="43" spans="1:110" ht="14.25" customHeight="1">
      <c r="A43" s="60"/>
      <c r="B43" s="44"/>
      <c r="C43" s="45">
        <v>0</v>
      </c>
      <c r="D43" s="45">
        <v>0</v>
      </c>
      <c r="E43" s="45">
        <v>0</v>
      </c>
      <c r="F43" s="45">
        <f t="shared" si="0"/>
        <v>0</v>
      </c>
      <c r="G43" s="45">
        <v>900</v>
      </c>
      <c r="H43" s="45">
        <v>0</v>
      </c>
      <c r="I43" s="45">
        <f t="shared" si="1"/>
        <v>900</v>
      </c>
      <c r="J43" s="45">
        <f t="shared" si="2"/>
        <v>0</v>
      </c>
      <c r="K43" s="45" t="e">
        <f t="shared" si="3"/>
        <v>#DIV/0!</v>
      </c>
      <c r="L43" s="47">
        <v>0</v>
      </c>
      <c r="M43" s="47">
        <v>0</v>
      </c>
      <c r="N43" s="47">
        <v>0</v>
      </c>
      <c r="O43" s="47">
        <f t="shared" si="4"/>
        <v>0</v>
      </c>
      <c r="P43" s="47">
        <v>1800</v>
      </c>
      <c r="Q43" s="47">
        <v>0</v>
      </c>
      <c r="R43" s="47">
        <f t="shared" si="5"/>
        <v>1800</v>
      </c>
      <c r="S43" s="47">
        <f t="shared" si="6"/>
        <v>0</v>
      </c>
      <c r="T43" s="47" t="e">
        <f t="shared" si="7"/>
        <v>#DIV/0!</v>
      </c>
      <c r="U43" s="48">
        <v>0</v>
      </c>
      <c r="V43" s="48">
        <v>0</v>
      </c>
      <c r="W43" s="48">
        <v>0</v>
      </c>
      <c r="X43" s="48">
        <f t="shared" si="8"/>
        <v>0</v>
      </c>
      <c r="Y43" s="48">
        <v>910</v>
      </c>
      <c r="Z43" s="48">
        <v>0</v>
      </c>
      <c r="AA43" s="48">
        <f t="shared" si="9"/>
        <v>910</v>
      </c>
      <c r="AB43" s="48">
        <f t="shared" si="10"/>
        <v>0</v>
      </c>
      <c r="AC43" s="48" t="e">
        <f t="shared" si="11"/>
        <v>#DIV/0!</v>
      </c>
      <c r="AD43" s="49">
        <v>0</v>
      </c>
      <c r="AE43" s="49">
        <v>0</v>
      </c>
      <c r="AF43" s="49">
        <v>0</v>
      </c>
      <c r="AG43" s="49">
        <f t="shared" si="12"/>
        <v>0</v>
      </c>
      <c r="AH43" s="49">
        <v>1200</v>
      </c>
      <c r="AI43" s="49">
        <v>0</v>
      </c>
      <c r="AJ43" s="49">
        <f t="shared" si="13"/>
        <v>1200</v>
      </c>
      <c r="AK43" s="49">
        <f t="shared" si="14"/>
        <v>0</v>
      </c>
      <c r="AL43" s="49" t="e">
        <f t="shared" si="15"/>
        <v>#DIV/0!</v>
      </c>
      <c r="AM43" s="50">
        <v>0</v>
      </c>
      <c r="AN43" s="50">
        <v>0</v>
      </c>
      <c r="AO43" s="50">
        <v>0</v>
      </c>
      <c r="AP43" s="50">
        <f t="shared" si="16"/>
        <v>0</v>
      </c>
      <c r="AQ43" s="50">
        <v>600</v>
      </c>
      <c r="AR43" s="50">
        <v>0</v>
      </c>
      <c r="AS43" s="50">
        <f t="shared" si="17"/>
        <v>600</v>
      </c>
      <c r="AT43" s="50">
        <f t="shared" si="18"/>
        <v>0</v>
      </c>
      <c r="AU43" s="50" t="e">
        <f t="shared" si="19"/>
        <v>#DIV/0!</v>
      </c>
      <c r="AV43" s="51">
        <v>0</v>
      </c>
      <c r="AW43" s="51">
        <v>0</v>
      </c>
      <c r="AX43" s="51">
        <v>0</v>
      </c>
      <c r="AY43" s="51">
        <f t="shared" si="20"/>
        <v>0</v>
      </c>
      <c r="AZ43" s="51">
        <v>1500</v>
      </c>
      <c r="BA43" s="51">
        <v>0</v>
      </c>
      <c r="BB43" s="51">
        <f t="shared" si="21"/>
        <v>1500</v>
      </c>
      <c r="BC43" s="51">
        <f t="shared" si="22"/>
        <v>0</v>
      </c>
      <c r="BD43" s="51" t="e">
        <f t="shared" si="23"/>
        <v>#DIV/0!</v>
      </c>
      <c r="BE43" s="52">
        <v>0</v>
      </c>
      <c r="BF43" s="52">
        <v>0</v>
      </c>
      <c r="BG43" s="52">
        <v>0</v>
      </c>
      <c r="BH43" s="52">
        <f t="shared" si="24"/>
        <v>0</v>
      </c>
      <c r="BI43" s="52">
        <v>750</v>
      </c>
      <c r="BJ43" s="52">
        <v>0</v>
      </c>
      <c r="BK43" s="52">
        <f t="shared" si="25"/>
        <v>750</v>
      </c>
      <c r="BL43" s="52">
        <f t="shared" si="26"/>
        <v>0</v>
      </c>
      <c r="BM43" s="52" t="e">
        <f t="shared" si="27"/>
        <v>#DIV/0!</v>
      </c>
      <c r="BN43" s="53">
        <v>0</v>
      </c>
      <c r="BO43" s="53">
        <v>0</v>
      </c>
      <c r="BP43" s="53">
        <v>0</v>
      </c>
      <c r="BQ43" s="53">
        <f t="shared" si="28"/>
        <v>0</v>
      </c>
      <c r="BR43" s="53">
        <v>2450</v>
      </c>
      <c r="BS43" s="53">
        <v>0</v>
      </c>
      <c r="BT43" s="53">
        <f t="shared" si="29"/>
        <v>2450</v>
      </c>
      <c r="BU43" s="53">
        <f t="shared" si="30"/>
        <v>0</v>
      </c>
      <c r="BV43" s="53" t="e">
        <f t="shared" si="31"/>
        <v>#DIV/0!</v>
      </c>
      <c r="BW43" s="54">
        <v>0</v>
      </c>
      <c r="BX43" s="54">
        <v>0</v>
      </c>
      <c r="BY43" s="54">
        <v>0</v>
      </c>
      <c r="BZ43" s="54">
        <f t="shared" si="32"/>
        <v>0</v>
      </c>
      <c r="CA43" s="54">
        <v>750</v>
      </c>
      <c r="CB43" s="54">
        <v>0</v>
      </c>
      <c r="CC43" s="54">
        <f t="shared" si="33"/>
        <v>750</v>
      </c>
      <c r="CD43" s="54">
        <f t="shared" si="34"/>
        <v>0</v>
      </c>
      <c r="CE43" s="54" t="e">
        <f t="shared" si="35"/>
        <v>#DIV/0!</v>
      </c>
      <c r="CF43" s="55">
        <v>0</v>
      </c>
      <c r="CG43" s="55">
        <v>0</v>
      </c>
      <c r="CH43" s="55">
        <v>0</v>
      </c>
      <c r="CI43" s="55">
        <f t="shared" si="36"/>
        <v>0</v>
      </c>
      <c r="CJ43" s="55">
        <v>730</v>
      </c>
      <c r="CK43" s="55">
        <v>0</v>
      </c>
      <c r="CL43" s="55">
        <f t="shared" si="37"/>
        <v>730</v>
      </c>
      <c r="CM43" s="55">
        <f t="shared" si="38"/>
        <v>0</v>
      </c>
      <c r="CN43" s="55" t="e">
        <f t="shared" si="39"/>
        <v>#DIV/0!</v>
      </c>
      <c r="CO43" s="56">
        <v>0</v>
      </c>
      <c r="CP43" s="56">
        <v>0</v>
      </c>
      <c r="CQ43" s="56">
        <v>0</v>
      </c>
      <c r="CR43" s="56">
        <f t="shared" si="40"/>
        <v>0</v>
      </c>
      <c r="CS43" s="56">
        <v>730</v>
      </c>
      <c r="CT43" s="56">
        <v>0</v>
      </c>
      <c r="CU43" s="56">
        <f t="shared" si="41"/>
        <v>730</v>
      </c>
      <c r="CV43" s="56">
        <f t="shared" si="42"/>
        <v>0</v>
      </c>
      <c r="CW43" s="56" t="e">
        <f t="shared" si="43"/>
        <v>#DIV/0!</v>
      </c>
      <c r="CX43" s="57">
        <v>0</v>
      </c>
      <c r="CY43" s="57">
        <v>0</v>
      </c>
      <c r="CZ43" s="57">
        <v>0</v>
      </c>
      <c r="DA43" s="57">
        <f t="shared" si="44"/>
        <v>0</v>
      </c>
      <c r="DB43" s="57">
        <v>600</v>
      </c>
      <c r="DC43" s="57">
        <v>0</v>
      </c>
      <c r="DD43" s="57">
        <f t="shared" si="45"/>
        <v>600</v>
      </c>
      <c r="DE43" s="57">
        <f t="shared" si="46"/>
        <v>0</v>
      </c>
      <c r="DF43" s="57" t="e">
        <f t="shared" si="47"/>
        <v>#DIV/0!</v>
      </c>
    </row>
    <row r="44" spans="1:110" ht="14.25" customHeight="1">
      <c r="A44" s="60"/>
      <c r="B44" s="44"/>
      <c r="C44" s="45">
        <v>0</v>
      </c>
      <c r="D44" s="45">
        <v>0</v>
      </c>
      <c r="E44" s="45">
        <v>0</v>
      </c>
      <c r="F44" s="45">
        <f t="shared" si="0"/>
        <v>0</v>
      </c>
      <c r="G44" s="45">
        <v>900</v>
      </c>
      <c r="H44" s="45">
        <v>0</v>
      </c>
      <c r="I44" s="45">
        <f t="shared" si="1"/>
        <v>900</v>
      </c>
      <c r="J44" s="45">
        <f t="shared" si="2"/>
        <v>0</v>
      </c>
      <c r="K44" s="45" t="e">
        <f t="shared" si="3"/>
        <v>#DIV/0!</v>
      </c>
      <c r="L44" s="47">
        <v>0</v>
      </c>
      <c r="M44" s="47">
        <v>0</v>
      </c>
      <c r="N44" s="47">
        <v>0</v>
      </c>
      <c r="O44" s="47">
        <f t="shared" si="4"/>
        <v>0</v>
      </c>
      <c r="P44" s="47">
        <v>1800</v>
      </c>
      <c r="Q44" s="47">
        <v>0</v>
      </c>
      <c r="R44" s="47">
        <f t="shared" si="5"/>
        <v>1800</v>
      </c>
      <c r="S44" s="47">
        <f t="shared" si="6"/>
        <v>0</v>
      </c>
      <c r="T44" s="47" t="e">
        <f t="shared" si="7"/>
        <v>#DIV/0!</v>
      </c>
      <c r="U44" s="48">
        <v>0</v>
      </c>
      <c r="V44" s="48">
        <v>0</v>
      </c>
      <c r="W44" s="48">
        <v>0</v>
      </c>
      <c r="X44" s="48">
        <f t="shared" si="8"/>
        <v>0</v>
      </c>
      <c r="Y44" s="48">
        <v>910</v>
      </c>
      <c r="Z44" s="48">
        <v>0</v>
      </c>
      <c r="AA44" s="48">
        <f t="shared" si="9"/>
        <v>910</v>
      </c>
      <c r="AB44" s="48">
        <f t="shared" si="10"/>
        <v>0</v>
      </c>
      <c r="AC44" s="48" t="e">
        <f t="shared" si="11"/>
        <v>#DIV/0!</v>
      </c>
      <c r="AD44" s="49">
        <v>0</v>
      </c>
      <c r="AE44" s="49">
        <v>0</v>
      </c>
      <c r="AF44" s="49">
        <v>0</v>
      </c>
      <c r="AG44" s="49">
        <f t="shared" si="12"/>
        <v>0</v>
      </c>
      <c r="AH44" s="49">
        <v>1200</v>
      </c>
      <c r="AI44" s="49">
        <v>0</v>
      </c>
      <c r="AJ44" s="49">
        <f t="shared" si="13"/>
        <v>1200</v>
      </c>
      <c r="AK44" s="49">
        <f t="shared" si="14"/>
        <v>0</v>
      </c>
      <c r="AL44" s="49" t="e">
        <f t="shared" si="15"/>
        <v>#DIV/0!</v>
      </c>
      <c r="AM44" s="50">
        <v>0</v>
      </c>
      <c r="AN44" s="50">
        <v>0</v>
      </c>
      <c r="AO44" s="50">
        <v>0</v>
      </c>
      <c r="AP44" s="50">
        <f t="shared" si="16"/>
        <v>0</v>
      </c>
      <c r="AQ44" s="50">
        <v>600</v>
      </c>
      <c r="AR44" s="50">
        <v>0</v>
      </c>
      <c r="AS44" s="50">
        <f t="shared" si="17"/>
        <v>600</v>
      </c>
      <c r="AT44" s="50">
        <f t="shared" si="18"/>
        <v>0</v>
      </c>
      <c r="AU44" s="50" t="e">
        <f t="shared" si="19"/>
        <v>#DIV/0!</v>
      </c>
      <c r="AV44" s="51">
        <v>0</v>
      </c>
      <c r="AW44" s="51">
        <v>0</v>
      </c>
      <c r="AX44" s="51">
        <v>0</v>
      </c>
      <c r="AY44" s="51">
        <f t="shared" si="20"/>
        <v>0</v>
      </c>
      <c r="AZ44" s="51">
        <v>1500</v>
      </c>
      <c r="BA44" s="51">
        <v>0</v>
      </c>
      <c r="BB44" s="51">
        <f t="shared" si="21"/>
        <v>1500</v>
      </c>
      <c r="BC44" s="51">
        <f t="shared" si="22"/>
        <v>0</v>
      </c>
      <c r="BD44" s="51" t="e">
        <f t="shared" si="23"/>
        <v>#DIV/0!</v>
      </c>
      <c r="BE44" s="52">
        <v>0</v>
      </c>
      <c r="BF44" s="52">
        <v>0</v>
      </c>
      <c r="BG44" s="52">
        <v>0</v>
      </c>
      <c r="BH44" s="52">
        <f t="shared" si="24"/>
        <v>0</v>
      </c>
      <c r="BI44" s="52">
        <v>750</v>
      </c>
      <c r="BJ44" s="52">
        <v>0</v>
      </c>
      <c r="BK44" s="52">
        <f t="shared" si="25"/>
        <v>750</v>
      </c>
      <c r="BL44" s="52">
        <f t="shared" si="26"/>
        <v>0</v>
      </c>
      <c r="BM44" s="52" t="e">
        <f t="shared" si="27"/>
        <v>#DIV/0!</v>
      </c>
      <c r="BN44" s="53">
        <v>0</v>
      </c>
      <c r="BO44" s="53">
        <v>0</v>
      </c>
      <c r="BP44" s="53">
        <v>0</v>
      </c>
      <c r="BQ44" s="53">
        <f t="shared" si="28"/>
        <v>0</v>
      </c>
      <c r="BR44" s="53">
        <v>2450</v>
      </c>
      <c r="BS44" s="53">
        <v>0</v>
      </c>
      <c r="BT44" s="53">
        <f t="shared" si="29"/>
        <v>2450</v>
      </c>
      <c r="BU44" s="53">
        <f t="shared" si="30"/>
        <v>0</v>
      </c>
      <c r="BV44" s="53" t="e">
        <f t="shared" si="31"/>
        <v>#DIV/0!</v>
      </c>
      <c r="BW44" s="54">
        <v>0</v>
      </c>
      <c r="BX44" s="54">
        <v>0</v>
      </c>
      <c r="BY44" s="54">
        <v>0</v>
      </c>
      <c r="BZ44" s="54">
        <f t="shared" si="32"/>
        <v>0</v>
      </c>
      <c r="CA44" s="54">
        <v>750</v>
      </c>
      <c r="CB44" s="54">
        <v>0</v>
      </c>
      <c r="CC44" s="54">
        <f t="shared" si="33"/>
        <v>750</v>
      </c>
      <c r="CD44" s="54">
        <f t="shared" si="34"/>
        <v>0</v>
      </c>
      <c r="CE44" s="54" t="e">
        <f t="shared" si="35"/>
        <v>#DIV/0!</v>
      </c>
      <c r="CF44" s="55">
        <v>0</v>
      </c>
      <c r="CG44" s="55">
        <v>0</v>
      </c>
      <c r="CH44" s="55">
        <v>0</v>
      </c>
      <c r="CI44" s="55">
        <f t="shared" si="36"/>
        <v>0</v>
      </c>
      <c r="CJ44" s="55">
        <v>730</v>
      </c>
      <c r="CK44" s="55">
        <v>0</v>
      </c>
      <c r="CL44" s="55">
        <f t="shared" si="37"/>
        <v>730</v>
      </c>
      <c r="CM44" s="55">
        <f t="shared" si="38"/>
        <v>0</v>
      </c>
      <c r="CN44" s="55" t="e">
        <f t="shared" si="39"/>
        <v>#DIV/0!</v>
      </c>
      <c r="CO44" s="56">
        <v>0</v>
      </c>
      <c r="CP44" s="56">
        <v>0</v>
      </c>
      <c r="CQ44" s="56">
        <v>0</v>
      </c>
      <c r="CR44" s="56">
        <f t="shared" si="40"/>
        <v>0</v>
      </c>
      <c r="CS44" s="56">
        <v>730</v>
      </c>
      <c r="CT44" s="56">
        <v>0</v>
      </c>
      <c r="CU44" s="56">
        <f t="shared" si="41"/>
        <v>730</v>
      </c>
      <c r="CV44" s="56">
        <f t="shared" si="42"/>
        <v>0</v>
      </c>
      <c r="CW44" s="56" t="e">
        <f t="shared" si="43"/>
        <v>#DIV/0!</v>
      </c>
      <c r="CX44" s="57">
        <v>0</v>
      </c>
      <c r="CY44" s="57">
        <v>0</v>
      </c>
      <c r="CZ44" s="57">
        <v>0</v>
      </c>
      <c r="DA44" s="57">
        <f t="shared" si="44"/>
        <v>0</v>
      </c>
      <c r="DB44" s="57">
        <v>600</v>
      </c>
      <c r="DC44" s="57">
        <v>0</v>
      </c>
      <c r="DD44" s="57">
        <f t="shared" si="45"/>
        <v>600</v>
      </c>
      <c r="DE44" s="57">
        <f t="shared" si="46"/>
        <v>0</v>
      </c>
      <c r="DF44" s="57" t="e">
        <f t="shared" si="47"/>
        <v>#DIV/0!</v>
      </c>
    </row>
    <row r="45" spans="1:110" ht="14.25" customHeight="1">
      <c r="A45" s="60"/>
      <c r="B45" s="44"/>
      <c r="C45" s="45">
        <v>0</v>
      </c>
      <c r="D45" s="45">
        <v>0</v>
      </c>
      <c r="E45" s="45">
        <v>0</v>
      </c>
      <c r="F45" s="45">
        <f t="shared" si="0"/>
        <v>0</v>
      </c>
      <c r="G45" s="45">
        <v>900</v>
      </c>
      <c r="H45" s="45">
        <v>0</v>
      </c>
      <c r="I45" s="45">
        <f t="shared" si="1"/>
        <v>900</v>
      </c>
      <c r="J45" s="45">
        <f t="shared" si="2"/>
        <v>0</v>
      </c>
      <c r="K45" s="45" t="e">
        <f t="shared" si="3"/>
        <v>#DIV/0!</v>
      </c>
      <c r="L45" s="47">
        <v>0</v>
      </c>
      <c r="M45" s="47">
        <v>0</v>
      </c>
      <c r="N45" s="47">
        <v>0</v>
      </c>
      <c r="O45" s="47">
        <f t="shared" si="4"/>
        <v>0</v>
      </c>
      <c r="P45" s="47">
        <v>1800</v>
      </c>
      <c r="Q45" s="47">
        <v>0</v>
      </c>
      <c r="R45" s="47">
        <f t="shared" si="5"/>
        <v>1800</v>
      </c>
      <c r="S45" s="47">
        <f t="shared" si="6"/>
        <v>0</v>
      </c>
      <c r="T45" s="47" t="e">
        <f t="shared" si="7"/>
        <v>#DIV/0!</v>
      </c>
      <c r="U45" s="48">
        <v>0</v>
      </c>
      <c r="V45" s="48">
        <v>0</v>
      </c>
      <c r="W45" s="48">
        <v>0</v>
      </c>
      <c r="X45" s="48">
        <f t="shared" si="8"/>
        <v>0</v>
      </c>
      <c r="Y45" s="48">
        <v>910</v>
      </c>
      <c r="Z45" s="48">
        <v>0</v>
      </c>
      <c r="AA45" s="48">
        <f t="shared" si="9"/>
        <v>910</v>
      </c>
      <c r="AB45" s="48">
        <f t="shared" si="10"/>
        <v>0</v>
      </c>
      <c r="AC45" s="48" t="e">
        <f t="shared" si="11"/>
        <v>#DIV/0!</v>
      </c>
      <c r="AD45" s="49">
        <v>0</v>
      </c>
      <c r="AE45" s="49">
        <v>0</v>
      </c>
      <c r="AF45" s="49">
        <v>0</v>
      </c>
      <c r="AG45" s="49">
        <f t="shared" si="12"/>
        <v>0</v>
      </c>
      <c r="AH45" s="49">
        <v>1200</v>
      </c>
      <c r="AI45" s="49">
        <v>0</v>
      </c>
      <c r="AJ45" s="49">
        <f t="shared" si="13"/>
        <v>1200</v>
      </c>
      <c r="AK45" s="49">
        <f t="shared" si="14"/>
        <v>0</v>
      </c>
      <c r="AL45" s="49" t="e">
        <f t="shared" si="15"/>
        <v>#DIV/0!</v>
      </c>
      <c r="AM45" s="50">
        <v>0</v>
      </c>
      <c r="AN45" s="50">
        <v>0</v>
      </c>
      <c r="AO45" s="50">
        <v>0</v>
      </c>
      <c r="AP45" s="50">
        <f t="shared" si="16"/>
        <v>0</v>
      </c>
      <c r="AQ45" s="50">
        <v>600</v>
      </c>
      <c r="AR45" s="50">
        <v>0</v>
      </c>
      <c r="AS45" s="50">
        <f t="shared" si="17"/>
        <v>600</v>
      </c>
      <c r="AT45" s="50">
        <f t="shared" si="18"/>
        <v>0</v>
      </c>
      <c r="AU45" s="50" t="e">
        <f t="shared" si="19"/>
        <v>#DIV/0!</v>
      </c>
      <c r="AV45" s="51">
        <v>0</v>
      </c>
      <c r="AW45" s="51">
        <v>0</v>
      </c>
      <c r="AX45" s="51">
        <v>0</v>
      </c>
      <c r="AY45" s="51">
        <f t="shared" si="20"/>
        <v>0</v>
      </c>
      <c r="AZ45" s="51">
        <v>1500</v>
      </c>
      <c r="BA45" s="51">
        <v>0</v>
      </c>
      <c r="BB45" s="51">
        <f t="shared" si="21"/>
        <v>1500</v>
      </c>
      <c r="BC45" s="51">
        <f t="shared" si="22"/>
        <v>0</v>
      </c>
      <c r="BD45" s="51" t="e">
        <f t="shared" si="23"/>
        <v>#DIV/0!</v>
      </c>
      <c r="BE45" s="52">
        <v>0</v>
      </c>
      <c r="BF45" s="52">
        <v>0</v>
      </c>
      <c r="BG45" s="52">
        <v>0</v>
      </c>
      <c r="BH45" s="52">
        <f t="shared" si="24"/>
        <v>0</v>
      </c>
      <c r="BI45" s="52">
        <v>750</v>
      </c>
      <c r="BJ45" s="52">
        <v>0</v>
      </c>
      <c r="BK45" s="52">
        <f t="shared" si="25"/>
        <v>750</v>
      </c>
      <c r="BL45" s="52">
        <f t="shared" si="26"/>
        <v>0</v>
      </c>
      <c r="BM45" s="52" t="e">
        <f t="shared" si="27"/>
        <v>#DIV/0!</v>
      </c>
      <c r="BN45" s="53">
        <v>0</v>
      </c>
      <c r="BO45" s="53">
        <v>0</v>
      </c>
      <c r="BP45" s="53">
        <v>0</v>
      </c>
      <c r="BQ45" s="53">
        <f t="shared" si="28"/>
        <v>0</v>
      </c>
      <c r="BR45" s="53">
        <v>2450</v>
      </c>
      <c r="BS45" s="53">
        <v>0</v>
      </c>
      <c r="BT45" s="53">
        <f t="shared" si="29"/>
        <v>2450</v>
      </c>
      <c r="BU45" s="53">
        <f t="shared" si="30"/>
        <v>0</v>
      </c>
      <c r="BV45" s="53" t="e">
        <f t="shared" si="31"/>
        <v>#DIV/0!</v>
      </c>
      <c r="BW45" s="54">
        <v>0</v>
      </c>
      <c r="BX45" s="54">
        <v>0</v>
      </c>
      <c r="BY45" s="54">
        <v>0</v>
      </c>
      <c r="BZ45" s="54">
        <f t="shared" si="32"/>
        <v>0</v>
      </c>
      <c r="CA45" s="54">
        <v>750</v>
      </c>
      <c r="CB45" s="54">
        <v>0</v>
      </c>
      <c r="CC45" s="54">
        <f t="shared" si="33"/>
        <v>750</v>
      </c>
      <c r="CD45" s="54">
        <f t="shared" si="34"/>
        <v>0</v>
      </c>
      <c r="CE45" s="54" t="e">
        <f t="shared" si="35"/>
        <v>#DIV/0!</v>
      </c>
      <c r="CF45" s="55">
        <v>0</v>
      </c>
      <c r="CG45" s="55">
        <v>0</v>
      </c>
      <c r="CH45" s="55">
        <v>0</v>
      </c>
      <c r="CI45" s="55">
        <f t="shared" si="36"/>
        <v>0</v>
      </c>
      <c r="CJ45" s="55">
        <v>730</v>
      </c>
      <c r="CK45" s="55">
        <v>0</v>
      </c>
      <c r="CL45" s="55">
        <f t="shared" si="37"/>
        <v>730</v>
      </c>
      <c r="CM45" s="55">
        <f t="shared" si="38"/>
        <v>0</v>
      </c>
      <c r="CN45" s="55" t="e">
        <f t="shared" si="39"/>
        <v>#DIV/0!</v>
      </c>
      <c r="CO45" s="56">
        <v>0</v>
      </c>
      <c r="CP45" s="56">
        <v>0</v>
      </c>
      <c r="CQ45" s="56">
        <v>0</v>
      </c>
      <c r="CR45" s="56">
        <f t="shared" si="40"/>
        <v>0</v>
      </c>
      <c r="CS45" s="56">
        <v>730</v>
      </c>
      <c r="CT45" s="56">
        <v>0</v>
      </c>
      <c r="CU45" s="56">
        <f t="shared" si="41"/>
        <v>730</v>
      </c>
      <c r="CV45" s="56">
        <f t="shared" si="42"/>
        <v>0</v>
      </c>
      <c r="CW45" s="56" t="e">
        <f t="shared" si="43"/>
        <v>#DIV/0!</v>
      </c>
      <c r="CX45" s="57">
        <v>0</v>
      </c>
      <c r="CY45" s="57">
        <v>0</v>
      </c>
      <c r="CZ45" s="57">
        <v>0</v>
      </c>
      <c r="DA45" s="57">
        <f t="shared" si="44"/>
        <v>0</v>
      </c>
      <c r="DB45" s="57">
        <v>600</v>
      </c>
      <c r="DC45" s="57">
        <v>0</v>
      </c>
      <c r="DD45" s="57">
        <f t="shared" si="45"/>
        <v>600</v>
      </c>
      <c r="DE45" s="57">
        <f t="shared" si="46"/>
        <v>0</v>
      </c>
      <c r="DF45" s="57" t="e">
        <f t="shared" si="47"/>
        <v>#DIV/0!</v>
      </c>
    </row>
    <row r="46" spans="1:110" ht="14.25" customHeight="1">
      <c r="A46" s="60"/>
      <c r="B46" s="44"/>
      <c r="C46" s="45">
        <v>0</v>
      </c>
      <c r="D46" s="45">
        <v>0</v>
      </c>
      <c r="E46" s="45">
        <v>0</v>
      </c>
      <c r="F46" s="45">
        <f t="shared" si="0"/>
        <v>0</v>
      </c>
      <c r="G46" s="45">
        <v>900</v>
      </c>
      <c r="H46" s="45">
        <v>0</v>
      </c>
      <c r="I46" s="45">
        <f t="shared" si="1"/>
        <v>900</v>
      </c>
      <c r="J46" s="45">
        <f t="shared" si="2"/>
        <v>0</v>
      </c>
      <c r="K46" s="45" t="e">
        <f t="shared" si="3"/>
        <v>#DIV/0!</v>
      </c>
      <c r="L46" s="47">
        <v>0</v>
      </c>
      <c r="M46" s="47">
        <v>0</v>
      </c>
      <c r="N46" s="47">
        <v>0</v>
      </c>
      <c r="O46" s="47">
        <f t="shared" si="4"/>
        <v>0</v>
      </c>
      <c r="P46" s="47">
        <v>1800</v>
      </c>
      <c r="Q46" s="47">
        <v>0</v>
      </c>
      <c r="R46" s="47">
        <f t="shared" si="5"/>
        <v>1800</v>
      </c>
      <c r="S46" s="47">
        <f t="shared" si="6"/>
        <v>0</v>
      </c>
      <c r="T46" s="47" t="e">
        <f t="shared" si="7"/>
        <v>#DIV/0!</v>
      </c>
      <c r="U46" s="48">
        <v>0</v>
      </c>
      <c r="V46" s="48">
        <v>0</v>
      </c>
      <c r="W46" s="48">
        <v>0</v>
      </c>
      <c r="X46" s="48">
        <f t="shared" si="8"/>
        <v>0</v>
      </c>
      <c r="Y46" s="48">
        <v>910</v>
      </c>
      <c r="Z46" s="48">
        <v>0</v>
      </c>
      <c r="AA46" s="48">
        <f t="shared" si="9"/>
        <v>910</v>
      </c>
      <c r="AB46" s="48">
        <f t="shared" si="10"/>
        <v>0</v>
      </c>
      <c r="AC46" s="48" t="e">
        <f t="shared" si="11"/>
        <v>#DIV/0!</v>
      </c>
      <c r="AD46" s="49">
        <v>0</v>
      </c>
      <c r="AE46" s="49">
        <v>0</v>
      </c>
      <c r="AF46" s="49">
        <v>0</v>
      </c>
      <c r="AG46" s="49">
        <f t="shared" si="12"/>
        <v>0</v>
      </c>
      <c r="AH46" s="49">
        <v>1200</v>
      </c>
      <c r="AI46" s="49">
        <v>0</v>
      </c>
      <c r="AJ46" s="49">
        <f t="shared" si="13"/>
        <v>1200</v>
      </c>
      <c r="AK46" s="49">
        <f t="shared" si="14"/>
        <v>0</v>
      </c>
      <c r="AL46" s="49" t="e">
        <f t="shared" si="15"/>
        <v>#DIV/0!</v>
      </c>
      <c r="AM46" s="50">
        <v>0</v>
      </c>
      <c r="AN46" s="50">
        <v>0</v>
      </c>
      <c r="AO46" s="50">
        <v>0</v>
      </c>
      <c r="AP46" s="50">
        <f t="shared" si="16"/>
        <v>0</v>
      </c>
      <c r="AQ46" s="50">
        <v>600</v>
      </c>
      <c r="AR46" s="50">
        <v>0</v>
      </c>
      <c r="AS46" s="50">
        <f t="shared" si="17"/>
        <v>600</v>
      </c>
      <c r="AT46" s="50">
        <f t="shared" si="18"/>
        <v>0</v>
      </c>
      <c r="AU46" s="50" t="e">
        <f t="shared" si="19"/>
        <v>#DIV/0!</v>
      </c>
      <c r="AV46" s="51">
        <v>0</v>
      </c>
      <c r="AW46" s="51">
        <v>0</v>
      </c>
      <c r="AX46" s="51">
        <v>0</v>
      </c>
      <c r="AY46" s="51">
        <f t="shared" si="20"/>
        <v>0</v>
      </c>
      <c r="AZ46" s="51">
        <v>1500</v>
      </c>
      <c r="BA46" s="51">
        <v>0</v>
      </c>
      <c r="BB46" s="51">
        <f t="shared" si="21"/>
        <v>1500</v>
      </c>
      <c r="BC46" s="51">
        <f t="shared" si="22"/>
        <v>0</v>
      </c>
      <c r="BD46" s="51" t="e">
        <f t="shared" si="23"/>
        <v>#DIV/0!</v>
      </c>
      <c r="BE46" s="52">
        <v>0</v>
      </c>
      <c r="BF46" s="52">
        <v>0</v>
      </c>
      <c r="BG46" s="52">
        <v>0</v>
      </c>
      <c r="BH46" s="52">
        <f t="shared" si="24"/>
        <v>0</v>
      </c>
      <c r="BI46" s="52">
        <v>750</v>
      </c>
      <c r="BJ46" s="52">
        <v>0</v>
      </c>
      <c r="BK46" s="52">
        <f t="shared" si="25"/>
        <v>750</v>
      </c>
      <c r="BL46" s="52">
        <f t="shared" si="26"/>
        <v>0</v>
      </c>
      <c r="BM46" s="52" t="e">
        <f t="shared" si="27"/>
        <v>#DIV/0!</v>
      </c>
      <c r="BN46" s="53">
        <v>0</v>
      </c>
      <c r="BO46" s="53">
        <v>0</v>
      </c>
      <c r="BP46" s="53">
        <v>0</v>
      </c>
      <c r="BQ46" s="53">
        <f t="shared" si="28"/>
        <v>0</v>
      </c>
      <c r="BR46" s="53">
        <v>2450</v>
      </c>
      <c r="BS46" s="53">
        <v>0</v>
      </c>
      <c r="BT46" s="53">
        <f t="shared" si="29"/>
        <v>2450</v>
      </c>
      <c r="BU46" s="53">
        <f t="shared" si="30"/>
        <v>0</v>
      </c>
      <c r="BV46" s="53" t="e">
        <f t="shared" si="31"/>
        <v>#DIV/0!</v>
      </c>
      <c r="BW46" s="54">
        <v>0</v>
      </c>
      <c r="BX46" s="54">
        <v>0</v>
      </c>
      <c r="BY46" s="54">
        <v>0</v>
      </c>
      <c r="BZ46" s="54">
        <f t="shared" si="32"/>
        <v>0</v>
      </c>
      <c r="CA46" s="54">
        <v>750</v>
      </c>
      <c r="CB46" s="54">
        <v>0</v>
      </c>
      <c r="CC46" s="54">
        <f t="shared" si="33"/>
        <v>750</v>
      </c>
      <c r="CD46" s="54">
        <f t="shared" si="34"/>
        <v>0</v>
      </c>
      <c r="CE46" s="54" t="e">
        <f t="shared" si="35"/>
        <v>#DIV/0!</v>
      </c>
      <c r="CF46" s="55">
        <v>0</v>
      </c>
      <c r="CG46" s="55">
        <v>0</v>
      </c>
      <c r="CH46" s="55">
        <v>0</v>
      </c>
      <c r="CI46" s="55">
        <f t="shared" si="36"/>
        <v>0</v>
      </c>
      <c r="CJ46" s="55">
        <v>730</v>
      </c>
      <c r="CK46" s="55">
        <v>0</v>
      </c>
      <c r="CL46" s="55">
        <f t="shared" si="37"/>
        <v>730</v>
      </c>
      <c r="CM46" s="55">
        <f t="shared" si="38"/>
        <v>0</v>
      </c>
      <c r="CN46" s="55" t="e">
        <f t="shared" si="39"/>
        <v>#DIV/0!</v>
      </c>
      <c r="CO46" s="56">
        <v>0</v>
      </c>
      <c r="CP46" s="56">
        <v>0</v>
      </c>
      <c r="CQ46" s="56">
        <v>0</v>
      </c>
      <c r="CR46" s="56">
        <f t="shared" si="40"/>
        <v>0</v>
      </c>
      <c r="CS46" s="56">
        <v>730</v>
      </c>
      <c r="CT46" s="56">
        <v>0</v>
      </c>
      <c r="CU46" s="56">
        <f t="shared" si="41"/>
        <v>730</v>
      </c>
      <c r="CV46" s="56">
        <f t="shared" si="42"/>
        <v>0</v>
      </c>
      <c r="CW46" s="56" t="e">
        <f t="shared" si="43"/>
        <v>#DIV/0!</v>
      </c>
      <c r="CX46" s="57">
        <v>0</v>
      </c>
      <c r="CY46" s="57">
        <v>0</v>
      </c>
      <c r="CZ46" s="57">
        <v>0</v>
      </c>
      <c r="DA46" s="57">
        <f t="shared" si="44"/>
        <v>0</v>
      </c>
      <c r="DB46" s="57">
        <v>600</v>
      </c>
      <c r="DC46" s="57">
        <v>0</v>
      </c>
      <c r="DD46" s="57">
        <f t="shared" si="45"/>
        <v>600</v>
      </c>
      <c r="DE46" s="57">
        <f t="shared" si="46"/>
        <v>0</v>
      </c>
      <c r="DF46" s="57" t="e">
        <f t="shared" si="47"/>
        <v>#DIV/0!</v>
      </c>
    </row>
    <row r="47" spans="1:110" ht="14.25" customHeight="1">
      <c r="A47" s="60"/>
      <c r="B47" s="44"/>
      <c r="C47" s="45">
        <v>0</v>
      </c>
      <c r="D47" s="45">
        <v>0</v>
      </c>
      <c r="E47" s="45">
        <v>0</v>
      </c>
      <c r="F47" s="45">
        <f t="shared" si="0"/>
        <v>0</v>
      </c>
      <c r="G47" s="45">
        <v>900</v>
      </c>
      <c r="H47" s="45">
        <v>0</v>
      </c>
      <c r="I47" s="45">
        <f t="shared" si="1"/>
        <v>900</v>
      </c>
      <c r="J47" s="45">
        <f t="shared" si="2"/>
        <v>0</v>
      </c>
      <c r="K47" s="45" t="e">
        <f t="shared" si="3"/>
        <v>#DIV/0!</v>
      </c>
      <c r="L47" s="47">
        <v>0</v>
      </c>
      <c r="M47" s="47">
        <v>0</v>
      </c>
      <c r="N47" s="47">
        <v>0</v>
      </c>
      <c r="O47" s="47">
        <f t="shared" si="4"/>
        <v>0</v>
      </c>
      <c r="P47" s="47">
        <v>1800</v>
      </c>
      <c r="Q47" s="47">
        <v>0</v>
      </c>
      <c r="R47" s="47">
        <f t="shared" si="5"/>
        <v>1800</v>
      </c>
      <c r="S47" s="47">
        <f t="shared" si="6"/>
        <v>0</v>
      </c>
      <c r="T47" s="47" t="e">
        <f t="shared" si="7"/>
        <v>#DIV/0!</v>
      </c>
      <c r="U47" s="48">
        <v>0</v>
      </c>
      <c r="V47" s="48">
        <v>0</v>
      </c>
      <c r="W47" s="48">
        <v>0</v>
      </c>
      <c r="X47" s="48">
        <f t="shared" si="8"/>
        <v>0</v>
      </c>
      <c r="Y47" s="48">
        <v>910</v>
      </c>
      <c r="Z47" s="48">
        <v>0</v>
      </c>
      <c r="AA47" s="48">
        <f t="shared" si="9"/>
        <v>910</v>
      </c>
      <c r="AB47" s="48">
        <f t="shared" si="10"/>
        <v>0</v>
      </c>
      <c r="AC47" s="48" t="e">
        <f t="shared" si="11"/>
        <v>#DIV/0!</v>
      </c>
      <c r="AD47" s="49">
        <v>0</v>
      </c>
      <c r="AE47" s="49">
        <v>0</v>
      </c>
      <c r="AF47" s="49">
        <v>0</v>
      </c>
      <c r="AG47" s="49">
        <f t="shared" si="12"/>
        <v>0</v>
      </c>
      <c r="AH47" s="49">
        <v>1200</v>
      </c>
      <c r="AI47" s="49">
        <v>0</v>
      </c>
      <c r="AJ47" s="49">
        <f t="shared" si="13"/>
        <v>1200</v>
      </c>
      <c r="AK47" s="49">
        <f t="shared" si="14"/>
        <v>0</v>
      </c>
      <c r="AL47" s="49" t="e">
        <f t="shared" si="15"/>
        <v>#DIV/0!</v>
      </c>
      <c r="AM47" s="50">
        <v>0</v>
      </c>
      <c r="AN47" s="50">
        <v>0</v>
      </c>
      <c r="AO47" s="50">
        <v>0</v>
      </c>
      <c r="AP47" s="50">
        <f t="shared" si="16"/>
        <v>0</v>
      </c>
      <c r="AQ47" s="50">
        <v>600</v>
      </c>
      <c r="AR47" s="50">
        <v>0</v>
      </c>
      <c r="AS47" s="50">
        <f t="shared" si="17"/>
        <v>600</v>
      </c>
      <c r="AT47" s="50">
        <f t="shared" si="18"/>
        <v>0</v>
      </c>
      <c r="AU47" s="50" t="e">
        <f t="shared" si="19"/>
        <v>#DIV/0!</v>
      </c>
      <c r="AV47" s="51">
        <v>0</v>
      </c>
      <c r="AW47" s="51">
        <v>0</v>
      </c>
      <c r="AX47" s="51">
        <v>0</v>
      </c>
      <c r="AY47" s="51">
        <f t="shared" si="20"/>
        <v>0</v>
      </c>
      <c r="AZ47" s="51">
        <v>1500</v>
      </c>
      <c r="BA47" s="51">
        <v>0</v>
      </c>
      <c r="BB47" s="51">
        <f t="shared" si="21"/>
        <v>1500</v>
      </c>
      <c r="BC47" s="51">
        <f t="shared" si="22"/>
        <v>0</v>
      </c>
      <c r="BD47" s="51" t="e">
        <f t="shared" si="23"/>
        <v>#DIV/0!</v>
      </c>
      <c r="BE47" s="52">
        <v>0</v>
      </c>
      <c r="BF47" s="52">
        <v>0</v>
      </c>
      <c r="BG47" s="52">
        <v>0</v>
      </c>
      <c r="BH47" s="52">
        <f t="shared" si="24"/>
        <v>0</v>
      </c>
      <c r="BI47" s="52">
        <v>750</v>
      </c>
      <c r="BJ47" s="52">
        <v>0</v>
      </c>
      <c r="BK47" s="52">
        <f t="shared" si="25"/>
        <v>750</v>
      </c>
      <c r="BL47" s="52">
        <f t="shared" si="26"/>
        <v>0</v>
      </c>
      <c r="BM47" s="52" t="e">
        <f t="shared" si="27"/>
        <v>#DIV/0!</v>
      </c>
      <c r="BN47" s="53">
        <v>0</v>
      </c>
      <c r="BO47" s="53">
        <v>0</v>
      </c>
      <c r="BP47" s="53">
        <v>0</v>
      </c>
      <c r="BQ47" s="53">
        <f t="shared" si="28"/>
        <v>0</v>
      </c>
      <c r="BR47" s="53">
        <v>2450</v>
      </c>
      <c r="BS47" s="53">
        <v>0</v>
      </c>
      <c r="BT47" s="53">
        <f t="shared" si="29"/>
        <v>2450</v>
      </c>
      <c r="BU47" s="53">
        <f t="shared" si="30"/>
        <v>0</v>
      </c>
      <c r="BV47" s="53" t="e">
        <f t="shared" si="31"/>
        <v>#DIV/0!</v>
      </c>
      <c r="BW47" s="54">
        <v>0</v>
      </c>
      <c r="BX47" s="54">
        <v>0</v>
      </c>
      <c r="BY47" s="54">
        <v>0</v>
      </c>
      <c r="BZ47" s="54">
        <f t="shared" si="32"/>
        <v>0</v>
      </c>
      <c r="CA47" s="54">
        <v>750</v>
      </c>
      <c r="CB47" s="54">
        <v>0</v>
      </c>
      <c r="CC47" s="54">
        <f t="shared" si="33"/>
        <v>750</v>
      </c>
      <c r="CD47" s="54">
        <f t="shared" si="34"/>
        <v>0</v>
      </c>
      <c r="CE47" s="54" t="e">
        <f t="shared" si="35"/>
        <v>#DIV/0!</v>
      </c>
      <c r="CF47" s="55">
        <v>0</v>
      </c>
      <c r="CG47" s="55">
        <v>0</v>
      </c>
      <c r="CH47" s="55">
        <v>0</v>
      </c>
      <c r="CI47" s="55">
        <f t="shared" si="36"/>
        <v>0</v>
      </c>
      <c r="CJ47" s="55">
        <v>730</v>
      </c>
      <c r="CK47" s="55">
        <v>0</v>
      </c>
      <c r="CL47" s="55">
        <f t="shared" si="37"/>
        <v>730</v>
      </c>
      <c r="CM47" s="55">
        <f t="shared" si="38"/>
        <v>0</v>
      </c>
      <c r="CN47" s="55" t="e">
        <f t="shared" si="39"/>
        <v>#DIV/0!</v>
      </c>
      <c r="CO47" s="56">
        <v>0</v>
      </c>
      <c r="CP47" s="56">
        <v>0</v>
      </c>
      <c r="CQ47" s="56">
        <v>0</v>
      </c>
      <c r="CR47" s="56">
        <f t="shared" si="40"/>
        <v>0</v>
      </c>
      <c r="CS47" s="56">
        <v>730</v>
      </c>
      <c r="CT47" s="56">
        <v>0</v>
      </c>
      <c r="CU47" s="56">
        <f t="shared" si="41"/>
        <v>730</v>
      </c>
      <c r="CV47" s="56">
        <f t="shared" si="42"/>
        <v>0</v>
      </c>
      <c r="CW47" s="56" t="e">
        <f t="shared" si="43"/>
        <v>#DIV/0!</v>
      </c>
      <c r="CX47" s="57">
        <v>0</v>
      </c>
      <c r="CY47" s="57">
        <v>0</v>
      </c>
      <c r="CZ47" s="57">
        <v>0</v>
      </c>
      <c r="DA47" s="57">
        <f t="shared" si="44"/>
        <v>0</v>
      </c>
      <c r="DB47" s="57">
        <v>600</v>
      </c>
      <c r="DC47" s="57">
        <v>0</v>
      </c>
      <c r="DD47" s="57">
        <f t="shared" si="45"/>
        <v>600</v>
      </c>
      <c r="DE47" s="57">
        <f t="shared" si="46"/>
        <v>0</v>
      </c>
      <c r="DF47" s="57" t="e">
        <f t="shared" si="47"/>
        <v>#DIV/0!</v>
      </c>
    </row>
    <row r="51" spans="5:103" ht="15" customHeight="1">
      <c r="E51" s="120" t="s">
        <v>43</v>
      </c>
      <c r="F51">
        <v>800</v>
      </c>
      <c r="N51" s="120" t="s">
        <v>43</v>
      </c>
      <c r="O51">
        <v>1700</v>
      </c>
      <c r="W51" s="120" t="s">
        <v>43</v>
      </c>
      <c r="AG51" s="120" t="s">
        <v>43</v>
      </c>
      <c r="AH51">
        <v>1000</v>
      </c>
      <c r="AP51" s="120" t="s">
        <v>43</v>
      </c>
      <c r="AQ51">
        <v>500</v>
      </c>
      <c r="AX51" s="120" t="s">
        <v>43</v>
      </c>
      <c r="AY51">
        <v>1300</v>
      </c>
      <c r="BG51" s="120" t="s">
        <v>43</v>
      </c>
      <c r="BH51">
        <v>700</v>
      </c>
      <c r="BP51" s="120" t="s">
        <v>43</v>
      </c>
      <c r="BQ51">
        <v>2300</v>
      </c>
      <c r="BZ51" s="120" t="s">
        <v>43</v>
      </c>
      <c r="CA51">
        <v>710</v>
      </c>
      <c r="CG51" s="120" t="s">
        <v>43</v>
      </c>
      <c r="CH51">
        <v>660</v>
      </c>
      <c r="CQ51" s="120" t="s">
        <v>43</v>
      </c>
      <c r="CR51">
        <v>650</v>
      </c>
      <c r="CX51" s="120" t="s">
        <v>43</v>
      </c>
      <c r="CY51">
        <v>500</v>
      </c>
    </row>
  </sheetData>
  <mergeCells count="12">
    <mergeCell ref="BN1:BV1"/>
    <mergeCell ref="BW1:CE1"/>
    <mergeCell ref="CF1:CN1"/>
    <mergeCell ref="CO1:CW1"/>
    <mergeCell ref="CX1:DF1"/>
    <mergeCell ref="AV1:BD1"/>
    <mergeCell ref="BE1:BM1"/>
    <mergeCell ref="C1:K1"/>
    <mergeCell ref="L1:T1"/>
    <mergeCell ref="U1:AC1"/>
    <mergeCell ref="AD1:AL1"/>
    <mergeCell ref="AM1:AU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F118"/>
  <sheetViews>
    <sheetView workbookViewId="0">
      <pane ySplit="2" topLeftCell="A3" activePane="bottomLeft" state="frozen"/>
      <selection pane="bottomLeft" activeCell="A118" sqref="A118:CY118"/>
    </sheetView>
  </sheetViews>
  <sheetFormatPr defaultColWidth="14.44140625" defaultRowHeight="15" customHeight="1"/>
  <cols>
    <col min="1" max="1" width="41.109375" customWidth="1"/>
    <col min="2" max="2" width="17" customWidth="1"/>
    <col min="3" max="110" width="15" customWidth="1"/>
  </cols>
  <sheetData>
    <row r="1" spans="1:110" ht="14.25" customHeight="1">
      <c r="A1" s="86"/>
      <c r="B1" s="2"/>
      <c r="C1" s="127" t="s">
        <v>0</v>
      </c>
      <c r="D1" s="124"/>
      <c r="E1" s="124"/>
      <c r="F1" s="124"/>
      <c r="G1" s="124"/>
      <c r="H1" s="124"/>
      <c r="I1" s="124"/>
      <c r="J1" s="124"/>
      <c r="K1" s="125"/>
      <c r="L1" s="128" t="s">
        <v>1</v>
      </c>
      <c r="M1" s="124"/>
      <c r="N1" s="124"/>
      <c r="O1" s="124"/>
      <c r="P1" s="124"/>
      <c r="Q1" s="124"/>
      <c r="R1" s="124"/>
      <c r="S1" s="124"/>
      <c r="T1" s="125"/>
      <c r="U1" s="129" t="s">
        <v>2</v>
      </c>
      <c r="V1" s="124"/>
      <c r="W1" s="124"/>
      <c r="X1" s="124"/>
      <c r="Y1" s="124"/>
      <c r="Z1" s="124"/>
      <c r="AA1" s="124"/>
      <c r="AB1" s="124"/>
      <c r="AC1" s="125"/>
      <c r="AD1" s="130" t="s">
        <v>3</v>
      </c>
      <c r="AE1" s="124"/>
      <c r="AF1" s="124"/>
      <c r="AG1" s="124"/>
      <c r="AH1" s="124"/>
      <c r="AI1" s="124"/>
      <c r="AJ1" s="124"/>
      <c r="AK1" s="124"/>
      <c r="AL1" s="125"/>
      <c r="AM1" s="131" t="s">
        <v>4</v>
      </c>
      <c r="AN1" s="124"/>
      <c r="AO1" s="124"/>
      <c r="AP1" s="124"/>
      <c r="AQ1" s="124"/>
      <c r="AR1" s="124"/>
      <c r="AS1" s="124"/>
      <c r="AT1" s="124"/>
      <c r="AU1" s="125"/>
      <c r="AV1" s="123" t="s">
        <v>5</v>
      </c>
      <c r="AW1" s="124"/>
      <c r="AX1" s="124"/>
      <c r="AY1" s="124"/>
      <c r="AZ1" s="124"/>
      <c r="BA1" s="124"/>
      <c r="BB1" s="124"/>
      <c r="BC1" s="124"/>
      <c r="BD1" s="125"/>
      <c r="BE1" s="126" t="s">
        <v>6</v>
      </c>
      <c r="BF1" s="124"/>
      <c r="BG1" s="124"/>
      <c r="BH1" s="124"/>
      <c r="BI1" s="124"/>
      <c r="BJ1" s="124"/>
      <c r="BK1" s="124"/>
      <c r="BL1" s="124"/>
      <c r="BM1" s="125"/>
      <c r="BN1" s="132" t="s">
        <v>7</v>
      </c>
      <c r="BO1" s="124"/>
      <c r="BP1" s="124"/>
      <c r="BQ1" s="124"/>
      <c r="BR1" s="124"/>
      <c r="BS1" s="124"/>
      <c r="BT1" s="124"/>
      <c r="BU1" s="124"/>
      <c r="BV1" s="125"/>
      <c r="BW1" s="133" t="s">
        <v>8</v>
      </c>
      <c r="BX1" s="124"/>
      <c r="BY1" s="124"/>
      <c r="BZ1" s="124"/>
      <c r="CA1" s="124"/>
      <c r="CB1" s="124"/>
      <c r="CC1" s="124"/>
      <c r="CD1" s="124"/>
      <c r="CE1" s="125"/>
      <c r="CF1" s="134" t="s">
        <v>9</v>
      </c>
      <c r="CG1" s="124"/>
      <c r="CH1" s="124"/>
      <c r="CI1" s="124"/>
      <c r="CJ1" s="124"/>
      <c r="CK1" s="124"/>
      <c r="CL1" s="124"/>
      <c r="CM1" s="124"/>
      <c r="CN1" s="125"/>
      <c r="CO1" s="135" t="s">
        <v>10</v>
      </c>
      <c r="CP1" s="124"/>
      <c r="CQ1" s="124"/>
      <c r="CR1" s="124"/>
      <c r="CS1" s="124"/>
      <c r="CT1" s="124"/>
      <c r="CU1" s="124"/>
      <c r="CV1" s="124"/>
      <c r="CW1" s="125"/>
      <c r="CX1" s="136" t="s">
        <v>11</v>
      </c>
      <c r="CY1" s="124"/>
      <c r="CZ1" s="124"/>
      <c r="DA1" s="124"/>
      <c r="DB1" s="124"/>
      <c r="DC1" s="124"/>
      <c r="DD1" s="124"/>
      <c r="DE1" s="124"/>
      <c r="DF1" s="125"/>
    </row>
    <row r="2" spans="1:110" ht="14.25" customHeight="1">
      <c r="A2" s="87" t="s">
        <v>12</v>
      </c>
      <c r="B2" s="58" t="s">
        <v>23</v>
      </c>
      <c r="C2" s="4" t="s">
        <v>14</v>
      </c>
      <c r="D2" s="4" t="s">
        <v>15</v>
      </c>
      <c r="E2" s="4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4" t="s">
        <v>21</v>
      </c>
      <c r="K2" s="4" t="s">
        <v>22</v>
      </c>
      <c r="L2" s="6" t="s">
        <v>14</v>
      </c>
      <c r="M2" s="6" t="s">
        <v>15</v>
      </c>
      <c r="N2" s="6" t="s">
        <v>16</v>
      </c>
      <c r="O2" s="7" t="s">
        <v>17</v>
      </c>
      <c r="P2" s="7" t="s">
        <v>18</v>
      </c>
      <c r="Q2" s="7" t="s">
        <v>19</v>
      </c>
      <c r="R2" s="7" t="s">
        <v>20</v>
      </c>
      <c r="S2" s="6" t="s">
        <v>21</v>
      </c>
      <c r="T2" s="6" t="s">
        <v>22</v>
      </c>
      <c r="U2" s="8" t="s">
        <v>14</v>
      </c>
      <c r="V2" s="8" t="s">
        <v>15</v>
      </c>
      <c r="W2" s="8" t="s">
        <v>16</v>
      </c>
      <c r="X2" s="9" t="s">
        <v>17</v>
      </c>
      <c r="Y2" s="9" t="s">
        <v>18</v>
      </c>
      <c r="Z2" s="9" t="s">
        <v>19</v>
      </c>
      <c r="AA2" s="9" t="s">
        <v>20</v>
      </c>
      <c r="AB2" s="8" t="s">
        <v>21</v>
      </c>
      <c r="AC2" s="8" t="s">
        <v>22</v>
      </c>
      <c r="AD2" s="10" t="s">
        <v>14</v>
      </c>
      <c r="AE2" s="10" t="s">
        <v>15</v>
      </c>
      <c r="AF2" s="10" t="s">
        <v>16</v>
      </c>
      <c r="AG2" s="11" t="s">
        <v>17</v>
      </c>
      <c r="AH2" s="11" t="s">
        <v>18</v>
      </c>
      <c r="AI2" s="11" t="s">
        <v>19</v>
      </c>
      <c r="AJ2" s="11" t="s">
        <v>20</v>
      </c>
      <c r="AK2" s="10" t="s">
        <v>21</v>
      </c>
      <c r="AL2" s="10" t="s">
        <v>22</v>
      </c>
      <c r="AM2" s="12" t="s">
        <v>14</v>
      </c>
      <c r="AN2" s="12" t="s">
        <v>15</v>
      </c>
      <c r="AO2" s="12" t="s">
        <v>16</v>
      </c>
      <c r="AP2" s="13" t="s">
        <v>17</v>
      </c>
      <c r="AQ2" s="13" t="s">
        <v>18</v>
      </c>
      <c r="AR2" s="13" t="s">
        <v>19</v>
      </c>
      <c r="AS2" s="13" t="s">
        <v>20</v>
      </c>
      <c r="AT2" s="12" t="s">
        <v>21</v>
      </c>
      <c r="AU2" s="12" t="s">
        <v>22</v>
      </c>
      <c r="AV2" s="14" t="s">
        <v>14</v>
      </c>
      <c r="AW2" s="14" t="s">
        <v>15</v>
      </c>
      <c r="AX2" s="14" t="s">
        <v>16</v>
      </c>
      <c r="AY2" s="15" t="s">
        <v>17</v>
      </c>
      <c r="AZ2" s="15" t="s">
        <v>18</v>
      </c>
      <c r="BA2" s="15" t="s">
        <v>19</v>
      </c>
      <c r="BB2" s="15" t="s">
        <v>20</v>
      </c>
      <c r="BC2" s="14" t="s">
        <v>21</v>
      </c>
      <c r="BD2" s="14" t="s">
        <v>22</v>
      </c>
      <c r="BE2" s="16" t="s">
        <v>14</v>
      </c>
      <c r="BF2" s="16" t="s">
        <v>15</v>
      </c>
      <c r="BG2" s="16" t="s">
        <v>16</v>
      </c>
      <c r="BH2" s="17" t="s">
        <v>17</v>
      </c>
      <c r="BI2" s="17" t="s">
        <v>18</v>
      </c>
      <c r="BJ2" s="17" t="s">
        <v>19</v>
      </c>
      <c r="BK2" s="17" t="s">
        <v>20</v>
      </c>
      <c r="BL2" s="16" t="s">
        <v>21</v>
      </c>
      <c r="BM2" s="16" t="s">
        <v>22</v>
      </c>
      <c r="BN2" s="18" t="s">
        <v>14</v>
      </c>
      <c r="BO2" s="18" t="s">
        <v>15</v>
      </c>
      <c r="BP2" s="18" t="s">
        <v>16</v>
      </c>
      <c r="BQ2" s="19" t="s">
        <v>17</v>
      </c>
      <c r="BR2" s="19" t="s">
        <v>18</v>
      </c>
      <c r="BS2" s="19" t="s">
        <v>19</v>
      </c>
      <c r="BT2" s="19" t="s">
        <v>20</v>
      </c>
      <c r="BU2" s="18" t="s">
        <v>21</v>
      </c>
      <c r="BV2" s="18" t="s">
        <v>22</v>
      </c>
      <c r="BW2" s="20" t="s">
        <v>14</v>
      </c>
      <c r="BX2" s="20" t="s">
        <v>15</v>
      </c>
      <c r="BY2" s="20" t="s">
        <v>16</v>
      </c>
      <c r="BZ2" s="21" t="s">
        <v>17</v>
      </c>
      <c r="CA2" s="21" t="s">
        <v>18</v>
      </c>
      <c r="CB2" s="21" t="s">
        <v>19</v>
      </c>
      <c r="CC2" s="21" t="s">
        <v>20</v>
      </c>
      <c r="CD2" s="20" t="s">
        <v>21</v>
      </c>
      <c r="CE2" s="20" t="s">
        <v>22</v>
      </c>
      <c r="CF2" s="22" t="s">
        <v>14</v>
      </c>
      <c r="CG2" s="22" t="s">
        <v>15</v>
      </c>
      <c r="CH2" s="22" t="s">
        <v>16</v>
      </c>
      <c r="CI2" s="23" t="s">
        <v>17</v>
      </c>
      <c r="CJ2" s="23" t="s">
        <v>18</v>
      </c>
      <c r="CK2" s="23" t="s">
        <v>19</v>
      </c>
      <c r="CL2" s="23" t="s">
        <v>20</v>
      </c>
      <c r="CM2" s="22" t="s">
        <v>21</v>
      </c>
      <c r="CN2" s="22" t="s">
        <v>22</v>
      </c>
      <c r="CO2" s="24" t="s">
        <v>14</v>
      </c>
      <c r="CP2" s="24" t="s">
        <v>15</v>
      </c>
      <c r="CQ2" s="24" t="s">
        <v>16</v>
      </c>
      <c r="CR2" s="25" t="s">
        <v>17</v>
      </c>
      <c r="CS2" s="25" t="s">
        <v>18</v>
      </c>
      <c r="CT2" s="25" t="s">
        <v>19</v>
      </c>
      <c r="CU2" s="25" t="s">
        <v>20</v>
      </c>
      <c r="CV2" s="24" t="s">
        <v>21</v>
      </c>
      <c r="CW2" s="24" t="s">
        <v>22</v>
      </c>
      <c r="CX2" s="26" t="s">
        <v>14</v>
      </c>
      <c r="CY2" s="26" t="s">
        <v>15</v>
      </c>
      <c r="CZ2" s="26" t="s">
        <v>16</v>
      </c>
      <c r="DA2" s="27" t="s">
        <v>17</v>
      </c>
      <c r="DB2" s="27" t="s">
        <v>18</v>
      </c>
      <c r="DC2" s="27" t="s">
        <v>19</v>
      </c>
      <c r="DD2" s="27" t="s">
        <v>20</v>
      </c>
      <c r="DE2" s="26" t="s">
        <v>21</v>
      </c>
      <c r="DF2" s="26" t="s">
        <v>22</v>
      </c>
    </row>
    <row r="3" spans="1:110" ht="14.25" customHeight="1">
      <c r="A3" s="88"/>
      <c r="B3" s="29"/>
      <c r="C3" s="30">
        <v>0</v>
      </c>
      <c r="D3" s="30">
        <v>0</v>
      </c>
      <c r="E3" s="30">
        <v>0</v>
      </c>
      <c r="F3" s="30">
        <f t="shared" ref="F3:F114" si="0">D3-E3</f>
        <v>0</v>
      </c>
      <c r="G3" s="30">
        <v>900</v>
      </c>
      <c r="H3" s="30">
        <v>0</v>
      </c>
      <c r="I3" s="30">
        <f t="shared" ref="I3:I34" si="1">G3-H3</f>
        <v>900</v>
      </c>
      <c r="J3" s="30">
        <f t="shared" ref="J3:J34" si="2">I3*F3</f>
        <v>0</v>
      </c>
      <c r="K3" s="30" t="e">
        <f t="shared" ref="K3:K34" si="3">(E3/D3)*100</f>
        <v>#DIV/0!</v>
      </c>
      <c r="L3" s="32">
        <v>0</v>
      </c>
      <c r="M3" s="32">
        <v>0</v>
      </c>
      <c r="N3" s="32">
        <v>0</v>
      </c>
      <c r="O3" s="32">
        <f t="shared" ref="O3:O34" si="4">M3-N3</f>
        <v>0</v>
      </c>
      <c r="P3" s="32">
        <v>1800</v>
      </c>
      <c r="Q3" s="32">
        <v>0</v>
      </c>
      <c r="R3" s="32">
        <f t="shared" ref="R3:R34" si="5">P3-Q3</f>
        <v>1800</v>
      </c>
      <c r="S3" s="32">
        <f t="shared" ref="S3:S34" si="6">R3*O3</f>
        <v>0</v>
      </c>
      <c r="T3" s="32" t="e">
        <f t="shared" ref="T3:T34" si="7">(N3/M3)*100</f>
        <v>#DIV/0!</v>
      </c>
      <c r="U3" s="33">
        <v>0</v>
      </c>
      <c r="V3" s="33">
        <v>0</v>
      </c>
      <c r="W3" s="33">
        <v>0</v>
      </c>
      <c r="X3" s="33">
        <f t="shared" ref="X3:X34" si="8">V3-W3</f>
        <v>0</v>
      </c>
      <c r="Y3" s="33">
        <v>910</v>
      </c>
      <c r="Z3" s="33">
        <v>0</v>
      </c>
      <c r="AA3" s="33">
        <f t="shared" ref="AA3:AA34" si="9">Y3-Z3</f>
        <v>910</v>
      </c>
      <c r="AB3" s="33">
        <f t="shared" ref="AB3:AB34" si="10">AA3*X3</f>
        <v>0</v>
      </c>
      <c r="AC3" s="33" t="e">
        <f t="shared" ref="AC3:AC34" si="11">(W3/V3)*100</f>
        <v>#DIV/0!</v>
      </c>
      <c r="AD3" s="34">
        <v>0</v>
      </c>
      <c r="AE3" s="34">
        <v>0</v>
      </c>
      <c r="AF3" s="34">
        <v>0</v>
      </c>
      <c r="AG3" s="34">
        <f t="shared" ref="AG3:AG34" si="12">AE3-AF3</f>
        <v>0</v>
      </c>
      <c r="AH3" s="34">
        <v>1200</v>
      </c>
      <c r="AI3" s="34">
        <v>0</v>
      </c>
      <c r="AJ3" s="34">
        <f t="shared" ref="AJ3:AJ34" si="13">AH3-AI3</f>
        <v>1200</v>
      </c>
      <c r="AK3" s="34">
        <f t="shared" ref="AK3:AK34" si="14">AJ3*AG3</f>
        <v>0</v>
      </c>
      <c r="AL3" s="34" t="e">
        <f t="shared" ref="AL3:AL34" si="15">(AF3/AE3)*100</f>
        <v>#DIV/0!</v>
      </c>
      <c r="AM3" s="35">
        <v>0</v>
      </c>
      <c r="AN3" s="35">
        <v>0</v>
      </c>
      <c r="AO3" s="35">
        <v>0</v>
      </c>
      <c r="AP3" s="35">
        <f t="shared" ref="AP3:AP34" si="16">AN3-AO3</f>
        <v>0</v>
      </c>
      <c r="AQ3" s="35">
        <v>600</v>
      </c>
      <c r="AR3" s="35">
        <v>0</v>
      </c>
      <c r="AS3" s="35">
        <f t="shared" ref="AS3:AS34" si="17">AQ3-AR3</f>
        <v>600</v>
      </c>
      <c r="AT3" s="35">
        <f t="shared" ref="AT3:AT34" si="18">AS3*AP3</f>
        <v>0</v>
      </c>
      <c r="AU3" s="35" t="e">
        <f t="shared" ref="AU3:AU34" si="19">(AO3/AN3)*100</f>
        <v>#DIV/0!</v>
      </c>
      <c r="AV3" s="36">
        <v>0</v>
      </c>
      <c r="AW3" s="36">
        <v>0</v>
      </c>
      <c r="AX3" s="36">
        <v>0</v>
      </c>
      <c r="AY3" s="36">
        <f t="shared" ref="AY3:AY34" si="20">AW3-AX3</f>
        <v>0</v>
      </c>
      <c r="AZ3" s="36">
        <v>1500</v>
      </c>
      <c r="BA3" s="36">
        <v>0</v>
      </c>
      <c r="BB3" s="36">
        <f t="shared" ref="BB3:BB34" si="21">AZ3-BA3</f>
        <v>1500</v>
      </c>
      <c r="BC3" s="36">
        <f t="shared" ref="BC3:BC34" si="22">BB3*AY3</f>
        <v>0</v>
      </c>
      <c r="BD3" s="36" t="e">
        <f t="shared" ref="BD3:BD34" si="23">(AX3/AW3)*100</f>
        <v>#DIV/0!</v>
      </c>
      <c r="BE3" s="37">
        <v>0</v>
      </c>
      <c r="BF3" s="37">
        <v>0</v>
      </c>
      <c r="BG3" s="37">
        <v>0</v>
      </c>
      <c r="BH3" s="37">
        <f t="shared" ref="BH3:BH34" si="24">BF3-BG3</f>
        <v>0</v>
      </c>
      <c r="BI3" s="37">
        <v>750</v>
      </c>
      <c r="BJ3" s="37">
        <v>0</v>
      </c>
      <c r="BK3" s="37">
        <f t="shared" ref="BK3:BK34" si="25">BI3-BJ3</f>
        <v>750</v>
      </c>
      <c r="BL3" s="37">
        <f t="shared" ref="BL3:BL34" si="26">BK3*BH3</f>
        <v>0</v>
      </c>
      <c r="BM3" s="37" t="e">
        <f t="shared" ref="BM3:BM34" si="27">(BG3/BF3)*100</f>
        <v>#DIV/0!</v>
      </c>
      <c r="BN3" s="38">
        <v>0</v>
      </c>
      <c r="BO3" s="38">
        <v>0</v>
      </c>
      <c r="BP3" s="38">
        <v>0</v>
      </c>
      <c r="BQ3" s="38">
        <f t="shared" ref="BQ3:BQ34" si="28">BO3-BP3</f>
        <v>0</v>
      </c>
      <c r="BR3" s="38">
        <v>2450</v>
      </c>
      <c r="BS3" s="38">
        <v>0</v>
      </c>
      <c r="BT3" s="38">
        <f t="shared" ref="BT3:BT34" si="29">BR3-BS3</f>
        <v>2450</v>
      </c>
      <c r="BU3" s="38">
        <f t="shared" ref="BU3:BU34" si="30">BT3*BQ3</f>
        <v>0</v>
      </c>
      <c r="BV3" s="38" t="e">
        <f t="shared" ref="BV3:BV34" si="31">(BP3/BO3)*100</f>
        <v>#DIV/0!</v>
      </c>
      <c r="BW3" s="39">
        <v>0</v>
      </c>
      <c r="BX3" s="39">
        <v>0</v>
      </c>
      <c r="BY3" s="39">
        <v>0</v>
      </c>
      <c r="BZ3" s="39">
        <f t="shared" ref="BZ3:BZ34" si="32">BX3-BY3</f>
        <v>0</v>
      </c>
      <c r="CA3" s="39">
        <v>750</v>
      </c>
      <c r="CB3" s="39">
        <v>0</v>
      </c>
      <c r="CC3" s="39">
        <f t="shared" ref="CC3:CC34" si="33">CA3-CB3</f>
        <v>750</v>
      </c>
      <c r="CD3" s="39">
        <f t="shared" ref="CD3:CD34" si="34">CC3*BZ3</f>
        <v>0</v>
      </c>
      <c r="CE3" s="39" t="e">
        <f t="shared" ref="CE3:CE34" si="35">(BY3/BX3)*100</f>
        <v>#DIV/0!</v>
      </c>
      <c r="CF3" s="40">
        <v>0</v>
      </c>
      <c r="CG3" s="40">
        <v>0</v>
      </c>
      <c r="CH3" s="40">
        <v>0</v>
      </c>
      <c r="CI3" s="40">
        <f t="shared" ref="CI3:CI34" si="36">CG3-CH3</f>
        <v>0</v>
      </c>
      <c r="CJ3" s="40">
        <v>730</v>
      </c>
      <c r="CK3" s="40">
        <v>0</v>
      </c>
      <c r="CL3" s="40">
        <f t="shared" ref="CL3:CL34" si="37">CJ3-CK3</f>
        <v>730</v>
      </c>
      <c r="CM3" s="40">
        <f t="shared" ref="CM3:CM34" si="38">CL3*CI3</f>
        <v>0</v>
      </c>
      <c r="CN3" s="40" t="e">
        <f t="shared" ref="CN3:CN34" si="39">(CH3/CG3)*100</f>
        <v>#DIV/0!</v>
      </c>
      <c r="CO3" s="41">
        <v>0</v>
      </c>
      <c r="CP3" s="41">
        <v>0</v>
      </c>
      <c r="CQ3" s="41">
        <v>0</v>
      </c>
      <c r="CR3" s="41">
        <f t="shared" ref="CR3:CR34" si="40">CP3-CQ3</f>
        <v>0</v>
      </c>
      <c r="CS3" s="41">
        <v>730</v>
      </c>
      <c r="CT3" s="41">
        <v>0</v>
      </c>
      <c r="CU3" s="41">
        <f t="shared" ref="CU3:CU34" si="41">CS3-CT3</f>
        <v>730</v>
      </c>
      <c r="CV3" s="41">
        <f t="shared" ref="CV3:CV34" si="42">CU3*CR3</f>
        <v>0</v>
      </c>
      <c r="CW3" s="41" t="e">
        <f t="shared" ref="CW3:CW34" si="43">(CQ3/CP3)*100</f>
        <v>#DIV/0!</v>
      </c>
      <c r="CX3" s="42">
        <v>0</v>
      </c>
      <c r="CY3" s="42">
        <v>0</v>
      </c>
      <c r="CZ3" s="42">
        <v>0</v>
      </c>
      <c r="DA3" s="42">
        <f t="shared" ref="DA3:DA34" si="44">CY3-CZ3</f>
        <v>0</v>
      </c>
      <c r="DB3" s="42">
        <v>600</v>
      </c>
      <c r="DC3" s="42">
        <v>0</v>
      </c>
      <c r="DD3" s="42">
        <f t="shared" ref="DD3:DD34" si="45">DB3-DC3</f>
        <v>600</v>
      </c>
      <c r="DE3" s="42">
        <f t="shared" ref="DE3:DE34" si="46">DD3*DA3</f>
        <v>0</v>
      </c>
      <c r="DF3" s="42" t="e">
        <f t="shared" ref="DF3:DF34" si="47">(CZ3/CY3)*100</f>
        <v>#DIV/0!</v>
      </c>
    </row>
    <row r="4" spans="1:110" ht="14.25" customHeight="1">
      <c r="A4" s="89"/>
      <c r="B4" s="44"/>
      <c r="C4" s="45">
        <v>0</v>
      </c>
      <c r="D4" s="45">
        <v>0</v>
      </c>
      <c r="E4" s="45">
        <v>0</v>
      </c>
      <c r="F4" s="45">
        <f t="shared" si="0"/>
        <v>0</v>
      </c>
      <c r="G4" s="45">
        <v>900</v>
      </c>
      <c r="H4" s="45">
        <v>0</v>
      </c>
      <c r="I4" s="45">
        <f t="shared" si="1"/>
        <v>900</v>
      </c>
      <c r="J4" s="45">
        <f t="shared" si="2"/>
        <v>0</v>
      </c>
      <c r="K4" s="45" t="e">
        <f t="shared" si="3"/>
        <v>#DIV/0!</v>
      </c>
      <c r="L4" s="47">
        <v>0</v>
      </c>
      <c r="M4" s="47">
        <v>0</v>
      </c>
      <c r="N4" s="47">
        <v>0</v>
      </c>
      <c r="O4" s="47">
        <f t="shared" si="4"/>
        <v>0</v>
      </c>
      <c r="P4" s="47">
        <v>1800</v>
      </c>
      <c r="Q4" s="47">
        <v>0</v>
      </c>
      <c r="R4" s="47">
        <f t="shared" si="5"/>
        <v>1800</v>
      </c>
      <c r="S4" s="47">
        <f t="shared" si="6"/>
        <v>0</v>
      </c>
      <c r="T4" s="47" t="e">
        <f t="shared" si="7"/>
        <v>#DIV/0!</v>
      </c>
      <c r="U4" s="48">
        <v>0</v>
      </c>
      <c r="V4" s="48">
        <v>0</v>
      </c>
      <c r="W4" s="48">
        <v>0</v>
      </c>
      <c r="X4" s="48">
        <f t="shared" si="8"/>
        <v>0</v>
      </c>
      <c r="Y4" s="48">
        <v>910</v>
      </c>
      <c r="Z4" s="48">
        <v>0</v>
      </c>
      <c r="AA4" s="48">
        <f t="shared" si="9"/>
        <v>910</v>
      </c>
      <c r="AB4" s="48">
        <f t="shared" si="10"/>
        <v>0</v>
      </c>
      <c r="AC4" s="48" t="e">
        <f t="shared" si="11"/>
        <v>#DIV/0!</v>
      </c>
      <c r="AD4" s="49">
        <v>0</v>
      </c>
      <c r="AE4" s="49">
        <v>0</v>
      </c>
      <c r="AF4" s="49">
        <v>0</v>
      </c>
      <c r="AG4" s="49">
        <f t="shared" si="12"/>
        <v>0</v>
      </c>
      <c r="AH4" s="49">
        <v>1200</v>
      </c>
      <c r="AI4" s="49">
        <v>0</v>
      </c>
      <c r="AJ4" s="49">
        <f t="shared" si="13"/>
        <v>1200</v>
      </c>
      <c r="AK4" s="49">
        <f t="shared" si="14"/>
        <v>0</v>
      </c>
      <c r="AL4" s="49" t="e">
        <f t="shared" si="15"/>
        <v>#DIV/0!</v>
      </c>
      <c r="AM4" s="50">
        <v>0</v>
      </c>
      <c r="AN4" s="50">
        <v>0</v>
      </c>
      <c r="AO4" s="50">
        <v>0</v>
      </c>
      <c r="AP4" s="50">
        <f t="shared" si="16"/>
        <v>0</v>
      </c>
      <c r="AQ4" s="50">
        <v>600</v>
      </c>
      <c r="AR4" s="50">
        <v>0</v>
      </c>
      <c r="AS4" s="50">
        <f t="shared" si="17"/>
        <v>600</v>
      </c>
      <c r="AT4" s="50">
        <f t="shared" si="18"/>
        <v>0</v>
      </c>
      <c r="AU4" s="50" t="e">
        <f t="shared" si="19"/>
        <v>#DIV/0!</v>
      </c>
      <c r="AV4" s="51">
        <v>0</v>
      </c>
      <c r="AW4" s="51">
        <v>0</v>
      </c>
      <c r="AX4" s="51">
        <v>0</v>
      </c>
      <c r="AY4" s="51">
        <f t="shared" si="20"/>
        <v>0</v>
      </c>
      <c r="AZ4" s="51">
        <v>1500</v>
      </c>
      <c r="BA4" s="51">
        <v>0</v>
      </c>
      <c r="BB4" s="51">
        <f t="shared" si="21"/>
        <v>1500</v>
      </c>
      <c r="BC4" s="51">
        <f t="shared" si="22"/>
        <v>0</v>
      </c>
      <c r="BD4" s="51" t="e">
        <f t="shared" si="23"/>
        <v>#DIV/0!</v>
      </c>
      <c r="BE4" s="52">
        <v>0</v>
      </c>
      <c r="BF4" s="52">
        <v>0</v>
      </c>
      <c r="BG4" s="52">
        <v>0</v>
      </c>
      <c r="BH4" s="52">
        <f t="shared" si="24"/>
        <v>0</v>
      </c>
      <c r="BI4" s="52">
        <v>750</v>
      </c>
      <c r="BJ4" s="52">
        <v>0</v>
      </c>
      <c r="BK4" s="52">
        <f t="shared" si="25"/>
        <v>750</v>
      </c>
      <c r="BL4" s="52">
        <f t="shared" si="26"/>
        <v>0</v>
      </c>
      <c r="BM4" s="52" t="e">
        <f t="shared" si="27"/>
        <v>#DIV/0!</v>
      </c>
      <c r="BN4" s="53">
        <v>0</v>
      </c>
      <c r="BO4" s="53">
        <v>0</v>
      </c>
      <c r="BP4" s="53">
        <v>0</v>
      </c>
      <c r="BQ4" s="53">
        <f t="shared" si="28"/>
        <v>0</v>
      </c>
      <c r="BR4" s="53">
        <v>2450</v>
      </c>
      <c r="BS4" s="53">
        <v>0</v>
      </c>
      <c r="BT4" s="53">
        <f t="shared" si="29"/>
        <v>2450</v>
      </c>
      <c r="BU4" s="53">
        <f t="shared" si="30"/>
        <v>0</v>
      </c>
      <c r="BV4" s="53" t="e">
        <f t="shared" si="31"/>
        <v>#DIV/0!</v>
      </c>
      <c r="BW4" s="54">
        <v>0</v>
      </c>
      <c r="BX4" s="54">
        <v>0</v>
      </c>
      <c r="BY4" s="54">
        <v>0</v>
      </c>
      <c r="BZ4" s="54">
        <f t="shared" si="32"/>
        <v>0</v>
      </c>
      <c r="CA4" s="54">
        <v>750</v>
      </c>
      <c r="CB4" s="54">
        <v>0</v>
      </c>
      <c r="CC4" s="54">
        <f t="shared" si="33"/>
        <v>750</v>
      </c>
      <c r="CD4" s="54">
        <f t="shared" si="34"/>
        <v>0</v>
      </c>
      <c r="CE4" s="54" t="e">
        <f t="shared" si="35"/>
        <v>#DIV/0!</v>
      </c>
      <c r="CF4" s="55">
        <v>0</v>
      </c>
      <c r="CG4" s="55">
        <v>0</v>
      </c>
      <c r="CH4" s="55">
        <v>0</v>
      </c>
      <c r="CI4" s="55">
        <f t="shared" si="36"/>
        <v>0</v>
      </c>
      <c r="CJ4" s="55">
        <v>730</v>
      </c>
      <c r="CK4" s="55">
        <v>0</v>
      </c>
      <c r="CL4" s="55">
        <f t="shared" si="37"/>
        <v>730</v>
      </c>
      <c r="CM4" s="55">
        <f t="shared" si="38"/>
        <v>0</v>
      </c>
      <c r="CN4" s="55" t="e">
        <f t="shared" si="39"/>
        <v>#DIV/0!</v>
      </c>
      <c r="CO4" s="56">
        <v>0</v>
      </c>
      <c r="CP4" s="56">
        <v>0</v>
      </c>
      <c r="CQ4" s="56">
        <v>0</v>
      </c>
      <c r="CR4" s="56">
        <f t="shared" si="40"/>
        <v>0</v>
      </c>
      <c r="CS4" s="56">
        <v>730</v>
      </c>
      <c r="CT4" s="56">
        <v>0</v>
      </c>
      <c r="CU4" s="56">
        <f t="shared" si="41"/>
        <v>730</v>
      </c>
      <c r="CV4" s="56">
        <f t="shared" si="42"/>
        <v>0</v>
      </c>
      <c r="CW4" s="56" t="e">
        <f t="shared" si="43"/>
        <v>#DIV/0!</v>
      </c>
      <c r="CX4" s="57">
        <v>0</v>
      </c>
      <c r="CY4" s="57">
        <v>0</v>
      </c>
      <c r="CZ4" s="57">
        <v>0</v>
      </c>
      <c r="DA4" s="57">
        <f t="shared" si="44"/>
        <v>0</v>
      </c>
      <c r="DB4" s="57">
        <v>600</v>
      </c>
      <c r="DC4" s="57">
        <v>0</v>
      </c>
      <c r="DD4" s="57">
        <f t="shared" si="45"/>
        <v>600</v>
      </c>
      <c r="DE4" s="57">
        <f t="shared" si="46"/>
        <v>0</v>
      </c>
      <c r="DF4" s="57" t="e">
        <f t="shared" si="47"/>
        <v>#DIV/0!</v>
      </c>
    </row>
    <row r="5" spans="1:110" ht="14.25" customHeight="1">
      <c r="A5" s="89"/>
      <c r="B5" s="44"/>
      <c r="C5" s="45">
        <v>0</v>
      </c>
      <c r="D5" s="45">
        <v>0</v>
      </c>
      <c r="E5" s="45">
        <v>0</v>
      </c>
      <c r="F5" s="45">
        <f t="shared" si="0"/>
        <v>0</v>
      </c>
      <c r="G5" s="45">
        <v>900</v>
      </c>
      <c r="H5" s="45">
        <v>0</v>
      </c>
      <c r="I5" s="45">
        <f t="shared" si="1"/>
        <v>900</v>
      </c>
      <c r="J5" s="45">
        <f t="shared" si="2"/>
        <v>0</v>
      </c>
      <c r="K5" s="45" t="e">
        <f t="shared" si="3"/>
        <v>#DIV/0!</v>
      </c>
      <c r="L5" s="47">
        <v>0</v>
      </c>
      <c r="M5" s="47">
        <v>0</v>
      </c>
      <c r="N5" s="47">
        <v>0</v>
      </c>
      <c r="O5" s="47">
        <f t="shared" si="4"/>
        <v>0</v>
      </c>
      <c r="P5" s="47">
        <v>1800</v>
      </c>
      <c r="Q5" s="47">
        <v>0</v>
      </c>
      <c r="R5" s="47">
        <f t="shared" si="5"/>
        <v>1800</v>
      </c>
      <c r="S5" s="47">
        <f t="shared" si="6"/>
        <v>0</v>
      </c>
      <c r="T5" s="47" t="e">
        <f t="shared" si="7"/>
        <v>#DIV/0!</v>
      </c>
      <c r="U5" s="48">
        <v>0</v>
      </c>
      <c r="V5" s="48">
        <v>0</v>
      </c>
      <c r="W5" s="48">
        <v>0</v>
      </c>
      <c r="X5" s="48">
        <f t="shared" si="8"/>
        <v>0</v>
      </c>
      <c r="Y5" s="48">
        <v>910</v>
      </c>
      <c r="Z5" s="48">
        <v>0</v>
      </c>
      <c r="AA5" s="48">
        <f t="shared" si="9"/>
        <v>910</v>
      </c>
      <c r="AB5" s="48">
        <f t="shared" si="10"/>
        <v>0</v>
      </c>
      <c r="AC5" s="48" t="e">
        <f t="shared" si="11"/>
        <v>#DIV/0!</v>
      </c>
      <c r="AD5" s="49">
        <v>0</v>
      </c>
      <c r="AE5" s="49">
        <v>0</v>
      </c>
      <c r="AF5" s="49">
        <v>0</v>
      </c>
      <c r="AG5" s="49">
        <f t="shared" si="12"/>
        <v>0</v>
      </c>
      <c r="AH5" s="49">
        <v>1200</v>
      </c>
      <c r="AI5" s="49">
        <v>0</v>
      </c>
      <c r="AJ5" s="49">
        <f t="shared" si="13"/>
        <v>1200</v>
      </c>
      <c r="AK5" s="49">
        <f t="shared" si="14"/>
        <v>0</v>
      </c>
      <c r="AL5" s="49" t="e">
        <f t="shared" si="15"/>
        <v>#DIV/0!</v>
      </c>
      <c r="AM5" s="50">
        <v>0</v>
      </c>
      <c r="AN5" s="50">
        <v>0</v>
      </c>
      <c r="AO5" s="50">
        <v>0</v>
      </c>
      <c r="AP5" s="50">
        <f t="shared" si="16"/>
        <v>0</v>
      </c>
      <c r="AQ5" s="50">
        <v>600</v>
      </c>
      <c r="AR5" s="50">
        <v>0</v>
      </c>
      <c r="AS5" s="50">
        <f t="shared" si="17"/>
        <v>600</v>
      </c>
      <c r="AT5" s="50">
        <f t="shared" si="18"/>
        <v>0</v>
      </c>
      <c r="AU5" s="50" t="e">
        <f t="shared" si="19"/>
        <v>#DIV/0!</v>
      </c>
      <c r="AV5" s="51">
        <v>0</v>
      </c>
      <c r="AW5" s="51">
        <v>0</v>
      </c>
      <c r="AX5" s="51">
        <v>0</v>
      </c>
      <c r="AY5" s="51">
        <f t="shared" si="20"/>
        <v>0</v>
      </c>
      <c r="AZ5" s="51">
        <v>1500</v>
      </c>
      <c r="BA5" s="51">
        <v>0</v>
      </c>
      <c r="BB5" s="51">
        <f t="shared" si="21"/>
        <v>1500</v>
      </c>
      <c r="BC5" s="51">
        <f t="shared" si="22"/>
        <v>0</v>
      </c>
      <c r="BD5" s="51" t="e">
        <f t="shared" si="23"/>
        <v>#DIV/0!</v>
      </c>
      <c r="BE5" s="52">
        <v>0</v>
      </c>
      <c r="BF5" s="52">
        <v>0</v>
      </c>
      <c r="BG5" s="52">
        <v>0</v>
      </c>
      <c r="BH5" s="52">
        <f t="shared" si="24"/>
        <v>0</v>
      </c>
      <c r="BI5" s="52">
        <v>750</v>
      </c>
      <c r="BJ5" s="52">
        <v>0</v>
      </c>
      <c r="BK5" s="52">
        <f t="shared" si="25"/>
        <v>750</v>
      </c>
      <c r="BL5" s="52">
        <f t="shared" si="26"/>
        <v>0</v>
      </c>
      <c r="BM5" s="52" t="e">
        <f t="shared" si="27"/>
        <v>#DIV/0!</v>
      </c>
      <c r="BN5" s="53">
        <v>0</v>
      </c>
      <c r="BO5" s="53">
        <v>0</v>
      </c>
      <c r="BP5" s="53">
        <v>0</v>
      </c>
      <c r="BQ5" s="53">
        <f t="shared" si="28"/>
        <v>0</v>
      </c>
      <c r="BR5" s="53">
        <v>2450</v>
      </c>
      <c r="BS5" s="53">
        <v>0</v>
      </c>
      <c r="BT5" s="53">
        <f t="shared" si="29"/>
        <v>2450</v>
      </c>
      <c r="BU5" s="53">
        <f t="shared" si="30"/>
        <v>0</v>
      </c>
      <c r="BV5" s="53" t="e">
        <f t="shared" si="31"/>
        <v>#DIV/0!</v>
      </c>
      <c r="BW5" s="54">
        <v>0</v>
      </c>
      <c r="BX5" s="54">
        <v>0</v>
      </c>
      <c r="BY5" s="54">
        <v>0</v>
      </c>
      <c r="BZ5" s="54">
        <f t="shared" si="32"/>
        <v>0</v>
      </c>
      <c r="CA5" s="54">
        <v>750</v>
      </c>
      <c r="CB5" s="54">
        <v>0</v>
      </c>
      <c r="CC5" s="54">
        <f t="shared" si="33"/>
        <v>750</v>
      </c>
      <c r="CD5" s="54">
        <f t="shared" si="34"/>
        <v>0</v>
      </c>
      <c r="CE5" s="54" t="e">
        <f t="shared" si="35"/>
        <v>#DIV/0!</v>
      </c>
      <c r="CF5" s="55">
        <v>0</v>
      </c>
      <c r="CG5" s="55">
        <v>0</v>
      </c>
      <c r="CH5" s="55">
        <v>0</v>
      </c>
      <c r="CI5" s="55">
        <f t="shared" si="36"/>
        <v>0</v>
      </c>
      <c r="CJ5" s="55">
        <v>730</v>
      </c>
      <c r="CK5" s="55">
        <v>0</v>
      </c>
      <c r="CL5" s="55">
        <f t="shared" si="37"/>
        <v>730</v>
      </c>
      <c r="CM5" s="55">
        <f t="shared" si="38"/>
        <v>0</v>
      </c>
      <c r="CN5" s="55" t="e">
        <f t="shared" si="39"/>
        <v>#DIV/0!</v>
      </c>
      <c r="CO5" s="56">
        <v>0</v>
      </c>
      <c r="CP5" s="56">
        <v>0</v>
      </c>
      <c r="CQ5" s="56">
        <v>0</v>
      </c>
      <c r="CR5" s="56">
        <f t="shared" si="40"/>
        <v>0</v>
      </c>
      <c r="CS5" s="56">
        <v>730</v>
      </c>
      <c r="CT5" s="56">
        <v>0</v>
      </c>
      <c r="CU5" s="56">
        <f t="shared" si="41"/>
        <v>730</v>
      </c>
      <c r="CV5" s="56">
        <f t="shared" si="42"/>
        <v>0</v>
      </c>
      <c r="CW5" s="56" t="e">
        <f t="shared" si="43"/>
        <v>#DIV/0!</v>
      </c>
      <c r="CX5" s="57">
        <v>0</v>
      </c>
      <c r="CY5" s="57">
        <v>0</v>
      </c>
      <c r="CZ5" s="57">
        <v>0</v>
      </c>
      <c r="DA5" s="57">
        <f t="shared" si="44"/>
        <v>0</v>
      </c>
      <c r="DB5" s="57">
        <v>600</v>
      </c>
      <c r="DC5" s="57">
        <v>0</v>
      </c>
      <c r="DD5" s="57">
        <f t="shared" si="45"/>
        <v>600</v>
      </c>
      <c r="DE5" s="57">
        <f t="shared" si="46"/>
        <v>0</v>
      </c>
      <c r="DF5" s="57" t="e">
        <f t="shared" si="47"/>
        <v>#DIV/0!</v>
      </c>
    </row>
    <row r="6" spans="1:110" ht="14.25" customHeight="1">
      <c r="A6" s="89"/>
      <c r="B6" s="44"/>
      <c r="C6" s="45">
        <v>0</v>
      </c>
      <c r="D6" s="45">
        <v>0</v>
      </c>
      <c r="E6" s="45">
        <v>0</v>
      </c>
      <c r="F6" s="45">
        <f t="shared" si="0"/>
        <v>0</v>
      </c>
      <c r="G6" s="45">
        <v>900</v>
      </c>
      <c r="H6" s="45">
        <v>0</v>
      </c>
      <c r="I6" s="45">
        <f t="shared" si="1"/>
        <v>900</v>
      </c>
      <c r="J6" s="45">
        <f t="shared" si="2"/>
        <v>0</v>
      </c>
      <c r="K6" s="45" t="e">
        <f t="shared" si="3"/>
        <v>#DIV/0!</v>
      </c>
      <c r="L6" s="47">
        <v>0</v>
      </c>
      <c r="M6" s="47">
        <v>0</v>
      </c>
      <c r="N6" s="47">
        <v>0</v>
      </c>
      <c r="O6" s="47">
        <f t="shared" si="4"/>
        <v>0</v>
      </c>
      <c r="P6" s="47">
        <v>1800</v>
      </c>
      <c r="Q6" s="47">
        <v>0</v>
      </c>
      <c r="R6" s="47">
        <f t="shared" si="5"/>
        <v>1800</v>
      </c>
      <c r="S6" s="47">
        <f t="shared" si="6"/>
        <v>0</v>
      </c>
      <c r="T6" s="47" t="e">
        <f t="shared" si="7"/>
        <v>#DIV/0!</v>
      </c>
      <c r="U6" s="48">
        <v>0</v>
      </c>
      <c r="V6" s="48">
        <v>0</v>
      </c>
      <c r="W6" s="48">
        <v>0</v>
      </c>
      <c r="X6" s="48">
        <f t="shared" si="8"/>
        <v>0</v>
      </c>
      <c r="Y6" s="48">
        <v>910</v>
      </c>
      <c r="Z6" s="48">
        <v>0</v>
      </c>
      <c r="AA6" s="48">
        <f t="shared" si="9"/>
        <v>910</v>
      </c>
      <c r="AB6" s="48">
        <f t="shared" si="10"/>
        <v>0</v>
      </c>
      <c r="AC6" s="48" t="e">
        <f t="shared" si="11"/>
        <v>#DIV/0!</v>
      </c>
      <c r="AD6" s="49">
        <v>0</v>
      </c>
      <c r="AE6" s="49">
        <v>0</v>
      </c>
      <c r="AF6" s="49">
        <v>0</v>
      </c>
      <c r="AG6" s="49">
        <f t="shared" si="12"/>
        <v>0</v>
      </c>
      <c r="AH6" s="49">
        <v>1200</v>
      </c>
      <c r="AI6" s="49">
        <v>0</v>
      </c>
      <c r="AJ6" s="49">
        <f t="shared" si="13"/>
        <v>1200</v>
      </c>
      <c r="AK6" s="49">
        <f t="shared" si="14"/>
        <v>0</v>
      </c>
      <c r="AL6" s="49" t="e">
        <f t="shared" si="15"/>
        <v>#DIV/0!</v>
      </c>
      <c r="AM6" s="50">
        <v>0</v>
      </c>
      <c r="AN6" s="50">
        <v>0</v>
      </c>
      <c r="AO6" s="50">
        <v>0</v>
      </c>
      <c r="AP6" s="50">
        <f t="shared" si="16"/>
        <v>0</v>
      </c>
      <c r="AQ6" s="50">
        <v>600</v>
      </c>
      <c r="AR6" s="50">
        <v>0</v>
      </c>
      <c r="AS6" s="50">
        <f t="shared" si="17"/>
        <v>600</v>
      </c>
      <c r="AT6" s="50">
        <f t="shared" si="18"/>
        <v>0</v>
      </c>
      <c r="AU6" s="50" t="e">
        <f t="shared" si="19"/>
        <v>#DIV/0!</v>
      </c>
      <c r="AV6" s="51">
        <v>0</v>
      </c>
      <c r="AW6" s="51">
        <v>0</v>
      </c>
      <c r="AX6" s="51">
        <v>0</v>
      </c>
      <c r="AY6" s="51">
        <f t="shared" si="20"/>
        <v>0</v>
      </c>
      <c r="AZ6" s="51">
        <v>1500</v>
      </c>
      <c r="BA6" s="51">
        <v>0</v>
      </c>
      <c r="BB6" s="51">
        <f t="shared" si="21"/>
        <v>1500</v>
      </c>
      <c r="BC6" s="51">
        <f t="shared" si="22"/>
        <v>0</v>
      </c>
      <c r="BD6" s="51" t="e">
        <f t="shared" si="23"/>
        <v>#DIV/0!</v>
      </c>
      <c r="BE6" s="52">
        <v>0</v>
      </c>
      <c r="BF6" s="52">
        <v>0</v>
      </c>
      <c r="BG6" s="52">
        <v>0</v>
      </c>
      <c r="BH6" s="52">
        <f t="shared" si="24"/>
        <v>0</v>
      </c>
      <c r="BI6" s="52">
        <v>750</v>
      </c>
      <c r="BJ6" s="52">
        <v>0</v>
      </c>
      <c r="BK6" s="52">
        <f t="shared" si="25"/>
        <v>750</v>
      </c>
      <c r="BL6" s="52">
        <f t="shared" si="26"/>
        <v>0</v>
      </c>
      <c r="BM6" s="52" t="e">
        <f t="shared" si="27"/>
        <v>#DIV/0!</v>
      </c>
      <c r="BN6" s="53">
        <v>0</v>
      </c>
      <c r="BO6" s="53">
        <v>0</v>
      </c>
      <c r="BP6" s="53">
        <v>0</v>
      </c>
      <c r="BQ6" s="53">
        <f t="shared" si="28"/>
        <v>0</v>
      </c>
      <c r="BR6" s="53">
        <v>2450</v>
      </c>
      <c r="BS6" s="53">
        <v>0</v>
      </c>
      <c r="BT6" s="53">
        <f t="shared" si="29"/>
        <v>2450</v>
      </c>
      <c r="BU6" s="53">
        <f t="shared" si="30"/>
        <v>0</v>
      </c>
      <c r="BV6" s="53" t="e">
        <f t="shared" si="31"/>
        <v>#DIV/0!</v>
      </c>
      <c r="BW6" s="54">
        <v>0</v>
      </c>
      <c r="BX6" s="54">
        <v>0</v>
      </c>
      <c r="BY6" s="54">
        <v>0</v>
      </c>
      <c r="BZ6" s="54">
        <f t="shared" si="32"/>
        <v>0</v>
      </c>
      <c r="CA6" s="54">
        <v>750</v>
      </c>
      <c r="CB6" s="54">
        <v>0</v>
      </c>
      <c r="CC6" s="54">
        <f t="shared" si="33"/>
        <v>750</v>
      </c>
      <c r="CD6" s="54">
        <f t="shared" si="34"/>
        <v>0</v>
      </c>
      <c r="CE6" s="54" t="e">
        <f t="shared" si="35"/>
        <v>#DIV/0!</v>
      </c>
      <c r="CF6" s="55">
        <v>0</v>
      </c>
      <c r="CG6" s="55">
        <v>0</v>
      </c>
      <c r="CH6" s="55">
        <v>0</v>
      </c>
      <c r="CI6" s="55">
        <f t="shared" si="36"/>
        <v>0</v>
      </c>
      <c r="CJ6" s="55">
        <v>730</v>
      </c>
      <c r="CK6" s="55">
        <v>0</v>
      </c>
      <c r="CL6" s="55">
        <f t="shared" si="37"/>
        <v>730</v>
      </c>
      <c r="CM6" s="55">
        <f t="shared" si="38"/>
        <v>0</v>
      </c>
      <c r="CN6" s="55" t="e">
        <f t="shared" si="39"/>
        <v>#DIV/0!</v>
      </c>
      <c r="CO6" s="56">
        <v>0</v>
      </c>
      <c r="CP6" s="56">
        <v>0</v>
      </c>
      <c r="CQ6" s="56">
        <v>0</v>
      </c>
      <c r="CR6" s="56">
        <f t="shared" si="40"/>
        <v>0</v>
      </c>
      <c r="CS6" s="56">
        <v>730</v>
      </c>
      <c r="CT6" s="56">
        <v>0</v>
      </c>
      <c r="CU6" s="56">
        <f t="shared" si="41"/>
        <v>730</v>
      </c>
      <c r="CV6" s="56">
        <f t="shared" si="42"/>
        <v>0</v>
      </c>
      <c r="CW6" s="56" t="e">
        <f t="shared" si="43"/>
        <v>#DIV/0!</v>
      </c>
      <c r="CX6" s="57">
        <v>0</v>
      </c>
      <c r="CY6" s="57">
        <v>0</v>
      </c>
      <c r="CZ6" s="57">
        <v>0</v>
      </c>
      <c r="DA6" s="57">
        <f t="shared" si="44"/>
        <v>0</v>
      </c>
      <c r="DB6" s="57">
        <v>600</v>
      </c>
      <c r="DC6" s="57">
        <v>0</v>
      </c>
      <c r="DD6" s="57">
        <f t="shared" si="45"/>
        <v>600</v>
      </c>
      <c r="DE6" s="57">
        <f t="shared" si="46"/>
        <v>0</v>
      </c>
      <c r="DF6" s="57" t="e">
        <f t="shared" si="47"/>
        <v>#DIV/0!</v>
      </c>
    </row>
    <row r="7" spans="1:110" ht="14.25" customHeight="1">
      <c r="A7" s="89"/>
      <c r="B7" s="44"/>
      <c r="C7" s="45">
        <v>0</v>
      </c>
      <c r="D7" s="45">
        <v>0</v>
      </c>
      <c r="E7" s="45">
        <v>0</v>
      </c>
      <c r="F7" s="45">
        <f t="shared" si="0"/>
        <v>0</v>
      </c>
      <c r="G7" s="45">
        <v>900</v>
      </c>
      <c r="H7" s="45">
        <v>0</v>
      </c>
      <c r="I7" s="45">
        <f t="shared" si="1"/>
        <v>900</v>
      </c>
      <c r="J7" s="45">
        <f t="shared" si="2"/>
        <v>0</v>
      </c>
      <c r="K7" s="45" t="e">
        <f t="shared" si="3"/>
        <v>#DIV/0!</v>
      </c>
      <c r="L7" s="47">
        <v>0</v>
      </c>
      <c r="M7" s="47">
        <v>0</v>
      </c>
      <c r="N7" s="47">
        <v>0</v>
      </c>
      <c r="O7" s="47">
        <f t="shared" si="4"/>
        <v>0</v>
      </c>
      <c r="P7" s="47">
        <v>1800</v>
      </c>
      <c r="Q7" s="47">
        <v>0</v>
      </c>
      <c r="R7" s="47">
        <f t="shared" si="5"/>
        <v>1800</v>
      </c>
      <c r="S7" s="47">
        <f t="shared" si="6"/>
        <v>0</v>
      </c>
      <c r="T7" s="47" t="e">
        <f t="shared" si="7"/>
        <v>#DIV/0!</v>
      </c>
      <c r="U7" s="48">
        <v>0</v>
      </c>
      <c r="V7" s="48">
        <v>0</v>
      </c>
      <c r="W7" s="48">
        <v>0</v>
      </c>
      <c r="X7" s="48">
        <f t="shared" si="8"/>
        <v>0</v>
      </c>
      <c r="Y7" s="48">
        <v>910</v>
      </c>
      <c r="Z7" s="48">
        <v>0</v>
      </c>
      <c r="AA7" s="48">
        <f t="shared" si="9"/>
        <v>910</v>
      </c>
      <c r="AB7" s="48">
        <f t="shared" si="10"/>
        <v>0</v>
      </c>
      <c r="AC7" s="48" t="e">
        <f t="shared" si="11"/>
        <v>#DIV/0!</v>
      </c>
      <c r="AD7" s="49">
        <v>0</v>
      </c>
      <c r="AE7" s="49">
        <v>0</v>
      </c>
      <c r="AF7" s="49">
        <v>0</v>
      </c>
      <c r="AG7" s="49">
        <f t="shared" si="12"/>
        <v>0</v>
      </c>
      <c r="AH7" s="49">
        <v>1200</v>
      </c>
      <c r="AI7" s="49">
        <v>0</v>
      </c>
      <c r="AJ7" s="49">
        <f t="shared" si="13"/>
        <v>1200</v>
      </c>
      <c r="AK7" s="49">
        <f t="shared" si="14"/>
        <v>0</v>
      </c>
      <c r="AL7" s="49" t="e">
        <f t="shared" si="15"/>
        <v>#DIV/0!</v>
      </c>
      <c r="AM7" s="50">
        <v>0</v>
      </c>
      <c r="AN7" s="50">
        <v>0</v>
      </c>
      <c r="AO7" s="50">
        <v>0</v>
      </c>
      <c r="AP7" s="50">
        <f t="shared" si="16"/>
        <v>0</v>
      </c>
      <c r="AQ7" s="50">
        <v>600</v>
      </c>
      <c r="AR7" s="50">
        <v>0</v>
      </c>
      <c r="AS7" s="50">
        <f t="shared" si="17"/>
        <v>600</v>
      </c>
      <c r="AT7" s="50">
        <f t="shared" si="18"/>
        <v>0</v>
      </c>
      <c r="AU7" s="50" t="e">
        <f t="shared" si="19"/>
        <v>#DIV/0!</v>
      </c>
      <c r="AV7" s="51">
        <v>0</v>
      </c>
      <c r="AW7" s="51">
        <v>0</v>
      </c>
      <c r="AX7" s="51">
        <v>0</v>
      </c>
      <c r="AY7" s="51">
        <f t="shared" si="20"/>
        <v>0</v>
      </c>
      <c r="AZ7" s="51">
        <v>1500</v>
      </c>
      <c r="BA7" s="51">
        <v>0</v>
      </c>
      <c r="BB7" s="51">
        <f t="shared" si="21"/>
        <v>1500</v>
      </c>
      <c r="BC7" s="51">
        <f t="shared" si="22"/>
        <v>0</v>
      </c>
      <c r="BD7" s="51" t="e">
        <f t="shared" si="23"/>
        <v>#DIV/0!</v>
      </c>
      <c r="BE7" s="52">
        <v>0</v>
      </c>
      <c r="BF7" s="52">
        <v>0</v>
      </c>
      <c r="BG7" s="52">
        <v>0</v>
      </c>
      <c r="BH7" s="52">
        <f t="shared" si="24"/>
        <v>0</v>
      </c>
      <c r="BI7" s="52">
        <v>750</v>
      </c>
      <c r="BJ7" s="52">
        <v>0</v>
      </c>
      <c r="BK7" s="52">
        <f t="shared" si="25"/>
        <v>750</v>
      </c>
      <c r="BL7" s="52">
        <f t="shared" si="26"/>
        <v>0</v>
      </c>
      <c r="BM7" s="52" t="e">
        <f t="shared" si="27"/>
        <v>#DIV/0!</v>
      </c>
      <c r="BN7" s="53">
        <v>0</v>
      </c>
      <c r="BO7" s="53">
        <v>0</v>
      </c>
      <c r="BP7" s="53">
        <v>0</v>
      </c>
      <c r="BQ7" s="53">
        <f t="shared" si="28"/>
        <v>0</v>
      </c>
      <c r="BR7" s="53">
        <v>2450</v>
      </c>
      <c r="BS7" s="53">
        <v>0</v>
      </c>
      <c r="BT7" s="53">
        <f t="shared" si="29"/>
        <v>2450</v>
      </c>
      <c r="BU7" s="53">
        <f t="shared" si="30"/>
        <v>0</v>
      </c>
      <c r="BV7" s="53" t="e">
        <f t="shared" si="31"/>
        <v>#DIV/0!</v>
      </c>
      <c r="BW7" s="54">
        <v>0</v>
      </c>
      <c r="BX7" s="54">
        <v>0</v>
      </c>
      <c r="BY7" s="54">
        <v>0</v>
      </c>
      <c r="BZ7" s="54">
        <f t="shared" si="32"/>
        <v>0</v>
      </c>
      <c r="CA7" s="54">
        <v>750</v>
      </c>
      <c r="CB7" s="54">
        <v>0</v>
      </c>
      <c r="CC7" s="54">
        <f t="shared" si="33"/>
        <v>750</v>
      </c>
      <c r="CD7" s="54">
        <f t="shared" si="34"/>
        <v>0</v>
      </c>
      <c r="CE7" s="54" t="e">
        <f t="shared" si="35"/>
        <v>#DIV/0!</v>
      </c>
      <c r="CF7" s="55">
        <v>0</v>
      </c>
      <c r="CG7" s="55">
        <v>0</v>
      </c>
      <c r="CH7" s="55">
        <v>0</v>
      </c>
      <c r="CI7" s="55">
        <f t="shared" si="36"/>
        <v>0</v>
      </c>
      <c r="CJ7" s="55">
        <v>730</v>
      </c>
      <c r="CK7" s="55">
        <v>0</v>
      </c>
      <c r="CL7" s="55">
        <f t="shared" si="37"/>
        <v>730</v>
      </c>
      <c r="CM7" s="55">
        <f t="shared" si="38"/>
        <v>0</v>
      </c>
      <c r="CN7" s="55" t="e">
        <f t="shared" si="39"/>
        <v>#DIV/0!</v>
      </c>
      <c r="CO7" s="56">
        <v>0</v>
      </c>
      <c r="CP7" s="56">
        <v>0</v>
      </c>
      <c r="CQ7" s="56">
        <v>0</v>
      </c>
      <c r="CR7" s="56">
        <f t="shared" si="40"/>
        <v>0</v>
      </c>
      <c r="CS7" s="56">
        <v>730</v>
      </c>
      <c r="CT7" s="56">
        <v>0</v>
      </c>
      <c r="CU7" s="56">
        <f t="shared" si="41"/>
        <v>730</v>
      </c>
      <c r="CV7" s="56">
        <f t="shared" si="42"/>
        <v>0</v>
      </c>
      <c r="CW7" s="56" t="e">
        <f t="shared" si="43"/>
        <v>#DIV/0!</v>
      </c>
      <c r="CX7" s="57">
        <v>0</v>
      </c>
      <c r="CY7" s="57">
        <v>0</v>
      </c>
      <c r="CZ7" s="57">
        <v>0</v>
      </c>
      <c r="DA7" s="57">
        <f t="shared" si="44"/>
        <v>0</v>
      </c>
      <c r="DB7" s="57">
        <v>600</v>
      </c>
      <c r="DC7" s="57">
        <v>0</v>
      </c>
      <c r="DD7" s="57">
        <f t="shared" si="45"/>
        <v>600</v>
      </c>
      <c r="DE7" s="57">
        <f t="shared" si="46"/>
        <v>0</v>
      </c>
      <c r="DF7" s="57" t="e">
        <f t="shared" si="47"/>
        <v>#DIV/0!</v>
      </c>
    </row>
    <row r="8" spans="1:110" ht="14.25" customHeight="1">
      <c r="A8" s="89"/>
      <c r="B8" s="44"/>
      <c r="C8" s="45">
        <v>0</v>
      </c>
      <c r="D8" s="45">
        <v>0</v>
      </c>
      <c r="E8" s="45">
        <v>0</v>
      </c>
      <c r="F8" s="45">
        <f t="shared" si="0"/>
        <v>0</v>
      </c>
      <c r="G8" s="45">
        <v>900</v>
      </c>
      <c r="H8" s="45">
        <v>0</v>
      </c>
      <c r="I8" s="45">
        <f t="shared" si="1"/>
        <v>900</v>
      </c>
      <c r="J8" s="45">
        <f t="shared" si="2"/>
        <v>0</v>
      </c>
      <c r="K8" s="45" t="e">
        <f t="shared" si="3"/>
        <v>#DIV/0!</v>
      </c>
      <c r="L8" s="47">
        <v>0</v>
      </c>
      <c r="M8" s="47">
        <v>0</v>
      </c>
      <c r="N8" s="47">
        <v>0</v>
      </c>
      <c r="O8" s="47">
        <f t="shared" si="4"/>
        <v>0</v>
      </c>
      <c r="P8" s="47">
        <v>1800</v>
      </c>
      <c r="Q8" s="47">
        <v>0</v>
      </c>
      <c r="R8" s="47">
        <f t="shared" si="5"/>
        <v>1800</v>
      </c>
      <c r="S8" s="47">
        <f t="shared" si="6"/>
        <v>0</v>
      </c>
      <c r="T8" s="47" t="e">
        <f t="shared" si="7"/>
        <v>#DIV/0!</v>
      </c>
      <c r="U8" s="48">
        <v>0</v>
      </c>
      <c r="V8" s="48">
        <v>0</v>
      </c>
      <c r="W8" s="48">
        <v>0</v>
      </c>
      <c r="X8" s="48">
        <f t="shared" si="8"/>
        <v>0</v>
      </c>
      <c r="Y8" s="48">
        <v>910</v>
      </c>
      <c r="Z8" s="48">
        <v>0</v>
      </c>
      <c r="AA8" s="48">
        <f t="shared" si="9"/>
        <v>910</v>
      </c>
      <c r="AB8" s="48">
        <f t="shared" si="10"/>
        <v>0</v>
      </c>
      <c r="AC8" s="48" t="e">
        <f t="shared" si="11"/>
        <v>#DIV/0!</v>
      </c>
      <c r="AD8" s="49">
        <v>0</v>
      </c>
      <c r="AE8" s="49">
        <v>0</v>
      </c>
      <c r="AF8" s="49">
        <v>0</v>
      </c>
      <c r="AG8" s="49">
        <f t="shared" si="12"/>
        <v>0</v>
      </c>
      <c r="AH8" s="49">
        <v>1200</v>
      </c>
      <c r="AI8" s="49">
        <v>0</v>
      </c>
      <c r="AJ8" s="49">
        <f t="shared" si="13"/>
        <v>1200</v>
      </c>
      <c r="AK8" s="49">
        <f t="shared" si="14"/>
        <v>0</v>
      </c>
      <c r="AL8" s="49" t="e">
        <f t="shared" si="15"/>
        <v>#DIV/0!</v>
      </c>
      <c r="AM8" s="50">
        <v>0</v>
      </c>
      <c r="AN8" s="50">
        <v>0</v>
      </c>
      <c r="AO8" s="50">
        <v>0</v>
      </c>
      <c r="AP8" s="50">
        <f t="shared" si="16"/>
        <v>0</v>
      </c>
      <c r="AQ8" s="50">
        <v>600</v>
      </c>
      <c r="AR8" s="50">
        <v>0</v>
      </c>
      <c r="AS8" s="50">
        <f t="shared" si="17"/>
        <v>600</v>
      </c>
      <c r="AT8" s="50">
        <f t="shared" si="18"/>
        <v>0</v>
      </c>
      <c r="AU8" s="50" t="e">
        <f t="shared" si="19"/>
        <v>#DIV/0!</v>
      </c>
      <c r="AV8" s="51">
        <v>0</v>
      </c>
      <c r="AW8" s="51">
        <v>0</v>
      </c>
      <c r="AX8" s="51">
        <v>0</v>
      </c>
      <c r="AY8" s="51">
        <f t="shared" si="20"/>
        <v>0</v>
      </c>
      <c r="AZ8" s="51">
        <v>1500</v>
      </c>
      <c r="BA8" s="51">
        <v>0</v>
      </c>
      <c r="BB8" s="51">
        <f t="shared" si="21"/>
        <v>1500</v>
      </c>
      <c r="BC8" s="51">
        <f t="shared" si="22"/>
        <v>0</v>
      </c>
      <c r="BD8" s="51" t="e">
        <f t="shared" si="23"/>
        <v>#DIV/0!</v>
      </c>
      <c r="BE8" s="52">
        <v>0</v>
      </c>
      <c r="BF8" s="52">
        <v>0</v>
      </c>
      <c r="BG8" s="52">
        <v>0</v>
      </c>
      <c r="BH8" s="52">
        <f t="shared" si="24"/>
        <v>0</v>
      </c>
      <c r="BI8" s="52">
        <v>750</v>
      </c>
      <c r="BJ8" s="52">
        <v>0</v>
      </c>
      <c r="BK8" s="52">
        <f t="shared" si="25"/>
        <v>750</v>
      </c>
      <c r="BL8" s="52">
        <f t="shared" si="26"/>
        <v>0</v>
      </c>
      <c r="BM8" s="52" t="e">
        <f t="shared" si="27"/>
        <v>#DIV/0!</v>
      </c>
      <c r="BN8" s="53">
        <v>0</v>
      </c>
      <c r="BO8" s="53">
        <v>0</v>
      </c>
      <c r="BP8" s="53">
        <v>0</v>
      </c>
      <c r="BQ8" s="53">
        <f t="shared" si="28"/>
        <v>0</v>
      </c>
      <c r="BR8" s="53">
        <v>2450</v>
      </c>
      <c r="BS8" s="53">
        <v>0</v>
      </c>
      <c r="BT8" s="53">
        <f t="shared" si="29"/>
        <v>2450</v>
      </c>
      <c r="BU8" s="53">
        <f t="shared" si="30"/>
        <v>0</v>
      </c>
      <c r="BV8" s="53" t="e">
        <f t="shared" si="31"/>
        <v>#DIV/0!</v>
      </c>
      <c r="BW8" s="54">
        <v>0</v>
      </c>
      <c r="BX8" s="54">
        <v>0</v>
      </c>
      <c r="BY8" s="54">
        <v>0</v>
      </c>
      <c r="BZ8" s="54">
        <f t="shared" si="32"/>
        <v>0</v>
      </c>
      <c r="CA8" s="54">
        <v>750</v>
      </c>
      <c r="CB8" s="54">
        <v>0</v>
      </c>
      <c r="CC8" s="54">
        <f t="shared" si="33"/>
        <v>750</v>
      </c>
      <c r="CD8" s="54">
        <f t="shared" si="34"/>
        <v>0</v>
      </c>
      <c r="CE8" s="54" t="e">
        <f t="shared" si="35"/>
        <v>#DIV/0!</v>
      </c>
      <c r="CF8" s="55">
        <v>0</v>
      </c>
      <c r="CG8" s="55">
        <v>0</v>
      </c>
      <c r="CH8" s="55">
        <v>0</v>
      </c>
      <c r="CI8" s="55">
        <f t="shared" si="36"/>
        <v>0</v>
      </c>
      <c r="CJ8" s="55">
        <v>730</v>
      </c>
      <c r="CK8" s="55">
        <v>0</v>
      </c>
      <c r="CL8" s="55">
        <f t="shared" si="37"/>
        <v>730</v>
      </c>
      <c r="CM8" s="55">
        <f t="shared" si="38"/>
        <v>0</v>
      </c>
      <c r="CN8" s="55" t="e">
        <f t="shared" si="39"/>
        <v>#DIV/0!</v>
      </c>
      <c r="CO8" s="56">
        <v>0</v>
      </c>
      <c r="CP8" s="56">
        <v>0</v>
      </c>
      <c r="CQ8" s="56">
        <v>0</v>
      </c>
      <c r="CR8" s="56">
        <f t="shared" si="40"/>
        <v>0</v>
      </c>
      <c r="CS8" s="56">
        <v>730</v>
      </c>
      <c r="CT8" s="56">
        <v>0</v>
      </c>
      <c r="CU8" s="56">
        <f t="shared" si="41"/>
        <v>730</v>
      </c>
      <c r="CV8" s="56">
        <f t="shared" si="42"/>
        <v>0</v>
      </c>
      <c r="CW8" s="56" t="e">
        <f t="shared" si="43"/>
        <v>#DIV/0!</v>
      </c>
      <c r="CX8" s="57">
        <v>0</v>
      </c>
      <c r="CY8" s="57">
        <v>0</v>
      </c>
      <c r="CZ8" s="57">
        <v>0</v>
      </c>
      <c r="DA8" s="57">
        <f t="shared" si="44"/>
        <v>0</v>
      </c>
      <c r="DB8" s="57">
        <v>600</v>
      </c>
      <c r="DC8" s="57">
        <v>0</v>
      </c>
      <c r="DD8" s="57">
        <f t="shared" si="45"/>
        <v>600</v>
      </c>
      <c r="DE8" s="57">
        <f t="shared" si="46"/>
        <v>0</v>
      </c>
      <c r="DF8" s="57" t="e">
        <f t="shared" si="47"/>
        <v>#DIV/0!</v>
      </c>
    </row>
    <row r="9" spans="1:110" ht="14.25" customHeight="1">
      <c r="A9" s="89"/>
      <c r="B9" s="44"/>
      <c r="C9" s="45">
        <v>0</v>
      </c>
      <c r="D9" s="45">
        <v>0</v>
      </c>
      <c r="E9" s="45">
        <v>0</v>
      </c>
      <c r="F9" s="45">
        <f t="shared" si="0"/>
        <v>0</v>
      </c>
      <c r="G9" s="45">
        <v>900</v>
      </c>
      <c r="H9" s="45">
        <v>0</v>
      </c>
      <c r="I9" s="45">
        <f t="shared" si="1"/>
        <v>900</v>
      </c>
      <c r="J9" s="45">
        <f t="shared" si="2"/>
        <v>0</v>
      </c>
      <c r="K9" s="45" t="e">
        <f t="shared" si="3"/>
        <v>#DIV/0!</v>
      </c>
      <c r="L9" s="47">
        <v>0</v>
      </c>
      <c r="M9" s="47">
        <v>0</v>
      </c>
      <c r="N9" s="47">
        <v>0</v>
      </c>
      <c r="O9" s="47">
        <f t="shared" si="4"/>
        <v>0</v>
      </c>
      <c r="P9" s="47">
        <v>1800</v>
      </c>
      <c r="Q9" s="47">
        <v>0</v>
      </c>
      <c r="R9" s="47">
        <f t="shared" si="5"/>
        <v>1800</v>
      </c>
      <c r="S9" s="47">
        <f t="shared" si="6"/>
        <v>0</v>
      </c>
      <c r="T9" s="47" t="e">
        <f t="shared" si="7"/>
        <v>#DIV/0!</v>
      </c>
      <c r="U9" s="48">
        <v>0</v>
      </c>
      <c r="V9" s="48">
        <v>0</v>
      </c>
      <c r="W9" s="48">
        <v>0</v>
      </c>
      <c r="X9" s="48">
        <f t="shared" si="8"/>
        <v>0</v>
      </c>
      <c r="Y9" s="48">
        <v>910</v>
      </c>
      <c r="Z9" s="48">
        <v>0</v>
      </c>
      <c r="AA9" s="48">
        <f t="shared" si="9"/>
        <v>910</v>
      </c>
      <c r="AB9" s="48">
        <f t="shared" si="10"/>
        <v>0</v>
      </c>
      <c r="AC9" s="48" t="e">
        <f t="shared" si="11"/>
        <v>#DIV/0!</v>
      </c>
      <c r="AD9" s="49">
        <v>0</v>
      </c>
      <c r="AE9" s="49">
        <v>0</v>
      </c>
      <c r="AF9" s="49">
        <v>0</v>
      </c>
      <c r="AG9" s="49">
        <f t="shared" si="12"/>
        <v>0</v>
      </c>
      <c r="AH9" s="49">
        <v>1200</v>
      </c>
      <c r="AI9" s="49">
        <v>0</v>
      </c>
      <c r="AJ9" s="49">
        <f t="shared" si="13"/>
        <v>1200</v>
      </c>
      <c r="AK9" s="49">
        <f t="shared" si="14"/>
        <v>0</v>
      </c>
      <c r="AL9" s="49" t="e">
        <f t="shared" si="15"/>
        <v>#DIV/0!</v>
      </c>
      <c r="AM9" s="50">
        <v>0</v>
      </c>
      <c r="AN9" s="50">
        <v>0</v>
      </c>
      <c r="AO9" s="50">
        <v>0</v>
      </c>
      <c r="AP9" s="50">
        <f t="shared" si="16"/>
        <v>0</v>
      </c>
      <c r="AQ9" s="50">
        <v>600</v>
      </c>
      <c r="AR9" s="50">
        <v>0</v>
      </c>
      <c r="AS9" s="50">
        <f t="shared" si="17"/>
        <v>600</v>
      </c>
      <c r="AT9" s="50">
        <f t="shared" si="18"/>
        <v>0</v>
      </c>
      <c r="AU9" s="50" t="e">
        <f t="shared" si="19"/>
        <v>#DIV/0!</v>
      </c>
      <c r="AV9" s="51">
        <v>0</v>
      </c>
      <c r="AW9" s="51">
        <v>0</v>
      </c>
      <c r="AX9" s="51">
        <v>0</v>
      </c>
      <c r="AY9" s="51">
        <f t="shared" si="20"/>
        <v>0</v>
      </c>
      <c r="AZ9" s="51">
        <v>1500</v>
      </c>
      <c r="BA9" s="51">
        <v>0</v>
      </c>
      <c r="BB9" s="51">
        <f t="shared" si="21"/>
        <v>1500</v>
      </c>
      <c r="BC9" s="51">
        <f t="shared" si="22"/>
        <v>0</v>
      </c>
      <c r="BD9" s="51" t="e">
        <f t="shared" si="23"/>
        <v>#DIV/0!</v>
      </c>
      <c r="BE9" s="52">
        <v>0</v>
      </c>
      <c r="BF9" s="52">
        <v>0</v>
      </c>
      <c r="BG9" s="52">
        <v>0</v>
      </c>
      <c r="BH9" s="52">
        <f t="shared" si="24"/>
        <v>0</v>
      </c>
      <c r="BI9" s="52">
        <v>750</v>
      </c>
      <c r="BJ9" s="52">
        <v>0</v>
      </c>
      <c r="BK9" s="52">
        <f t="shared" si="25"/>
        <v>750</v>
      </c>
      <c r="BL9" s="52">
        <f t="shared" si="26"/>
        <v>0</v>
      </c>
      <c r="BM9" s="52" t="e">
        <f t="shared" si="27"/>
        <v>#DIV/0!</v>
      </c>
      <c r="BN9" s="53">
        <v>0</v>
      </c>
      <c r="BO9" s="53">
        <v>0</v>
      </c>
      <c r="BP9" s="53">
        <v>0</v>
      </c>
      <c r="BQ9" s="53">
        <f t="shared" si="28"/>
        <v>0</v>
      </c>
      <c r="BR9" s="53">
        <v>2450</v>
      </c>
      <c r="BS9" s="53">
        <v>0</v>
      </c>
      <c r="BT9" s="53">
        <f t="shared" si="29"/>
        <v>2450</v>
      </c>
      <c r="BU9" s="53">
        <f t="shared" si="30"/>
        <v>0</v>
      </c>
      <c r="BV9" s="53" t="e">
        <f t="shared" si="31"/>
        <v>#DIV/0!</v>
      </c>
      <c r="BW9" s="54">
        <v>0</v>
      </c>
      <c r="BX9" s="54">
        <v>0</v>
      </c>
      <c r="BY9" s="54">
        <v>0</v>
      </c>
      <c r="BZ9" s="54">
        <f t="shared" si="32"/>
        <v>0</v>
      </c>
      <c r="CA9" s="54">
        <v>750</v>
      </c>
      <c r="CB9" s="54">
        <v>0</v>
      </c>
      <c r="CC9" s="54">
        <f t="shared" si="33"/>
        <v>750</v>
      </c>
      <c r="CD9" s="54">
        <f t="shared" si="34"/>
        <v>0</v>
      </c>
      <c r="CE9" s="54" t="e">
        <f t="shared" si="35"/>
        <v>#DIV/0!</v>
      </c>
      <c r="CF9" s="55">
        <v>0</v>
      </c>
      <c r="CG9" s="55">
        <v>0</v>
      </c>
      <c r="CH9" s="55">
        <v>0</v>
      </c>
      <c r="CI9" s="55">
        <f t="shared" si="36"/>
        <v>0</v>
      </c>
      <c r="CJ9" s="55">
        <v>730</v>
      </c>
      <c r="CK9" s="55">
        <v>0</v>
      </c>
      <c r="CL9" s="55">
        <f t="shared" si="37"/>
        <v>730</v>
      </c>
      <c r="CM9" s="55">
        <f t="shared" si="38"/>
        <v>0</v>
      </c>
      <c r="CN9" s="55" t="e">
        <f t="shared" si="39"/>
        <v>#DIV/0!</v>
      </c>
      <c r="CO9" s="56">
        <v>0</v>
      </c>
      <c r="CP9" s="56">
        <v>0</v>
      </c>
      <c r="CQ9" s="56">
        <v>0</v>
      </c>
      <c r="CR9" s="56">
        <f t="shared" si="40"/>
        <v>0</v>
      </c>
      <c r="CS9" s="56">
        <v>730</v>
      </c>
      <c r="CT9" s="56">
        <v>0</v>
      </c>
      <c r="CU9" s="56">
        <f t="shared" si="41"/>
        <v>730</v>
      </c>
      <c r="CV9" s="56">
        <f t="shared" si="42"/>
        <v>0</v>
      </c>
      <c r="CW9" s="56" t="e">
        <f t="shared" si="43"/>
        <v>#DIV/0!</v>
      </c>
      <c r="CX9" s="57">
        <v>0</v>
      </c>
      <c r="CY9" s="57">
        <v>0</v>
      </c>
      <c r="CZ9" s="57">
        <v>0</v>
      </c>
      <c r="DA9" s="57">
        <f t="shared" si="44"/>
        <v>0</v>
      </c>
      <c r="DB9" s="57">
        <v>600</v>
      </c>
      <c r="DC9" s="57">
        <v>0</v>
      </c>
      <c r="DD9" s="57">
        <f t="shared" si="45"/>
        <v>600</v>
      </c>
      <c r="DE9" s="57">
        <f t="shared" si="46"/>
        <v>0</v>
      </c>
      <c r="DF9" s="57" t="e">
        <f t="shared" si="47"/>
        <v>#DIV/0!</v>
      </c>
    </row>
    <row r="10" spans="1:110" ht="14.25" customHeight="1">
      <c r="A10" s="89"/>
      <c r="B10" s="44"/>
      <c r="C10" s="45">
        <v>0</v>
      </c>
      <c r="D10" s="45">
        <v>0</v>
      </c>
      <c r="E10" s="45">
        <v>0</v>
      </c>
      <c r="F10" s="45">
        <f t="shared" si="0"/>
        <v>0</v>
      </c>
      <c r="G10" s="45">
        <v>900</v>
      </c>
      <c r="H10" s="45">
        <v>0</v>
      </c>
      <c r="I10" s="45">
        <f t="shared" si="1"/>
        <v>900</v>
      </c>
      <c r="J10" s="45">
        <f t="shared" si="2"/>
        <v>0</v>
      </c>
      <c r="K10" s="45" t="e">
        <f t="shared" si="3"/>
        <v>#DIV/0!</v>
      </c>
      <c r="L10" s="47">
        <v>0</v>
      </c>
      <c r="M10" s="47">
        <v>0</v>
      </c>
      <c r="N10" s="47">
        <v>0</v>
      </c>
      <c r="O10" s="47">
        <f t="shared" si="4"/>
        <v>0</v>
      </c>
      <c r="P10" s="47">
        <v>1800</v>
      </c>
      <c r="Q10" s="47">
        <v>0</v>
      </c>
      <c r="R10" s="47">
        <f t="shared" si="5"/>
        <v>1800</v>
      </c>
      <c r="S10" s="47">
        <f t="shared" si="6"/>
        <v>0</v>
      </c>
      <c r="T10" s="47" t="e">
        <f t="shared" si="7"/>
        <v>#DIV/0!</v>
      </c>
      <c r="U10" s="48">
        <v>0</v>
      </c>
      <c r="V10" s="48">
        <v>0</v>
      </c>
      <c r="W10" s="48">
        <v>0</v>
      </c>
      <c r="X10" s="48">
        <f t="shared" si="8"/>
        <v>0</v>
      </c>
      <c r="Y10" s="48">
        <v>910</v>
      </c>
      <c r="Z10" s="48">
        <v>0</v>
      </c>
      <c r="AA10" s="48">
        <f t="shared" si="9"/>
        <v>910</v>
      </c>
      <c r="AB10" s="48">
        <f t="shared" si="10"/>
        <v>0</v>
      </c>
      <c r="AC10" s="48" t="e">
        <f t="shared" si="11"/>
        <v>#DIV/0!</v>
      </c>
      <c r="AD10" s="49">
        <v>0</v>
      </c>
      <c r="AE10" s="49">
        <v>0</v>
      </c>
      <c r="AF10" s="49">
        <v>0</v>
      </c>
      <c r="AG10" s="49">
        <f t="shared" si="12"/>
        <v>0</v>
      </c>
      <c r="AH10" s="49">
        <v>1200</v>
      </c>
      <c r="AI10" s="49">
        <v>0</v>
      </c>
      <c r="AJ10" s="49">
        <f t="shared" si="13"/>
        <v>1200</v>
      </c>
      <c r="AK10" s="49">
        <f t="shared" si="14"/>
        <v>0</v>
      </c>
      <c r="AL10" s="49" t="e">
        <f t="shared" si="15"/>
        <v>#DIV/0!</v>
      </c>
      <c r="AM10" s="50">
        <v>0</v>
      </c>
      <c r="AN10" s="50">
        <v>0</v>
      </c>
      <c r="AO10" s="50">
        <v>0</v>
      </c>
      <c r="AP10" s="50">
        <f t="shared" si="16"/>
        <v>0</v>
      </c>
      <c r="AQ10" s="50">
        <v>600</v>
      </c>
      <c r="AR10" s="50">
        <v>0</v>
      </c>
      <c r="AS10" s="50">
        <f t="shared" si="17"/>
        <v>600</v>
      </c>
      <c r="AT10" s="50">
        <f t="shared" si="18"/>
        <v>0</v>
      </c>
      <c r="AU10" s="50" t="e">
        <f t="shared" si="19"/>
        <v>#DIV/0!</v>
      </c>
      <c r="AV10" s="51">
        <v>0</v>
      </c>
      <c r="AW10" s="51">
        <v>0</v>
      </c>
      <c r="AX10" s="51">
        <v>0</v>
      </c>
      <c r="AY10" s="51">
        <f t="shared" si="20"/>
        <v>0</v>
      </c>
      <c r="AZ10" s="51">
        <v>1500</v>
      </c>
      <c r="BA10" s="51">
        <v>0</v>
      </c>
      <c r="BB10" s="51">
        <f t="shared" si="21"/>
        <v>1500</v>
      </c>
      <c r="BC10" s="51">
        <f t="shared" si="22"/>
        <v>0</v>
      </c>
      <c r="BD10" s="51" t="e">
        <f t="shared" si="23"/>
        <v>#DIV/0!</v>
      </c>
      <c r="BE10" s="52">
        <v>0</v>
      </c>
      <c r="BF10" s="52">
        <v>0</v>
      </c>
      <c r="BG10" s="52">
        <v>0</v>
      </c>
      <c r="BH10" s="52">
        <f t="shared" si="24"/>
        <v>0</v>
      </c>
      <c r="BI10" s="52">
        <v>750</v>
      </c>
      <c r="BJ10" s="52">
        <v>0</v>
      </c>
      <c r="BK10" s="52">
        <f t="shared" si="25"/>
        <v>750</v>
      </c>
      <c r="BL10" s="52">
        <f t="shared" si="26"/>
        <v>0</v>
      </c>
      <c r="BM10" s="52" t="e">
        <f t="shared" si="27"/>
        <v>#DIV/0!</v>
      </c>
      <c r="BN10" s="53">
        <v>0</v>
      </c>
      <c r="BO10" s="53">
        <v>0</v>
      </c>
      <c r="BP10" s="53">
        <v>0</v>
      </c>
      <c r="BQ10" s="53">
        <f t="shared" si="28"/>
        <v>0</v>
      </c>
      <c r="BR10" s="53">
        <v>2450</v>
      </c>
      <c r="BS10" s="53">
        <v>0</v>
      </c>
      <c r="BT10" s="53">
        <f t="shared" si="29"/>
        <v>2450</v>
      </c>
      <c r="BU10" s="53">
        <f t="shared" si="30"/>
        <v>0</v>
      </c>
      <c r="BV10" s="53" t="e">
        <f t="shared" si="31"/>
        <v>#DIV/0!</v>
      </c>
      <c r="BW10" s="54">
        <v>0</v>
      </c>
      <c r="BX10" s="54">
        <v>0</v>
      </c>
      <c r="BY10" s="54">
        <v>0</v>
      </c>
      <c r="BZ10" s="54">
        <f t="shared" si="32"/>
        <v>0</v>
      </c>
      <c r="CA10" s="54">
        <v>750</v>
      </c>
      <c r="CB10" s="54">
        <v>0</v>
      </c>
      <c r="CC10" s="54">
        <f t="shared" si="33"/>
        <v>750</v>
      </c>
      <c r="CD10" s="54">
        <f t="shared" si="34"/>
        <v>0</v>
      </c>
      <c r="CE10" s="54" t="e">
        <f t="shared" si="35"/>
        <v>#DIV/0!</v>
      </c>
      <c r="CF10" s="55">
        <v>0</v>
      </c>
      <c r="CG10" s="55">
        <v>0</v>
      </c>
      <c r="CH10" s="55">
        <v>0</v>
      </c>
      <c r="CI10" s="55">
        <f t="shared" si="36"/>
        <v>0</v>
      </c>
      <c r="CJ10" s="55">
        <v>730</v>
      </c>
      <c r="CK10" s="55">
        <v>0</v>
      </c>
      <c r="CL10" s="55">
        <f t="shared" si="37"/>
        <v>730</v>
      </c>
      <c r="CM10" s="55">
        <f t="shared" si="38"/>
        <v>0</v>
      </c>
      <c r="CN10" s="55" t="e">
        <f t="shared" si="39"/>
        <v>#DIV/0!</v>
      </c>
      <c r="CO10" s="56">
        <v>0</v>
      </c>
      <c r="CP10" s="56">
        <v>0</v>
      </c>
      <c r="CQ10" s="56">
        <v>0</v>
      </c>
      <c r="CR10" s="56">
        <f t="shared" si="40"/>
        <v>0</v>
      </c>
      <c r="CS10" s="56">
        <v>730</v>
      </c>
      <c r="CT10" s="56">
        <v>0</v>
      </c>
      <c r="CU10" s="56">
        <f t="shared" si="41"/>
        <v>730</v>
      </c>
      <c r="CV10" s="56">
        <f t="shared" si="42"/>
        <v>0</v>
      </c>
      <c r="CW10" s="56" t="e">
        <f t="shared" si="43"/>
        <v>#DIV/0!</v>
      </c>
      <c r="CX10" s="57">
        <v>0</v>
      </c>
      <c r="CY10" s="57">
        <v>0</v>
      </c>
      <c r="CZ10" s="57">
        <v>0</v>
      </c>
      <c r="DA10" s="57">
        <f t="shared" si="44"/>
        <v>0</v>
      </c>
      <c r="DB10" s="57">
        <v>600</v>
      </c>
      <c r="DC10" s="57">
        <v>0</v>
      </c>
      <c r="DD10" s="57">
        <f t="shared" si="45"/>
        <v>600</v>
      </c>
      <c r="DE10" s="57">
        <f t="shared" si="46"/>
        <v>0</v>
      </c>
      <c r="DF10" s="57" t="e">
        <f t="shared" si="47"/>
        <v>#DIV/0!</v>
      </c>
    </row>
    <row r="11" spans="1:110" ht="14.25" customHeight="1">
      <c r="A11" s="89"/>
      <c r="B11" s="44"/>
      <c r="C11" s="45">
        <v>0</v>
      </c>
      <c r="D11" s="45">
        <v>0</v>
      </c>
      <c r="E11" s="45">
        <v>0</v>
      </c>
      <c r="F11" s="45">
        <f t="shared" si="0"/>
        <v>0</v>
      </c>
      <c r="G11" s="45">
        <v>900</v>
      </c>
      <c r="H11" s="45">
        <v>0</v>
      </c>
      <c r="I11" s="45">
        <f t="shared" si="1"/>
        <v>900</v>
      </c>
      <c r="J11" s="45">
        <f t="shared" si="2"/>
        <v>0</v>
      </c>
      <c r="K11" s="45" t="e">
        <f t="shared" si="3"/>
        <v>#DIV/0!</v>
      </c>
      <c r="L11" s="47">
        <v>0</v>
      </c>
      <c r="M11" s="47">
        <v>0</v>
      </c>
      <c r="N11" s="47">
        <v>0</v>
      </c>
      <c r="O11" s="47">
        <f t="shared" si="4"/>
        <v>0</v>
      </c>
      <c r="P11" s="47">
        <v>1800</v>
      </c>
      <c r="Q11" s="47">
        <v>0</v>
      </c>
      <c r="R11" s="47">
        <f t="shared" si="5"/>
        <v>1800</v>
      </c>
      <c r="S11" s="47">
        <f t="shared" si="6"/>
        <v>0</v>
      </c>
      <c r="T11" s="47" t="e">
        <f t="shared" si="7"/>
        <v>#DIV/0!</v>
      </c>
      <c r="U11" s="48">
        <v>0</v>
      </c>
      <c r="V11" s="48">
        <v>0</v>
      </c>
      <c r="W11" s="48">
        <v>0</v>
      </c>
      <c r="X11" s="48">
        <f t="shared" si="8"/>
        <v>0</v>
      </c>
      <c r="Y11" s="48">
        <v>910</v>
      </c>
      <c r="Z11" s="48">
        <v>0</v>
      </c>
      <c r="AA11" s="48">
        <f t="shared" si="9"/>
        <v>910</v>
      </c>
      <c r="AB11" s="48">
        <f t="shared" si="10"/>
        <v>0</v>
      </c>
      <c r="AC11" s="48" t="e">
        <f t="shared" si="11"/>
        <v>#DIV/0!</v>
      </c>
      <c r="AD11" s="49">
        <v>0</v>
      </c>
      <c r="AE11" s="49">
        <v>0</v>
      </c>
      <c r="AF11" s="49">
        <v>0</v>
      </c>
      <c r="AG11" s="49">
        <f t="shared" si="12"/>
        <v>0</v>
      </c>
      <c r="AH11" s="49">
        <v>1200</v>
      </c>
      <c r="AI11" s="49">
        <v>0</v>
      </c>
      <c r="AJ11" s="49">
        <f t="shared" si="13"/>
        <v>1200</v>
      </c>
      <c r="AK11" s="49">
        <f t="shared" si="14"/>
        <v>0</v>
      </c>
      <c r="AL11" s="49" t="e">
        <f t="shared" si="15"/>
        <v>#DIV/0!</v>
      </c>
      <c r="AM11" s="50">
        <v>0</v>
      </c>
      <c r="AN11" s="50">
        <v>0</v>
      </c>
      <c r="AO11" s="50">
        <v>0</v>
      </c>
      <c r="AP11" s="50">
        <f t="shared" si="16"/>
        <v>0</v>
      </c>
      <c r="AQ11" s="50">
        <v>600</v>
      </c>
      <c r="AR11" s="50">
        <v>0</v>
      </c>
      <c r="AS11" s="50">
        <f t="shared" si="17"/>
        <v>600</v>
      </c>
      <c r="AT11" s="50">
        <f t="shared" si="18"/>
        <v>0</v>
      </c>
      <c r="AU11" s="50" t="e">
        <f t="shared" si="19"/>
        <v>#DIV/0!</v>
      </c>
      <c r="AV11" s="51">
        <v>0</v>
      </c>
      <c r="AW11" s="51">
        <v>0</v>
      </c>
      <c r="AX11" s="51">
        <v>0</v>
      </c>
      <c r="AY11" s="51">
        <f t="shared" si="20"/>
        <v>0</v>
      </c>
      <c r="AZ11" s="51">
        <v>1500</v>
      </c>
      <c r="BA11" s="51">
        <v>0</v>
      </c>
      <c r="BB11" s="51">
        <f t="shared" si="21"/>
        <v>1500</v>
      </c>
      <c r="BC11" s="51">
        <f t="shared" si="22"/>
        <v>0</v>
      </c>
      <c r="BD11" s="51" t="e">
        <f t="shared" si="23"/>
        <v>#DIV/0!</v>
      </c>
      <c r="BE11" s="52">
        <v>0</v>
      </c>
      <c r="BF11" s="52">
        <v>0</v>
      </c>
      <c r="BG11" s="52">
        <v>0</v>
      </c>
      <c r="BH11" s="52">
        <f t="shared" si="24"/>
        <v>0</v>
      </c>
      <c r="BI11" s="52">
        <v>750</v>
      </c>
      <c r="BJ11" s="52">
        <v>0</v>
      </c>
      <c r="BK11" s="52">
        <f t="shared" si="25"/>
        <v>750</v>
      </c>
      <c r="BL11" s="52">
        <f t="shared" si="26"/>
        <v>0</v>
      </c>
      <c r="BM11" s="52" t="e">
        <f t="shared" si="27"/>
        <v>#DIV/0!</v>
      </c>
      <c r="BN11" s="53">
        <v>0</v>
      </c>
      <c r="BO11" s="53">
        <v>0</v>
      </c>
      <c r="BP11" s="53">
        <v>0</v>
      </c>
      <c r="BQ11" s="53">
        <f t="shared" si="28"/>
        <v>0</v>
      </c>
      <c r="BR11" s="53">
        <v>2450</v>
      </c>
      <c r="BS11" s="53">
        <v>0</v>
      </c>
      <c r="BT11" s="53">
        <f t="shared" si="29"/>
        <v>2450</v>
      </c>
      <c r="BU11" s="53">
        <f t="shared" si="30"/>
        <v>0</v>
      </c>
      <c r="BV11" s="53" t="e">
        <f t="shared" si="31"/>
        <v>#DIV/0!</v>
      </c>
      <c r="BW11" s="54">
        <v>0</v>
      </c>
      <c r="BX11" s="54">
        <v>0</v>
      </c>
      <c r="BY11" s="54">
        <v>0</v>
      </c>
      <c r="BZ11" s="54">
        <f t="shared" si="32"/>
        <v>0</v>
      </c>
      <c r="CA11" s="54">
        <v>750</v>
      </c>
      <c r="CB11" s="54">
        <v>0</v>
      </c>
      <c r="CC11" s="54">
        <f t="shared" si="33"/>
        <v>750</v>
      </c>
      <c r="CD11" s="54">
        <f t="shared" si="34"/>
        <v>0</v>
      </c>
      <c r="CE11" s="54" t="e">
        <f t="shared" si="35"/>
        <v>#DIV/0!</v>
      </c>
      <c r="CF11" s="55">
        <v>0</v>
      </c>
      <c r="CG11" s="55">
        <v>0</v>
      </c>
      <c r="CH11" s="55">
        <v>0</v>
      </c>
      <c r="CI11" s="55">
        <f t="shared" si="36"/>
        <v>0</v>
      </c>
      <c r="CJ11" s="55">
        <v>730</v>
      </c>
      <c r="CK11" s="55">
        <v>0</v>
      </c>
      <c r="CL11" s="55">
        <f t="shared" si="37"/>
        <v>730</v>
      </c>
      <c r="CM11" s="55">
        <f t="shared" si="38"/>
        <v>0</v>
      </c>
      <c r="CN11" s="55" t="e">
        <f t="shared" si="39"/>
        <v>#DIV/0!</v>
      </c>
      <c r="CO11" s="56">
        <v>0</v>
      </c>
      <c r="CP11" s="56">
        <v>0</v>
      </c>
      <c r="CQ11" s="56">
        <v>0</v>
      </c>
      <c r="CR11" s="56">
        <f t="shared" si="40"/>
        <v>0</v>
      </c>
      <c r="CS11" s="56">
        <v>730</v>
      </c>
      <c r="CT11" s="56">
        <v>0</v>
      </c>
      <c r="CU11" s="56">
        <f t="shared" si="41"/>
        <v>730</v>
      </c>
      <c r="CV11" s="56">
        <f t="shared" si="42"/>
        <v>0</v>
      </c>
      <c r="CW11" s="56" t="e">
        <f t="shared" si="43"/>
        <v>#DIV/0!</v>
      </c>
      <c r="CX11" s="57">
        <v>0</v>
      </c>
      <c r="CY11" s="57">
        <v>0</v>
      </c>
      <c r="CZ11" s="57">
        <v>0</v>
      </c>
      <c r="DA11" s="57">
        <f t="shared" si="44"/>
        <v>0</v>
      </c>
      <c r="DB11" s="57">
        <v>600</v>
      </c>
      <c r="DC11" s="57">
        <v>0</v>
      </c>
      <c r="DD11" s="57">
        <f t="shared" si="45"/>
        <v>600</v>
      </c>
      <c r="DE11" s="57">
        <f t="shared" si="46"/>
        <v>0</v>
      </c>
      <c r="DF11" s="57" t="e">
        <f t="shared" si="47"/>
        <v>#DIV/0!</v>
      </c>
    </row>
    <row r="12" spans="1:110" ht="14.25" customHeight="1">
      <c r="A12" s="89"/>
      <c r="B12" s="44"/>
      <c r="C12" s="45">
        <v>0</v>
      </c>
      <c r="D12" s="45">
        <v>0</v>
      </c>
      <c r="E12" s="45">
        <v>0</v>
      </c>
      <c r="F12" s="45">
        <f t="shared" si="0"/>
        <v>0</v>
      </c>
      <c r="G12" s="45">
        <v>900</v>
      </c>
      <c r="H12" s="45">
        <v>0</v>
      </c>
      <c r="I12" s="45">
        <f t="shared" si="1"/>
        <v>900</v>
      </c>
      <c r="J12" s="45">
        <f t="shared" si="2"/>
        <v>0</v>
      </c>
      <c r="K12" s="45" t="e">
        <f t="shared" si="3"/>
        <v>#DIV/0!</v>
      </c>
      <c r="L12" s="47">
        <v>0</v>
      </c>
      <c r="M12" s="47">
        <v>0</v>
      </c>
      <c r="N12" s="47">
        <v>0</v>
      </c>
      <c r="O12" s="47">
        <f t="shared" si="4"/>
        <v>0</v>
      </c>
      <c r="P12" s="47">
        <v>1800</v>
      </c>
      <c r="Q12" s="47">
        <v>0</v>
      </c>
      <c r="R12" s="47">
        <f t="shared" si="5"/>
        <v>1800</v>
      </c>
      <c r="S12" s="47">
        <f t="shared" si="6"/>
        <v>0</v>
      </c>
      <c r="T12" s="47" t="e">
        <f t="shared" si="7"/>
        <v>#DIV/0!</v>
      </c>
      <c r="U12" s="48">
        <v>0</v>
      </c>
      <c r="V12" s="48">
        <v>0</v>
      </c>
      <c r="W12" s="48">
        <v>0</v>
      </c>
      <c r="X12" s="48">
        <f t="shared" si="8"/>
        <v>0</v>
      </c>
      <c r="Y12" s="48">
        <v>910</v>
      </c>
      <c r="Z12" s="48">
        <v>0</v>
      </c>
      <c r="AA12" s="48">
        <f t="shared" si="9"/>
        <v>910</v>
      </c>
      <c r="AB12" s="48">
        <f t="shared" si="10"/>
        <v>0</v>
      </c>
      <c r="AC12" s="48" t="e">
        <f t="shared" si="11"/>
        <v>#DIV/0!</v>
      </c>
      <c r="AD12" s="49">
        <v>0</v>
      </c>
      <c r="AE12" s="49">
        <v>0</v>
      </c>
      <c r="AF12" s="49">
        <v>0</v>
      </c>
      <c r="AG12" s="49">
        <f t="shared" si="12"/>
        <v>0</v>
      </c>
      <c r="AH12" s="49">
        <v>1200</v>
      </c>
      <c r="AI12" s="49">
        <v>0</v>
      </c>
      <c r="AJ12" s="49">
        <f t="shared" si="13"/>
        <v>1200</v>
      </c>
      <c r="AK12" s="49">
        <f t="shared" si="14"/>
        <v>0</v>
      </c>
      <c r="AL12" s="49" t="e">
        <f t="shared" si="15"/>
        <v>#DIV/0!</v>
      </c>
      <c r="AM12" s="50">
        <v>0</v>
      </c>
      <c r="AN12" s="50">
        <v>0</v>
      </c>
      <c r="AO12" s="50">
        <v>0</v>
      </c>
      <c r="AP12" s="50">
        <f t="shared" si="16"/>
        <v>0</v>
      </c>
      <c r="AQ12" s="50">
        <v>600</v>
      </c>
      <c r="AR12" s="50">
        <v>0</v>
      </c>
      <c r="AS12" s="50">
        <f t="shared" si="17"/>
        <v>600</v>
      </c>
      <c r="AT12" s="50">
        <f t="shared" si="18"/>
        <v>0</v>
      </c>
      <c r="AU12" s="50" t="e">
        <f t="shared" si="19"/>
        <v>#DIV/0!</v>
      </c>
      <c r="AV12" s="51">
        <v>0</v>
      </c>
      <c r="AW12" s="51">
        <v>0</v>
      </c>
      <c r="AX12" s="51">
        <v>0</v>
      </c>
      <c r="AY12" s="51">
        <f t="shared" si="20"/>
        <v>0</v>
      </c>
      <c r="AZ12" s="51">
        <v>1500</v>
      </c>
      <c r="BA12" s="51">
        <v>0</v>
      </c>
      <c r="BB12" s="51">
        <f t="shared" si="21"/>
        <v>1500</v>
      </c>
      <c r="BC12" s="51">
        <f t="shared" si="22"/>
        <v>0</v>
      </c>
      <c r="BD12" s="51" t="e">
        <f t="shared" si="23"/>
        <v>#DIV/0!</v>
      </c>
      <c r="BE12" s="52">
        <v>0</v>
      </c>
      <c r="BF12" s="52">
        <v>0</v>
      </c>
      <c r="BG12" s="52">
        <v>0</v>
      </c>
      <c r="BH12" s="52">
        <f t="shared" si="24"/>
        <v>0</v>
      </c>
      <c r="BI12" s="52">
        <v>750</v>
      </c>
      <c r="BJ12" s="52">
        <v>0</v>
      </c>
      <c r="BK12" s="52">
        <f t="shared" si="25"/>
        <v>750</v>
      </c>
      <c r="BL12" s="52">
        <f t="shared" si="26"/>
        <v>0</v>
      </c>
      <c r="BM12" s="52" t="e">
        <f t="shared" si="27"/>
        <v>#DIV/0!</v>
      </c>
      <c r="BN12" s="53">
        <v>0</v>
      </c>
      <c r="BO12" s="53">
        <v>0</v>
      </c>
      <c r="BP12" s="53">
        <v>0</v>
      </c>
      <c r="BQ12" s="53">
        <f t="shared" si="28"/>
        <v>0</v>
      </c>
      <c r="BR12" s="53">
        <v>2450</v>
      </c>
      <c r="BS12" s="53">
        <v>0</v>
      </c>
      <c r="BT12" s="53">
        <f t="shared" si="29"/>
        <v>2450</v>
      </c>
      <c r="BU12" s="53">
        <f t="shared" si="30"/>
        <v>0</v>
      </c>
      <c r="BV12" s="53" t="e">
        <f t="shared" si="31"/>
        <v>#DIV/0!</v>
      </c>
      <c r="BW12" s="54">
        <v>0</v>
      </c>
      <c r="BX12" s="54">
        <v>0</v>
      </c>
      <c r="BY12" s="54">
        <v>0</v>
      </c>
      <c r="BZ12" s="54">
        <f t="shared" si="32"/>
        <v>0</v>
      </c>
      <c r="CA12" s="54">
        <v>750</v>
      </c>
      <c r="CB12" s="54">
        <v>0</v>
      </c>
      <c r="CC12" s="54">
        <f t="shared" si="33"/>
        <v>750</v>
      </c>
      <c r="CD12" s="54">
        <f t="shared" si="34"/>
        <v>0</v>
      </c>
      <c r="CE12" s="54" t="e">
        <f t="shared" si="35"/>
        <v>#DIV/0!</v>
      </c>
      <c r="CF12" s="55">
        <v>0</v>
      </c>
      <c r="CG12" s="55">
        <v>0</v>
      </c>
      <c r="CH12" s="55">
        <v>0</v>
      </c>
      <c r="CI12" s="55">
        <f t="shared" si="36"/>
        <v>0</v>
      </c>
      <c r="CJ12" s="55">
        <v>730</v>
      </c>
      <c r="CK12" s="55">
        <v>0</v>
      </c>
      <c r="CL12" s="55">
        <f t="shared" si="37"/>
        <v>730</v>
      </c>
      <c r="CM12" s="55">
        <f t="shared" si="38"/>
        <v>0</v>
      </c>
      <c r="CN12" s="55" t="e">
        <f t="shared" si="39"/>
        <v>#DIV/0!</v>
      </c>
      <c r="CO12" s="56">
        <v>0</v>
      </c>
      <c r="CP12" s="56">
        <v>0</v>
      </c>
      <c r="CQ12" s="56">
        <v>0</v>
      </c>
      <c r="CR12" s="56">
        <f t="shared" si="40"/>
        <v>0</v>
      </c>
      <c r="CS12" s="56">
        <v>730</v>
      </c>
      <c r="CT12" s="56">
        <v>0</v>
      </c>
      <c r="CU12" s="56">
        <f t="shared" si="41"/>
        <v>730</v>
      </c>
      <c r="CV12" s="56">
        <f t="shared" si="42"/>
        <v>0</v>
      </c>
      <c r="CW12" s="56" t="e">
        <f t="shared" si="43"/>
        <v>#DIV/0!</v>
      </c>
      <c r="CX12" s="57">
        <v>0</v>
      </c>
      <c r="CY12" s="57">
        <v>0</v>
      </c>
      <c r="CZ12" s="57">
        <v>0</v>
      </c>
      <c r="DA12" s="57">
        <f t="shared" si="44"/>
        <v>0</v>
      </c>
      <c r="DB12" s="57">
        <v>600</v>
      </c>
      <c r="DC12" s="57">
        <v>0</v>
      </c>
      <c r="DD12" s="57">
        <f t="shared" si="45"/>
        <v>600</v>
      </c>
      <c r="DE12" s="57">
        <f t="shared" si="46"/>
        <v>0</v>
      </c>
      <c r="DF12" s="57" t="e">
        <f t="shared" si="47"/>
        <v>#DIV/0!</v>
      </c>
    </row>
    <row r="13" spans="1:110" ht="14.25" customHeight="1">
      <c r="A13" s="89"/>
      <c r="B13" s="44"/>
      <c r="C13" s="45">
        <v>0</v>
      </c>
      <c r="D13" s="45">
        <v>0</v>
      </c>
      <c r="E13" s="45">
        <v>0</v>
      </c>
      <c r="F13" s="45">
        <f t="shared" si="0"/>
        <v>0</v>
      </c>
      <c r="G13" s="45">
        <v>900</v>
      </c>
      <c r="H13" s="45">
        <v>0</v>
      </c>
      <c r="I13" s="45">
        <f t="shared" si="1"/>
        <v>900</v>
      </c>
      <c r="J13" s="45">
        <f t="shared" si="2"/>
        <v>0</v>
      </c>
      <c r="K13" s="45" t="e">
        <f t="shared" si="3"/>
        <v>#DIV/0!</v>
      </c>
      <c r="L13" s="47">
        <v>0</v>
      </c>
      <c r="M13" s="47">
        <v>0</v>
      </c>
      <c r="N13" s="47">
        <v>0</v>
      </c>
      <c r="O13" s="47">
        <f t="shared" si="4"/>
        <v>0</v>
      </c>
      <c r="P13" s="47">
        <v>1800</v>
      </c>
      <c r="Q13" s="47">
        <v>0</v>
      </c>
      <c r="R13" s="47">
        <f t="shared" si="5"/>
        <v>1800</v>
      </c>
      <c r="S13" s="47">
        <f t="shared" si="6"/>
        <v>0</v>
      </c>
      <c r="T13" s="47" t="e">
        <f t="shared" si="7"/>
        <v>#DIV/0!</v>
      </c>
      <c r="U13" s="48">
        <v>0</v>
      </c>
      <c r="V13" s="48">
        <v>0</v>
      </c>
      <c r="W13" s="48">
        <v>0</v>
      </c>
      <c r="X13" s="48">
        <f t="shared" si="8"/>
        <v>0</v>
      </c>
      <c r="Y13" s="48">
        <v>910</v>
      </c>
      <c r="Z13" s="48">
        <v>0</v>
      </c>
      <c r="AA13" s="48">
        <f t="shared" si="9"/>
        <v>910</v>
      </c>
      <c r="AB13" s="48">
        <f t="shared" si="10"/>
        <v>0</v>
      </c>
      <c r="AC13" s="48" t="e">
        <f t="shared" si="11"/>
        <v>#DIV/0!</v>
      </c>
      <c r="AD13" s="49">
        <v>0</v>
      </c>
      <c r="AE13" s="49">
        <v>0</v>
      </c>
      <c r="AF13" s="49">
        <v>0</v>
      </c>
      <c r="AG13" s="49">
        <f t="shared" si="12"/>
        <v>0</v>
      </c>
      <c r="AH13" s="49">
        <v>1200</v>
      </c>
      <c r="AI13" s="49">
        <v>0</v>
      </c>
      <c r="AJ13" s="49">
        <f t="shared" si="13"/>
        <v>1200</v>
      </c>
      <c r="AK13" s="49">
        <f t="shared" si="14"/>
        <v>0</v>
      </c>
      <c r="AL13" s="49" t="e">
        <f t="shared" si="15"/>
        <v>#DIV/0!</v>
      </c>
      <c r="AM13" s="50">
        <v>0</v>
      </c>
      <c r="AN13" s="50">
        <v>0</v>
      </c>
      <c r="AO13" s="50">
        <v>0</v>
      </c>
      <c r="AP13" s="50">
        <f t="shared" si="16"/>
        <v>0</v>
      </c>
      <c r="AQ13" s="50">
        <v>600</v>
      </c>
      <c r="AR13" s="50">
        <v>0</v>
      </c>
      <c r="AS13" s="50">
        <f t="shared" si="17"/>
        <v>600</v>
      </c>
      <c r="AT13" s="50">
        <f t="shared" si="18"/>
        <v>0</v>
      </c>
      <c r="AU13" s="50" t="e">
        <f t="shared" si="19"/>
        <v>#DIV/0!</v>
      </c>
      <c r="AV13" s="51">
        <v>0</v>
      </c>
      <c r="AW13" s="51">
        <v>0</v>
      </c>
      <c r="AX13" s="51">
        <v>0</v>
      </c>
      <c r="AY13" s="51">
        <f t="shared" si="20"/>
        <v>0</v>
      </c>
      <c r="AZ13" s="51">
        <v>1500</v>
      </c>
      <c r="BA13" s="51">
        <v>0</v>
      </c>
      <c r="BB13" s="51">
        <f t="shared" si="21"/>
        <v>1500</v>
      </c>
      <c r="BC13" s="51">
        <f t="shared" si="22"/>
        <v>0</v>
      </c>
      <c r="BD13" s="51" t="e">
        <f t="shared" si="23"/>
        <v>#DIV/0!</v>
      </c>
      <c r="BE13" s="52">
        <v>0</v>
      </c>
      <c r="BF13" s="52">
        <v>0</v>
      </c>
      <c r="BG13" s="52">
        <v>0</v>
      </c>
      <c r="BH13" s="52">
        <f t="shared" si="24"/>
        <v>0</v>
      </c>
      <c r="BI13" s="52">
        <v>750</v>
      </c>
      <c r="BJ13" s="52">
        <v>0</v>
      </c>
      <c r="BK13" s="52">
        <f t="shared" si="25"/>
        <v>750</v>
      </c>
      <c r="BL13" s="52">
        <f t="shared" si="26"/>
        <v>0</v>
      </c>
      <c r="BM13" s="52" t="e">
        <f t="shared" si="27"/>
        <v>#DIV/0!</v>
      </c>
      <c r="BN13" s="53">
        <v>0</v>
      </c>
      <c r="BO13" s="53">
        <v>0</v>
      </c>
      <c r="BP13" s="53">
        <v>0</v>
      </c>
      <c r="BQ13" s="53">
        <f t="shared" si="28"/>
        <v>0</v>
      </c>
      <c r="BR13" s="53">
        <v>2450</v>
      </c>
      <c r="BS13" s="53">
        <v>0</v>
      </c>
      <c r="BT13" s="53">
        <f t="shared" si="29"/>
        <v>2450</v>
      </c>
      <c r="BU13" s="53">
        <f t="shared" si="30"/>
        <v>0</v>
      </c>
      <c r="BV13" s="53" t="e">
        <f t="shared" si="31"/>
        <v>#DIV/0!</v>
      </c>
      <c r="BW13" s="54">
        <v>0</v>
      </c>
      <c r="BX13" s="54">
        <v>0</v>
      </c>
      <c r="BY13" s="54">
        <v>0</v>
      </c>
      <c r="BZ13" s="54">
        <f t="shared" si="32"/>
        <v>0</v>
      </c>
      <c r="CA13" s="54">
        <v>750</v>
      </c>
      <c r="CB13" s="54">
        <v>0</v>
      </c>
      <c r="CC13" s="54">
        <f t="shared" si="33"/>
        <v>750</v>
      </c>
      <c r="CD13" s="54">
        <f t="shared" si="34"/>
        <v>0</v>
      </c>
      <c r="CE13" s="54" t="e">
        <f t="shared" si="35"/>
        <v>#DIV/0!</v>
      </c>
      <c r="CF13" s="55">
        <v>0</v>
      </c>
      <c r="CG13" s="55">
        <v>0</v>
      </c>
      <c r="CH13" s="55">
        <v>0</v>
      </c>
      <c r="CI13" s="55">
        <f t="shared" si="36"/>
        <v>0</v>
      </c>
      <c r="CJ13" s="55">
        <v>730</v>
      </c>
      <c r="CK13" s="55">
        <v>0</v>
      </c>
      <c r="CL13" s="55">
        <f t="shared" si="37"/>
        <v>730</v>
      </c>
      <c r="CM13" s="55">
        <f t="shared" si="38"/>
        <v>0</v>
      </c>
      <c r="CN13" s="55" t="e">
        <f t="shared" si="39"/>
        <v>#DIV/0!</v>
      </c>
      <c r="CO13" s="56">
        <v>0</v>
      </c>
      <c r="CP13" s="56">
        <v>0</v>
      </c>
      <c r="CQ13" s="56">
        <v>0</v>
      </c>
      <c r="CR13" s="56">
        <f t="shared" si="40"/>
        <v>0</v>
      </c>
      <c r="CS13" s="56">
        <v>730</v>
      </c>
      <c r="CT13" s="56">
        <v>0</v>
      </c>
      <c r="CU13" s="56">
        <f t="shared" si="41"/>
        <v>730</v>
      </c>
      <c r="CV13" s="56">
        <f t="shared" si="42"/>
        <v>0</v>
      </c>
      <c r="CW13" s="56" t="e">
        <f t="shared" si="43"/>
        <v>#DIV/0!</v>
      </c>
      <c r="CX13" s="57">
        <v>0</v>
      </c>
      <c r="CY13" s="57">
        <v>0</v>
      </c>
      <c r="CZ13" s="57">
        <v>0</v>
      </c>
      <c r="DA13" s="57">
        <f t="shared" si="44"/>
        <v>0</v>
      </c>
      <c r="DB13" s="57">
        <v>600</v>
      </c>
      <c r="DC13" s="57">
        <v>0</v>
      </c>
      <c r="DD13" s="57">
        <f t="shared" si="45"/>
        <v>600</v>
      </c>
      <c r="DE13" s="57">
        <f t="shared" si="46"/>
        <v>0</v>
      </c>
      <c r="DF13" s="57" t="e">
        <f t="shared" si="47"/>
        <v>#DIV/0!</v>
      </c>
    </row>
    <row r="14" spans="1:110" ht="14.25" customHeight="1">
      <c r="A14" s="89"/>
      <c r="B14" s="44"/>
      <c r="C14" s="45">
        <v>0</v>
      </c>
      <c r="D14" s="45">
        <v>0</v>
      </c>
      <c r="E14" s="45">
        <v>0</v>
      </c>
      <c r="F14" s="45">
        <f t="shared" si="0"/>
        <v>0</v>
      </c>
      <c r="G14" s="45">
        <v>900</v>
      </c>
      <c r="H14" s="45">
        <v>0</v>
      </c>
      <c r="I14" s="45">
        <f t="shared" si="1"/>
        <v>900</v>
      </c>
      <c r="J14" s="45">
        <f t="shared" si="2"/>
        <v>0</v>
      </c>
      <c r="K14" s="45" t="e">
        <f t="shared" si="3"/>
        <v>#DIV/0!</v>
      </c>
      <c r="L14" s="47">
        <v>0</v>
      </c>
      <c r="M14" s="47">
        <v>0</v>
      </c>
      <c r="N14" s="47">
        <v>0</v>
      </c>
      <c r="O14" s="47">
        <f t="shared" si="4"/>
        <v>0</v>
      </c>
      <c r="P14" s="47">
        <v>1800</v>
      </c>
      <c r="Q14" s="47">
        <v>0</v>
      </c>
      <c r="R14" s="47">
        <f t="shared" si="5"/>
        <v>1800</v>
      </c>
      <c r="S14" s="47">
        <f t="shared" si="6"/>
        <v>0</v>
      </c>
      <c r="T14" s="47" t="e">
        <f t="shared" si="7"/>
        <v>#DIV/0!</v>
      </c>
      <c r="U14" s="48">
        <v>0</v>
      </c>
      <c r="V14" s="48">
        <v>0</v>
      </c>
      <c r="W14" s="48">
        <v>0</v>
      </c>
      <c r="X14" s="48">
        <f t="shared" si="8"/>
        <v>0</v>
      </c>
      <c r="Y14" s="48">
        <v>910</v>
      </c>
      <c r="Z14" s="48">
        <v>0</v>
      </c>
      <c r="AA14" s="48">
        <f t="shared" si="9"/>
        <v>910</v>
      </c>
      <c r="AB14" s="48">
        <f t="shared" si="10"/>
        <v>0</v>
      </c>
      <c r="AC14" s="48" t="e">
        <f t="shared" si="11"/>
        <v>#DIV/0!</v>
      </c>
      <c r="AD14" s="49">
        <v>0</v>
      </c>
      <c r="AE14" s="49">
        <v>0</v>
      </c>
      <c r="AF14" s="49">
        <v>0</v>
      </c>
      <c r="AG14" s="49">
        <f t="shared" si="12"/>
        <v>0</v>
      </c>
      <c r="AH14" s="49">
        <v>1200</v>
      </c>
      <c r="AI14" s="49">
        <v>0</v>
      </c>
      <c r="AJ14" s="49">
        <f t="shared" si="13"/>
        <v>1200</v>
      </c>
      <c r="AK14" s="49">
        <f t="shared" si="14"/>
        <v>0</v>
      </c>
      <c r="AL14" s="49" t="e">
        <f t="shared" si="15"/>
        <v>#DIV/0!</v>
      </c>
      <c r="AM14" s="50">
        <v>0</v>
      </c>
      <c r="AN14" s="50">
        <v>0</v>
      </c>
      <c r="AO14" s="50">
        <v>0</v>
      </c>
      <c r="AP14" s="50">
        <f t="shared" si="16"/>
        <v>0</v>
      </c>
      <c r="AQ14" s="50">
        <v>600</v>
      </c>
      <c r="AR14" s="50">
        <v>0</v>
      </c>
      <c r="AS14" s="50">
        <f t="shared" si="17"/>
        <v>600</v>
      </c>
      <c r="AT14" s="50">
        <f t="shared" si="18"/>
        <v>0</v>
      </c>
      <c r="AU14" s="50" t="e">
        <f t="shared" si="19"/>
        <v>#DIV/0!</v>
      </c>
      <c r="AV14" s="51">
        <v>0</v>
      </c>
      <c r="AW14" s="51">
        <v>0</v>
      </c>
      <c r="AX14" s="51">
        <v>0</v>
      </c>
      <c r="AY14" s="51">
        <f t="shared" si="20"/>
        <v>0</v>
      </c>
      <c r="AZ14" s="51">
        <v>1500</v>
      </c>
      <c r="BA14" s="51">
        <v>0</v>
      </c>
      <c r="BB14" s="51">
        <f t="shared" si="21"/>
        <v>1500</v>
      </c>
      <c r="BC14" s="51">
        <f t="shared" si="22"/>
        <v>0</v>
      </c>
      <c r="BD14" s="51" t="e">
        <f t="shared" si="23"/>
        <v>#DIV/0!</v>
      </c>
      <c r="BE14" s="52">
        <v>0</v>
      </c>
      <c r="BF14" s="52">
        <v>0</v>
      </c>
      <c r="BG14" s="52">
        <v>0</v>
      </c>
      <c r="BH14" s="52">
        <f t="shared" si="24"/>
        <v>0</v>
      </c>
      <c r="BI14" s="52">
        <v>750</v>
      </c>
      <c r="BJ14" s="52">
        <v>0</v>
      </c>
      <c r="BK14" s="52">
        <f t="shared" si="25"/>
        <v>750</v>
      </c>
      <c r="BL14" s="52">
        <f t="shared" si="26"/>
        <v>0</v>
      </c>
      <c r="BM14" s="52" t="e">
        <f t="shared" si="27"/>
        <v>#DIV/0!</v>
      </c>
      <c r="BN14" s="53">
        <v>0</v>
      </c>
      <c r="BO14" s="53">
        <v>0</v>
      </c>
      <c r="BP14" s="53">
        <v>0</v>
      </c>
      <c r="BQ14" s="53">
        <f t="shared" si="28"/>
        <v>0</v>
      </c>
      <c r="BR14" s="53">
        <v>2450</v>
      </c>
      <c r="BS14" s="53">
        <v>0</v>
      </c>
      <c r="BT14" s="53">
        <f t="shared" si="29"/>
        <v>2450</v>
      </c>
      <c r="BU14" s="53">
        <f t="shared" si="30"/>
        <v>0</v>
      </c>
      <c r="BV14" s="53" t="e">
        <f t="shared" si="31"/>
        <v>#DIV/0!</v>
      </c>
      <c r="BW14" s="54">
        <v>0</v>
      </c>
      <c r="BX14" s="54">
        <v>0</v>
      </c>
      <c r="BY14" s="54">
        <v>0</v>
      </c>
      <c r="BZ14" s="54">
        <f t="shared" si="32"/>
        <v>0</v>
      </c>
      <c r="CA14" s="54">
        <v>750</v>
      </c>
      <c r="CB14" s="54">
        <v>0</v>
      </c>
      <c r="CC14" s="54">
        <f t="shared" si="33"/>
        <v>750</v>
      </c>
      <c r="CD14" s="54">
        <f t="shared" si="34"/>
        <v>0</v>
      </c>
      <c r="CE14" s="54" t="e">
        <f t="shared" si="35"/>
        <v>#DIV/0!</v>
      </c>
      <c r="CF14" s="55">
        <v>0</v>
      </c>
      <c r="CG14" s="55">
        <v>0</v>
      </c>
      <c r="CH14" s="55">
        <v>0</v>
      </c>
      <c r="CI14" s="55">
        <f t="shared" si="36"/>
        <v>0</v>
      </c>
      <c r="CJ14" s="55">
        <v>730</v>
      </c>
      <c r="CK14" s="55">
        <v>0</v>
      </c>
      <c r="CL14" s="55">
        <f t="shared" si="37"/>
        <v>730</v>
      </c>
      <c r="CM14" s="55">
        <f t="shared" si="38"/>
        <v>0</v>
      </c>
      <c r="CN14" s="55" t="e">
        <f t="shared" si="39"/>
        <v>#DIV/0!</v>
      </c>
      <c r="CO14" s="56">
        <v>0</v>
      </c>
      <c r="CP14" s="56">
        <v>0</v>
      </c>
      <c r="CQ14" s="56">
        <v>0</v>
      </c>
      <c r="CR14" s="56">
        <f t="shared" si="40"/>
        <v>0</v>
      </c>
      <c r="CS14" s="56">
        <v>730</v>
      </c>
      <c r="CT14" s="56">
        <v>0</v>
      </c>
      <c r="CU14" s="56">
        <f t="shared" si="41"/>
        <v>730</v>
      </c>
      <c r="CV14" s="56">
        <f t="shared" si="42"/>
        <v>0</v>
      </c>
      <c r="CW14" s="56" t="e">
        <f t="shared" si="43"/>
        <v>#DIV/0!</v>
      </c>
      <c r="CX14" s="57">
        <v>0</v>
      </c>
      <c r="CY14" s="57">
        <v>0</v>
      </c>
      <c r="CZ14" s="57">
        <v>0</v>
      </c>
      <c r="DA14" s="57">
        <f t="shared" si="44"/>
        <v>0</v>
      </c>
      <c r="DB14" s="57">
        <v>600</v>
      </c>
      <c r="DC14" s="57">
        <v>0</v>
      </c>
      <c r="DD14" s="57">
        <f t="shared" si="45"/>
        <v>600</v>
      </c>
      <c r="DE14" s="57">
        <f t="shared" si="46"/>
        <v>0</v>
      </c>
      <c r="DF14" s="57" t="e">
        <f t="shared" si="47"/>
        <v>#DIV/0!</v>
      </c>
    </row>
    <row r="15" spans="1:110" ht="14.25" customHeight="1">
      <c r="A15" s="89"/>
      <c r="B15" s="44"/>
      <c r="C15" s="45">
        <v>0</v>
      </c>
      <c r="D15" s="45">
        <v>0</v>
      </c>
      <c r="E15" s="45">
        <v>0</v>
      </c>
      <c r="F15" s="45">
        <f t="shared" si="0"/>
        <v>0</v>
      </c>
      <c r="G15" s="45">
        <v>900</v>
      </c>
      <c r="H15" s="45">
        <v>0</v>
      </c>
      <c r="I15" s="45">
        <f t="shared" si="1"/>
        <v>900</v>
      </c>
      <c r="J15" s="45">
        <f t="shared" si="2"/>
        <v>0</v>
      </c>
      <c r="K15" s="45" t="e">
        <f t="shared" si="3"/>
        <v>#DIV/0!</v>
      </c>
      <c r="L15" s="47">
        <v>0</v>
      </c>
      <c r="M15" s="47">
        <v>0</v>
      </c>
      <c r="N15" s="47">
        <v>0</v>
      </c>
      <c r="O15" s="47">
        <f t="shared" si="4"/>
        <v>0</v>
      </c>
      <c r="P15" s="47">
        <v>1800</v>
      </c>
      <c r="Q15" s="47">
        <v>0</v>
      </c>
      <c r="R15" s="47">
        <f t="shared" si="5"/>
        <v>1800</v>
      </c>
      <c r="S15" s="47">
        <f t="shared" si="6"/>
        <v>0</v>
      </c>
      <c r="T15" s="47" t="e">
        <f t="shared" si="7"/>
        <v>#DIV/0!</v>
      </c>
      <c r="U15" s="48">
        <v>0</v>
      </c>
      <c r="V15" s="48">
        <v>0</v>
      </c>
      <c r="W15" s="48">
        <v>0</v>
      </c>
      <c r="X15" s="48">
        <f t="shared" si="8"/>
        <v>0</v>
      </c>
      <c r="Y15" s="48">
        <v>910</v>
      </c>
      <c r="Z15" s="48">
        <v>0</v>
      </c>
      <c r="AA15" s="48">
        <f t="shared" si="9"/>
        <v>910</v>
      </c>
      <c r="AB15" s="48">
        <f t="shared" si="10"/>
        <v>0</v>
      </c>
      <c r="AC15" s="48" t="e">
        <f t="shared" si="11"/>
        <v>#DIV/0!</v>
      </c>
      <c r="AD15" s="49">
        <v>0</v>
      </c>
      <c r="AE15" s="49">
        <v>0</v>
      </c>
      <c r="AF15" s="49">
        <v>0</v>
      </c>
      <c r="AG15" s="49">
        <f t="shared" si="12"/>
        <v>0</v>
      </c>
      <c r="AH15" s="49">
        <v>1200</v>
      </c>
      <c r="AI15" s="49">
        <v>0</v>
      </c>
      <c r="AJ15" s="49">
        <f t="shared" si="13"/>
        <v>1200</v>
      </c>
      <c r="AK15" s="49">
        <f t="shared" si="14"/>
        <v>0</v>
      </c>
      <c r="AL15" s="49" t="e">
        <f t="shared" si="15"/>
        <v>#DIV/0!</v>
      </c>
      <c r="AM15" s="50">
        <v>0</v>
      </c>
      <c r="AN15" s="50">
        <v>0</v>
      </c>
      <c r="AO15" s="50">
        <v>0</v>
      </c>
      <c r="AP15" s="50">
        <f t="shared" si="16"/>
        <v>0</v>
      </c>
      <c r="AQ15" s="50">
        <v>600</v>
      </c>
      <c r="AR15" s="50">
        <v>0</v>
      </c>
      <c r="AS15" s="50">
        <f t="shared" si="17"/>
        <v>600</v>
      </c>
      <c r="AT15" s="50">
        <f t="shared" si="18"/>
        <v>0</v>
      </c>
      <c r="AU15" s="50" t="e">
        <f t="shared" si="19"/>
        <v>#DIV/0!</v>
      </c>
      <c r="AV15" s="51">
        <v>0</v>
      </c>
      <c r="AW15" s="51">
        <v>0</v>
      </c>
      <c r="AX15" s="51">
        <v>0</v>
      </c>
      <c r="AY15" s="51">
        <f t="shared" si="20"/>
        <v>0</v>
      </c>
      <c r="AZ15" s="51">
        <v>1500</v>
      </c>
      <c r="BA15" s="51">
        <v>0</v>
      </c>
      <c r="BB15" s="51">
        <f t="shared" si="21"/>
        <v>1500</v>
      </c>
      <c r="BC15" s="51">
        <f t="shared" si="22"/>
        <v>0</v>
      </c>
      <c r="BD15" s="51" t="e">
        <f t="shared" si="23"/>
        <v>#DIV/0!</v>
      </c>
      <c r="BE15" s="52">
        <v>0</v>
      </c>
      <c r="BF15" s="52">
        <v>0</v>
      </c>
      <c r="BG15" s="52">
        <v>0</v>
      </c>
      <c r="BH15" s="52">
        <f t="shared" si="24"/>
        <v>0</v>
      </c>
      <c r="BI15" s="52">
        <v>750</v>
      </c>
      <c r="BJ15" s="52">
        <v>0</v>
      </c>
      <c r="BK15" s="52">
        <f t="shared" si="25"/>
        <v>750</v>
      </c>
      <c r="BL15" s="52">
        <f t="shared" si="26"/>
        <v>0</v>
      </c>
      <c r="BM15" s="52" t="e">
        <f t="shared" si="27"/>
        <v>#DIV/0!</v>
      </c>
      <c r="BN15" s="53">
        <v>0</v>
      </c>
      <c r="BO15" s="53">
        <v>0</v>
      </c>
      <c r="BP15" s="53">
        <v>0</v>
      </c>
      <c r="BQ15" s="53">
        <f t="shared" si="28"/>
        <v>0</v>
      </c>
      <c r="BR15" s="53">
        <v>2450</v>
      </c>
      <c r="BS15" s="53">
        <v>0</v>
      </c>
      <c r="BT15" s="53">
        <f t="shared" si="29"/>
        <v>2450</v>
      </c>
      <c r="BU15" s="53">
        <f t="shared" si="30"/>
        <v>0</v>
      </c>
      <c r="BV15" s="53" t="e">
        <f t="shared" si="31"/>
        <v>#DIV/0!</v>
      </c>
      <c r="BW15" s="54">
        <v>0</v>
      </c>
      <c r="BX15" s="54">
        <v>0</v>
      </c>
      <c r="BY15" s="54">
        <v>0</v>
      </c>
      <c r="BZ15" s="54">
        <f t="shared" si="32"/>
        <v>0</v>
      </c>
      <c r="CA15" s="54">
        <v>750</v>
      </c>
      <c r="CB15" s="54">
        <v>0</v>
      </c>
      <c r="CC15" s="54">
        <f t="shared" si="33"/>
        <v>750</v>
      </c>
      <c r="CD15" s="54">
        <f t="shared" si="34"/>
        <v>0</v>
      </c>
      <c r="CE15" s="54" t="e">
        <f t="shared" si="35"/>
        <v>#DIV/0!</v>
      </c>
      <c r="CF15" s="55">
        <v>0</v>
      </c>
      <c r="CG15" s="55">
        <v>0</v>
      </c>
      <c r="CH15" s="55">
        <v>0</v>
      </c>
      <c r="CI15" s="55">
        <f t="shared" si="36"/>
        <v>0</v>
      </c>
      <c r="CJ15" s="55">
        <v>730</v>
      </c>
      <c r="CK15" s="55">
        <v>0</v>
      </c>
      <c r="CL15" s="55">
        <f t="shared" si="37"/>
        <v>730</v>
      </c>
      <c r="CM15" s="55">
        <f t="shared" si="38"/>
        <v>0</v>
      </c>
      <c r="CN15" s="55" t="e">
        <f t="shared" si="39"/>
        <v>#DIV/0!</v>
      </c>
      <c r="CO15" s="56">
        <v>0</v>
      </c>
      <c r="CP15" s="56">
        <v>0</v>
      </c>
      <c r="CQ15" s="56">
        <v>0</v>
      </c>
      <c r="CR15" s="56">
        <f t="shared" si="40"/>
        <v>0</v>
      </c>
      <c r="CS15" s="56">
        <v>730</v>
      </c>
      <c r="CT15" s="56">
        <v>0</v>
      </c>
      <c r="CU15" s="56">
        <f t="shared" si="41"/>
        <v>730</v>
      </c>
      <c r="CV15" s="56">
        <f t="shared" si="42"/>
        <v>0</v>
      </c>
      <c r="CW15" s="56" t="e">
        <f t="shared" si="43"/>
        <v>#DIV/0!</v>
      </c>
      <c r="CX15" s="57">
        <v>0</v>
      </c>
      <c r="CY15" s="57">
        <v>0</v>
      </c>
      <c r="CZ15" s="57">
        <v>0</v>
      </c>
      <c r="DA15" s="57">
        <f t="shared" si="44"/>
        <v>0</v>
      </c>
      <c r="DB15" s="57">
        <v>600</v>
      </c>
      <c r="DC15" s="57">
        <v>0</v>
      </c>
      <c r="DD15" s="57">
        <f t="shared" si="45"/>
        <v>600</v>
      </c>
      <c r="DE15" s="57">
        <f t="shared" si="46"/>
        <v>0</v>
      </c>
      <c r="DF15" s="57" t="e">
        <f t="shared" si="47"/>
        <v>#DIV/0!</v>
      </c>
    </row>
    <row r="16" spans="1:110" ht="14.25" customHeight="1">
      <c r="A16" s="89"/>
      <c r="B16" s="44"/>
      <c r="C16" s="45">
        <v>0</v>
      </c>
      <c r="D16" s="45">
        <v>0</v>
      </c>
      <c r="E16" s="45">
        <v>0</v>
      </c>
      <c r="F16" s="45">
        <f t="shared" si="0"/>
        <v>0</v>
      </c>
      <c r="G16" s="45">
        <v>900</v>
      </c>
      <c r="H16" s="45">
        <v>0</v>
      </c>
      <c r="I16" s="45">
        <f t="shared" si="1"/>
        <v>900</v>
      </c>
      <c r="J16" s="45">
        <f t="shared" si="2"/>
        <v>0</v>
      </c>
      <c r="K16" s="45" t="e">
        <f t="shared" si="3"/>
        <v>#DIV/0!</v>
      </c>
      <c r="L16" s="47">
        <v>0</v>
      </c>
      <c r="M16" s="47">
        <v>0</v>
      </c>
      <c r="N16" s="47">
        <v>0</v>
      </c>
      <c r="O16" s="47">
        <f t="shared" si="4"/>
        <v>0</v>
      </c>
      <c r="P16" s="47">
        <v>1800</v>
      </c>
      <c r="Q16" s="47">
        <v>0</v>
      </c>
      <c r="R16" s="47">
        <f t="shared" si="5"/>
        <v>1800</v>
      </c>
      <c r="S16" s="47">
        <f t="shared" si="6"/>
        <v>0</v>
      </c>
      <c r="T16" s="47" t="e">
        <f t="shared" si="7"/>
        <v>#DIV/0!</v>
      </c>
      <c r="U16" s="48">
        <v>0</v>
      </c>
      <c r="V16" s="48">
        <v>0</v>
      </c>
      <c r="W16" s="48">
        <v>0</v>
      </c>
      <c r="X16" s="48">
        <f t="shared" si="8"/>
        <v>0</v>
      </c>
      <c r="Y16" s="48">
        <v>910</v>
      </c>
      <c r="Z16" s="48">
        <v>0</v>
      </c>
      <c r="AA16" s="48">
        <f t="shared" si="9"/>
        <v>910</v>
      </c>
      <c r="AB16" s="48">
        <f t="shared" si="10"/>
        <v>0</v>
      </c>
      <c r="AC16" s="48" t="e">
        <f t="shared" si="11"/>
        <v>#DIV/0!</v>
      </c>
      <c r="AD16" s="49">
        <v>0</v>
      </c>
      <c r="AE16" s="49">
        <v>0</v>
      </c>
      <c r="AF16" s="49">
        <v>0</v>
      </c>
      <c r="AG16" s="49">
        <f t="shared" si="12"/>
        <v>0</v>
      </c>
      <c r="AH16" s="49">
        <v>1200</v>
      </c>
      <c r="AI16" s="49">
        <v>0</v>
      </c>
      <c r="AJ16" s="49">
        <f t="shared" si="13"/>
        <v>1200</v>
      </c>
      <c r="AK16" s="49">
        <f t="shared" si="14"/>
        <v>0</v>
      </c>
      <c r="AL16" s="49" t="e">
        <f t="shared" si="15"/>
        <v>#DIV/0!</v>
      </c>
      <c r="AM16" s="50">
        <v>0</v>
      </c>
      <c r="AN16" s="50">
        <v>0</v>
      </c>
      <c r="AO16" s="50">
        <v>0</v>
      </c>
      <c r="AP16" s="50">
        <f t="shared" si="16"/>
        <v>0</v>
      </c>
      <c r="AQ16" s="50">
        <v>600</v>
      </c>
      <c r="AR16" s="50">
        <v>0</v>
      </c>
      <c r="AS16" s="50">
        <f t="shared" si="17"/>
        <v>600</v>
      </c>
      <c r="AT16" s="50">
        <f t="shared" si="18"/>
        <v>0</v>
      </c>
      <c r="AU16" s="50" t="e">
        <f t="shared" si="19"/>
        <v>#DIV/0!</v>
      </c>
      <c r="AV16" s="51">
        <v>0</v>
      </c>
      <c r="AW16" s="51">
        <v>0</v>
      </c>
      <c r="AX16" s="51">
        <v>0</v>
      </c>
      <c r="AY16" s="51">
        <f t="shared" si="20"/>
        <v>0</v>
      </c>
      <c r="AZ16" s="51">
        <v>1500</v>
      </c>
      <c r="BA16" s="51">
        <v>0</v>
      </c>
      <c r="BB16" s="51">
        <f t="shared" si="21"/>
        <v>1500</v>
      </c>
      <c r="BC16" s="51">
        <f t="shared" si="22"/>
        <v>0</v>
      </c>
      <c r="BD16" s="51" t="e">
        <f t="shared" si="23"/>
        <v>#DIV/0!</v>
      </c>
      <c r="BE16" s="52">
        <v>0</v>
      </c>
      <c r="BF16" s="52">
        <v>0</v>
      </c>
      <c r="BG16" s="52">
        <v>0</v>
      </c>
      <c r="BH16" s="52">
        <f t="shared" si="24"/>
        <v>0</v>
      </c>
      <c r="BI16" s="52">
        <v>750</v>
      </c>
      <c r="BJ16" s="52">
        <v>0</v>
      </c>
      <c r="BK16" s="52">
        <f t="shared" si="25"/>
        <v>750</v>
      </c>
      <c r="BL16" s="52">
        <f t="shared" si="26"/>
        <v>0</v>
      </c>
      <c r="BM16" s="52" t="e">
        <f t="shared" si="27"/>
        <v>#DIV/0!</v>
      </c>
      <c r="BN16" s="53">
        <v>0</v>
      </c>
      <c r="BO16" s="53">
        <v>0</v>
      </c>
      <c r="BP16" s="53">
        <v>0</v>
      </c>
      <c r="BQ16" s="53">
        <f t="shared" si="28"/>
        <v>0</v>
      </c>
      <c r="BR16" s="53">
        <v>2450</v>
      </c>
      <c r="BS16" s="53">
        <v>0</v>
      </c>
      <c r="BT16" s="53">
        <f t="shared" si="29"/>
        <v>2450</v>
      </c>
      <c r="BU16" s="53">
        <f t="shared" si="30"/>
        <v>0</v>
      </c>
      <c r="BV16" s="53" t="e">
        <f t="shared" si="31"/>
        <v>#DIV/0!</v>
      </c>
      <c r="BW16" s="54">
        <v>0</v>
      </c>
      <c r="BX16" s="54">
        <v>0</v>
      </c>
      <c r="BY16" s="54">
        <v>0</v>
      </c>
      <c r="BZ16" s="54">
        <f t="shared" si="32"/>
        <v>0</v>
      </c>
      <c r="CA16" s="54">
        <v>750</v>
      </c>
      <c r="CB16" s="54">
        <v>0</v>
      </c>
      <c r="CC16" s="54">
        <f t="shared" si="33"/>
        <v>750</v>
      </c>
      <c r="CD16" s="54">
        <f t="shared" si="34"/>
        <v>0</v>
      </c>
      <c r="CE16" s="54" t="e">
        <f t="shared" si="35"/>
        <v>#DIV/0!</v>
      </c>
      <c r="CF16" s="55">
        <v>0</v>
      </c>
      <c r="CG16" s="55">
        <v>0</v>
      </c>
      <c r="CH16" s="55">
        <v>0</v>
      </c>
      <c r="CI16" s="55">
        <f t="shared" si="36"/>
        <v>0</v>
      </c>
      <c r="CJ16" s="55">
        <v>730</v>
      </c>
      <c r="CK16" s="55">
        <v>0</v>
      </c>
      <c r="CL16" s="55">
        <f t="shared" si="37"/>
        <v>730</v>
      </c>
      <c r="CM16" s="55">
        <f t="shared" si="38"/>
        <v>0</v>
      </c>
      <c r="CN16" s="55" t="e">
        <f t="shared" si="39"/>
        <v>#DIV/0!</v>
      </c>
      <c r="CO16" s="56">
        <v>0</v>
      </c>
      <c r="CP16" s="56">
        <v>0</v>
      </c>
      <c r="CQ16" s="56">
        <v>0</v>
      </c>
      <c r="CR16" s="56">
        <f t="shared" si="40"/>
        <v>0</v>
      </c>
      <c r="CS16" s="56">
        <v>730</v>
      </c>
      <c r="CT16" s="56">
        <v>0</v>
      </c>
      <c r="CU16" s="56">
        <f t="shared" si="41"/>
        <v>730</v>
      </c>
      <c r="CV16" s="56">
        <f t="shared" si="42"/>
        <v>0</v>
      </c>
      <c r="CW16" s="56" t="e">
        <f t="shared" si="43"/>
        <v>#DIV/0!</v>
      </c>
      <c r="CX16" s="57">
        <v>0</v>
      </c>
      <c r="CY16" s="57">
        <v>0</v>
      </c>
      <c r="CZ16" s="57">
        <v>0</v>
      </c>
      <c r="DA16" s="57">
        <f t="shared" si="44"/>
        <v>0</v>
      </c>
      <c r="DB16" s="57">
        <v>600</v>
      </c>
      <c r="DC16" s="57">
        <v>0</v>
      </c>
      <c r="DD16" s="57">
        <f t="shared" si="45"/>
        <v>600</v>
      </c>
      <c r="DE16" s="57">
        <f t="shared" si="46"/>
        <v>0</v>
      </c>
      <c r="DF16" s="57" t="e">
        <f t="shared" si="47"/>
        <v>#DIV/0!</v>
      </c>
    </row>
    <row r="17" spans="1:110" ht="14.25" customHeight="1">
      <c r="A17" s="89"/>
      <c r="B17" s="44"/>
      <c r="C17" s="45">
        <v>0</v>
      </c>
      <c r="D17" s="45">
        <v>0</v>
      </c>
      <c r="E17" s="45">
        <v>0</v>
      </c>
      <c r="F17" s="45">
        <f t="shared" si="0"/>
        <v>0</v>
      </c>
      <c r="G17" s="45">
        <v>900</v>
      </c>
      <c r="H17" s="45">
        <v>0</v>
      </c>
      <c r="I17" s="45">
        <f t="shared" si="1"/>
        <v>900</v>
      </c>
      <c r="J17" s="45">
        <f t="shared" si="2"/>
        <v>0</v>
      </c>
      <c r="K17" s="45" t="e">
        <f t="shared" si="3"/>
        <v>#DIV/0!</v>
      </c>
      <c r="L17" s="47">
        <v>0</v>
      </c>
      <c r="M17" s="47">
        <v>0</v>
      </c>
      <c r="N17" s="47">
        <v>0</v>
      </c>
      <c r="O17" s="47">
        <f t="shared" si="4"/>
        <v>0</v>
      </c>
      <c r="P17" s="47">
        <v>1800</v>
      </c>
      <c r="Q17" s="47">
        <v>0</v>
      </c>
      <c r="R17" s="47">
        <f t="shared" si="5"/>
        <v>1800</v>
      </c>
      <c r="S17" s="47">
        <f t="shared" si="6"/>
        <v>0</v>
      </c>
      <c r="T17" s="47" t="e">
        <f t="shared" si="7"/>
        <v>#DIV/0!</v>
      </c>
      <c r="U17" s="48">
        <v>0</v>
      </c>
      <c r="V17" s="48">
        <v>0</v>
      </c>
      <c r="W17" s="48">
        <v>0</v>
      </c>
      <c r="X17" s="48">
        <f t="shared" si="8"/>
        <v>0</v>
      </c>
      <c r="Y17" s="48">
        <v>910</v>
      </c>
      <c r="Z17" s="48">
        <v>0</v>
      </c>
      <c r="AA17" s="48">
        <f t="shared" si="9"/>
        <v>910</v>
      </c>
      <c r="AB17" s="48">
        <f t="shared" si="10"/>
        <v>0</v>
      </c>
      <c r="AC17" s="48" t="e">
        <f t="shared" si="11"/>
        <v>#DIV/0!</v>
      </c>
      <c r="AD17" s="49">
        <v>0</v>
      </c>
      <c r="AE17" s="49">
        <v>0</v>
      </c>
      <c r="AF17" s="49">
        <v>0</v>
      </c>
      <c r="AG17" s="49">
        <f t="shared" si="12"/>
        <v>0</v>
      </c>
      <c r="AH17" s="49">
        <v>1200</v>
      </c>
      <c r="AI17" s="49">
        <v>0</v>
      </c>
      <c r="AJ17" s="49">
        <f t="shared" si="13"/>
        <v>1200</v>
      </c>
      <c r="AK17" s="49">
        <f t="shared" si="14"/>
        <v>0</v>
      </c>
      <c r="AL17" s="49" t="e">
        <f t="shared" si="15"/>
        <v>#DIV/0!</v>
      </c>
      <c r="AM17" s="50">
        <v>0</v>
      </c>
      <c r="AN17" s="50">
        <v>0</v>
      </c>
      <c r="AO17" s="50">
        <v>0</v>
      </c>
      <c r="AP17" s="50">
        <f t="shared" si="16"/>
        <v>0</v>
      </c>
      <c r="AQ17" s="50">
        <v>600</v>
      </c>
      <c r="AR17" s="50">
        <v>0</v>
      </c>
      <c r="AS17" s="50">
        <f t="shared" si="17"/>
        <v>600</v>
      </c>
      <c r="AT17" s="50">
        <f t="shared" si="18"/>
        <v>0</v>
      </c>
      <c r="AU17" s="50" t="e">
        <f t="shared" si="19"/>
        <v>#DIV/0!</v>
      </c>
      <c r="AV17" s="51">
        <v>0</v>
      </c>
      <c r="AW17" s="51">
        <v>0</v>
      </c>
      <c r="AX17" s="51">
        <v>0</v>
      </c>
      <c r="AY17" s="51">
        <f t="shared" si="20"/>
        <v>0</v>
      </c>
      <c r="AZ17" s="51">
        <v>1500</v>
      </c>
      <c r="BA17" s="51">
        <v>0</v>
      </c>
      <c r="BB17" s="51">
        <f t="shared" si="21"/>
        <v>1500</v>
      </c>
      <c r="BC17" s="51">
        <f t="shared" si="22"/>
        <v>0</v>
      </c>
      <c r="BD17" s="51" t="e">
        <f t="shared" si="23"/>
        <v>#DIV/0!</v>
      </c>
      <c r="BE17" s="52">
        <v>0</v>
      </c>
      <c r="BF17" s="52">
        <v>0</v>
      </c>
      <c r="BG17" s="52">
        <v>0</v>
      </c>
      <c r="BH17" s="52">
        <f t="shared" si="24"/>
        <v>0</v>
      </c>
      <c r="BI17" s="52">
        <v>750</v>
      </c>
      <c r="BJ17" s="52">
        <v>0</v>
      </c>
      <c r="BK17" s="52">
        <f t="shared" si="25"/>
        <v>750</v>
      </c>
      <c r="BL17" s="52">
        <f t="shared" si="26"/>
        <v>0</v>
      </c>
      <c r="BM17" s="52" t="e">
        <f t="shared" si="27"/>
        <v>#DIV/0!</v>
      </c>
      <c r="BN17" s="53">
        <v>0</v>
      </c>
      <c r="BO17" s="53">
        <v>0</v>
      </c>
      <c r="BP17" s="53">
        <v>0</v>
      </c>
      <c r="BQ17" s="53">
        <f t="shared" si="28"/>
        <v>0</v>
      </c>
      <c r="BR17" s="53">
        <v>2450</v>
      </c>
      <c r="BS17" s="53">
        <v>0</v>
      </c>
      <c r="BT17" s="53">
        <f t="shared" si="29"/>
        <v>2450</v>
      </c>
      <c r="BU17" s="53">
        <f t="shared" si="30"/>
        <v>0</v>
      </c>
      <c r="BV17" s="53" t="e">
        <f t="shared" si="31"/>
        <v>#DIV/0!</v>
      </c>
      <c r="BW17" s="54">
        <v>0</v>
      </c>
      <c r="BX17" s="54">
        <v>0</v>
      </c>
      <c r="BY17" s="54">
        <v>0</v>
      </c>
      <c r="BZ17" s="54">
        <f t="shared" si="32"/>
        <v>0</v>
      </c>
      <c r="CA17" s="54">
        <v>750</v>
      </c>
      <c r="CB17" s="54">
        <v>0</v>
      </c>
      <c r="CC17" s="54">
        <f t="shared" si="33"/>
        <v>750</v>
      </c>
      <c r="CD17" s="54">
        <f t="shared" si="34"/>
        <v>0</v>
      </c>
      <c r="CE17" s="54" t="e">
        <f t="shared" si="35"/>
        <v>#DIV/0!</v>
      </c>
      <c r="CF17" s="55">
        <v>0</v>
      </c>
      <c r="CG17" s="55">
        <v>0</v>
      </c>
      <c r="CH17" s="55">
        <v>0</v>
      </c>
      <c r="CI17" s="55">
        <f t="shared" si="36"/>
        <v>0</v>
      </c>
      <c r="CJ17" s="55">
        <v>730</v>
      </c>
      <c r="CK17" s="55">
        <v>0</v>
      </c>
      <c r="CL17" s="55">
        <f t="shared" si="37"/>
        <v>730</v>
      </c>
      <c r="CM17" s="55">
        <f t="shared" si="38"/>
        <v>0</v>
      </c>
      <c r="CN17" s="55" t="e">
        <f t="shared" si="39"/>
        <v>#DIV/0!</v>
      </c>
      <c r="CO17" s="56">
        <v>0</v>
      </c>
      <c r="CP17" s="56">
        <v>0</v>
      </c>
      <c r="CQ17" s="56">
        <v>0</v>
      </c>
      <c r="CR17" s="56">
        <f t="shared" si="40"/>
        <v>0</v>
      </c>
      <c r="CS17" s="56">
        <v>730</v>
      </c>
      <c r="CT17" s="56">
        <v>0</v>
      </c>
      <c r="CU17" s="56">
        <f t="shared" si="41"/>
        <v>730</v>
      </c>
      <c r="CV17" s="56">
        <f t="shared" si="42"/>
        <v>0</v>
      </c>
      <c r="CW17" s="56" t="e">
        <f t="shared" si="43"/>
        <v>#DIV/0!</v>
      </c>
      <c r="CX17" s="57">
        <v>0</v>
      </c>
      <c r="CY17" s="57">
        <v>0</v>
      </c>
      <c r="CZ17" s="57">
        <v>0</v>
      </c>
      <c r="DA17" s="57">
        <f t="shared" si="44"/>
        <v>0</v>
      </c>
      <c r="DB17" s="57">
        <v>600</v>
      </c>
      <c r="DC17" s="57">
        <v>0</v>
      </c>
      <c r="DD17" s="57">
        <f t="shared" si="45"/>
        <v>600</v>
      </c>
      <c r="DE17" s="57">
        <f t="shared" si="46"/>
        <v>0</v>
      </c>
      <c r="DF17" s="57" t="e">
        <f t="shared" si="47"/>
        <v>#DIV/0!</v>
      </c>
    </row>
    <row r="18" spans="1:110" ht="14.25" customHeight="1">
      <c r="A18" s="89"/>
      <c r="B18" s="44"/>
      <c r="C18" s="45">
        <v>0</v>
      </c>
      <c r="D18" s="45">
        <v>0</v>
      </c>
      <c r="E18" s="45">
        <v>0</v>
      </c>
      <c r="F18" s="45">
        <f t="shared" si="0"/>
        <v>0</v>
      </c>
      <c r="G18" s="45">
        <v>900</v>
      </c>
      <c r="H18" s="45">
        <v>0</v>
      </c>
      <c r="I18" s="45">
        <f t="shared" si="1"/>
        <v>900</v>
      </c>
      <c r="J18" s="45">
        <f t="shared" si="2"/>
        <v>0</v>
      </c>
      <c r="K18" s="45" t="e">
        <f t="shared" si="3"/>
        <v>#DIV/0!</v>
      </c>
      <c r="L18" s="47">
        <v>0</v>
      </c>
      <c r="M18" s="47">
        <v>0</v>
      </c>
      <c r="N18" s="47">
        <v>0</v>
      </c>
      <c r="O18" s="47">
        <f t="shared" si="4"/>
        <v>0</v>
      </c>
      <c r="P18" s="47">
        <v>1800</v>
      </c>
      <c r="Q18" s="47">
        <v>0</v>
      </c>
      <c r="R18" s="47">
        <f t="shared" si="5"/>
        <v>1800</v>
      </c>
      <c r="S18" s="47">
        <f t="shared" si="6"/>
        <v>0</v>
      </c>
      <c r="T18" s="47" t="e">
        <f t="shared" si="7"/>
        <v>#DIV/0!</v>
      </c>
      <c r="U18" s="48">
        <v>0</v>
      </c>
      <c r="V18" s="48">
        <v>0</v>
      </c>
      <c r="W18" s="48">
        <v>0</v>
      </c>
      <c r="X18" s="48">
        <f t="shared" si="8"/>
        <v>0</v>
      </c>
      <c r="Y18" s="48">
        <v>910</v>
      </c>
      <c r="Z18" s="48">
        <v>0</v>
      </c>
      <c r="AA18" s="48">
        <f t="shared" si="9"/>
        <v>910</v>
      </c>
      <c r="AB18" s="48">
        <f t="shared" si="10"/>
        <v>0</v>
      </c>
      <c r="AC18" s="48" t="e">
        <f t="shared" si="11"/>
        <v>#DIV/0!</v>
      </c>
      <c r="AD18" s="49">
        <v>0</v>
      </c>
      <c r="AE18" s="49">
        <v>0</v>
      </c>
      <c r="AF18" s="49">
        <v>0</v>
      </c>
      <c r="AG18" s="49">
        <f t="shared" si="12"/>
        <v>0</v>
      </c>
      <c r="AH18" s="49">
        <v>1200</v>
      </c>
      <c r="AI18" s="49">
        <v>0</v>
      </c>
      <c r="AJ18" s="49">
        <f t="shared" si="13"/>
        <v>1200</v>
      </c>
      <c r="AK18" s="49">
        <f t="shared" si="14"/>
        <v>0</v>
      </c>
      <c r="AL18" s="49" t="e">
        <f t="shared" si="15"/>
        <v>#DIV/0!</v>
      </c>
      <c r="AM18" s="50">
        <v>0</v>
      </c>
      <c r="AN18" s="50">
        <v>0</v>
      </c>
      <c r="AO18" s="50">
        <v>0</v>
      </c>
      <c r="AP18" s="50">
        <f t="shared" si="16"/>
        <v>0</v>
      </c>
      <c r="AQ18" s="50">
        <v>600</v>
      </c>
      <c r="AR18" s="50">
        <v>0</v>
      </c>
      <c r="AS18" s="50">
        <f t="shared" si="17"/>
        <v>600</v>
      </c>
      <c r="AT18" s="50">
        <f t="shared" si="18"/>
        <v>0</v>
      </c>
      <c r="AU18" s="50" t="e">
        <f t="shared" si="19"/>
        <v>#DIV/0!</v>
      </c>
      <c r="AV18" s="51">
        <v>0</v>
      </c>
      <c r="AW18" s="51">
        <v>0</v>
      </c>
      <c r="AX18" s="51">
        <v>0</v>
      </c>
      <c r="AY18" s="51">
        <f t="shared" si="20"/>
        <v>0</v>
      </c>
      <c r="AZ18" s="51">
        <v>1500</v>
      </c>
      <c r="BA18" s="51">
        <v>0</v>
      </c>
      <c r="BB18" s="51">
        <f t="shared" si="21"/>
        <v>1500</v>
      </c>
      <c r="BC18" s="51">
        <f t="shared" si="22"/>
        <v>0</v>
      </c>
      <c r="BD18" s="51" t="e">
        <f t="shared" si="23"/>
        <v>#DIV/0!</v>
      </c>
      <c r="BE18" s="52">
        <v>0</v>
      </c>
      <c r="BF18" s="52">
        <v>0</v>
      </c>
      <c r="BG18" s="52">
        <v>0</v>
      </c>
      <c r="BH18" s="52">
        <f t="shared" si="24"/>
        <v>0</v>
      </c>
      <c r="BI18" s="52">
        <v>750</v>
      </c>
      <c r="BJ18" s="52">
        <v>0</v>
      </c>
      <c r="BK18" s="52">
        <f t="shared" si="25"/>
        <v>750</v>
      </c>
      <c r="BL18" s="52">
        <f t="shared" si="26"/>
        <v>0</v>
      </c>
      <c r="BM18" s="52" t="e">
        <f t="shared" si="27"/>
        <v>#DIV/0!</v>
      </c>
      <c r="BN18" s="53">
        <v>0</v>
      </c>
      <c r="BO18" s="53">
        <v>0</v>
      </c>
      <c r="BP18" s="53">
        <v>0</v>
      </c>
      <c r="BQ18" s="53">
        <f t="shared" si="28"/>
        <v>0</v>
      </c>
      <c r="BR18" s="53">
        <v>2450</v>
      </c>
      <c r="BS18" s="53">
        <v>0</v>
      </c>
      <c r="BT18" s="53">
        <f t="shared" si="29"/>
        <v>2450</v>
      </c>
      <c r="BU18" s="53">
        <f t="shared" si="30"/>
        <v>0</v>
      </c>
      <c r="BV18" s="53" t="e">
        <f t="shared" si="31"/>
        <v>#DIV/0!</v>
      </c>
      <c r="BW18" s="54">
        <v>0</v>
      </c>
      <c r="BX18" s="54">
        <v>0</v>
      </c>
      <c r="BY18" s="54">
        <v>0</v>
      </c>
      <c r="BZ18" s="54">
        <f t="shared" si="32"/>
        <v>0</v>
      </c>
      <c r="CA18" s="54">
        <v>750</v>
      </c>
      <c r="CB18" s="54">
        <v>0</v>
      </c>
      <c r="CC18" s="54">
        <f t="shared" si="33"/>
        <v>750</v>
      </c>
      <c r="CD18" s="54">
        <f t="shared" si="34"/>
        <v>0</v>
      </c>
      <c r="CE18" s="54" t="e">
        <f t="shared" si="35"/>
        <v>#DIV/0!</v>
      </c>
      <c r="CF18" s="55">
        <v>0</v>
      </c>
      <c r="CG18" s="55">
        <v>0</v>
      </c>
      <c r="CH18" s="55">
        <v>0</v>
      </c>
      <c r="CI18" s="55">
        <f t="shared" si="36"/>
        <v>0</v>
      </c>
      <c r="CJ18" s="55">
        <v>730</v>
      </c>
      <c r="CK18" s="55">
        <v>0</v>
      </c>
      <c r="CL18" s="55">
        <f t="shared" si="37"/>
        <v>730</v>
      </c>
      <c r="CM18" s="55">
        <f t="shared" si="38"/>
        <v>0</v>
      </c>
      <c r="CN18" s="55" t="e">
        <f t="shared" si="39"/>
        <v>#DIV/0!</v>
      </c>
      <c r="CO18" s="56">
        <v>0</v>
      </c>
      <c r="CP18" s="56">
        <v>0</v>
      </c>
      <c r="CQ18" s="56">
        <v>0</v>
      </c>
      <c r="CR18" s="56">
        <f t="shared" si="40"/>
        <v>0</v>
      </c>
      <c r="CS18" s="56">
        <v>730</v>
      </c>
      <c r="CT18" s="56">
        <v>0</v>
      </c>
      <c r="CU18" s="56">
        <f t="shared" si="41"/>
        <v>730</v>
      </c>
      <c r="CV18" s="56">
        <f t="shared" si="42"/>
        <v>0</v>
      </c>
      <c r="CW18" s="56" t="e">
        <f t="shared" si="43"/>
        <v>#DIV/0!</v>
      </c>
      <c r="CX18" s="57">
        <v>0</v>
      </c>
      <c r="CY18" s="57">
        <v>0</v>
      </c>
      <c r="CZ18" s="57">
        <v>0</v>
      </c>
      <c r="DA18" s="57">
        <f t="shared" si="44"/>
        <v>0</v>
      </c>
      <c r="DB18" s="57">
        <v>600</v>
      </c>
      <c r="DC18" s="57">
        <v>0</v>
      </c>
      <c r="DD18" s="57">
        <f t="shared" si="45"/>
        <v>600</v>
      </c>
      <c r="DE18" s="57">
        <f t="shared" si="46"/>
        <v>0</v>
      </c>
      <c r="DF18" s="57" t="e">
        <f t="shared" si="47"/>
        <v>#DIV/0!</v>
      </c>
    </row>
    <row r="19" spans="1:110" ht="14.25" customHeight="1">
      <c r="A19" s="89"/>
      <c r="B19" s="44"/>
      <c r="C19" s="45">
        <v>0</v>
      </c>
      <c r="D19" s="45">
        <v>0</v>
      </c>
      <c r="E19" s="45">
        <v>0</v>
      </c>
      <c r="F19" s="45">
        <f t="shared" si="0"/>
        <v>0</v>
      </c>
      <c r="G19" s="45">
        <v>900</v>
      </c>
      <c r="H19" s="45">
        <v>0</v>
      </c>
      <c r="I19" s="45">
        <f t="shared" si="1"/>
        <v>900</v>
      </c>
      <c r="J19" s="45">
        <f t="shared" si="2"/>
        <v>0</v>
      </c>
      <c r="K19" s="45" t="e">
        <f t="shared" si="3"/>
        <v>#DIV/0!</v>
      </c>
      <c r="L19" s="47">
        <v>0</v>
      </c>
      <c r="M19" s="47">
        <v>0</v>
      </c>
      <c r="N19" s="47">
        <v>0</v>
      </c>
      <c r="O19" s="47">
        <f t="shared" si="4"/>
        <v>0</v>
      </c>
      <c r="P19" s="47">
        <v>1800</v>
      </c>
      <c r="Q19" s="47">
        <v>0</v>
      </c>
      <c r="R19" s="47">
        <f t="shared" si="5"/>
        <v>1800</v>
      </c>
      <c r="S19" s="47">
        <f t="shared" si="6"/>
        <v>0</v>
      </c>
      <c r="T19" s="47" t="e">
        <f t="shared" si="7"/>
        <v>#DIV/0!</v>
      </c>
      <c r="U19" s="48">
        <v>0</v>
      </c>
      <c r="V19" s="48">
        <v>0</v>
      </c>
      <c r="W19" s="48">
        <v>0</v>
      </c>
      <c r="X19" s="48">
        <f t="shared" si="8"/>
        <v>0</v>
      </c>
      <c r="Y19" s="48">
        <v>910</v>
      </c>
      <c r="Z19" s="48">
        <v>0</v>
      </c>
      <c r="AA19" s="48">
        <f t="shared" si="9"/>
        <v>910</v>
      </c>
      <c r="AB19" s="48">
        <f t="shared" si="10"/>
        <v>0</v>
      </c>
      <c r="AC19" s="48" t="e">
        <f t="shared" si="11"/>
        <v>#DIV/0!</v>
      </c>
      <c r="AD19" s="49">
        <v>0</v>
      </c>
      <c r="AE19" s="49">
        <v>0</v>
      </c>
      <c r="AF19" s="49">
        <v>0</v>
      </c>
      <c r="AG19" s="49">
        <f t="shared" si="12"/>
        <v>0</v>
      </c>
      <c r="AH19" s="49">
        <v>1200</v>
      </c>
      <c r="AI19" s="49">
        <v>0</v>
      </c>
      <c r="AJ19" s="49">
        <f t="shared" si="13"/>
        <v>1200</v>
      </c>
      <c r="AK19" s="49">
        <f t="shared" si="14"/>
        <v>0</v>
      </c>
      <c r="AL19" s="49" t="e">
        <f t="shared" si="15"/>
        <v>#DIV/0!</v>
      </c>
      <c r="AM19" s="50">
        <v>0</v>
      </c>
      <c r="AN19" s="50">
        <v>0</v>
      </c>
      <c r="AO19" s="50">
        <v>0</v>
      </c>
      <c r="AP19" s="50">
        <f t="shared" si="16"/>
        <v>0</v>
      </c>
      <c r="AQ19" s="50">
        <v>600</v>
      </c>
      <c r="AR19" s="50">
        <v>0</v>
      </c>
      <c r="AS19" s="50">
        <f t="shared" si="17"/>
        <v>600</v>
      </c>
      <c r="AT19" s="50">
        <f t="shared" si="18"/>
        <v>0</v>
      </c>
      <c r="AU19" s="50" t="e">
        <f t="shared" si="19"/>
        <v>#DIV/0!</v>
      </c>
      <c r="AV19" s="51">
        <v>0</v>
      </c>
      <c r="AW19" s="51">
        <v>0</v>
      </c>
      <c r="AX19" s="51">
        <v>0</v>
      </c>
      <c r="AY19" s="51">
        <f t="shared" si="20"/>
        <v>0</v>
      </c>
      <c r="AZ19" s="51">
        <v>1500</v>
      </c>
      <c r="BA19" s="51">
        <v>0</v>
      </c>
      <c r="BB19" s="51">
        <f t="shared" si="21"/>
        <v>1500</v>
      </c>
      <c r="BC19" s="51">
        <f t="shared" si="22"/>
        <v>0</v>
      </c>
      <c r="BD19" s="51" t="e">
        <f t="shared" si="23"/>
        <v>#DIV/0!</v>
      </c>
      <c r="BE19" s="52">
        <v>0</v>
      </c>
      <c r="BF19" s="52">
        <v>0</v>
      </c>
      <c r="BG19" s="52">
        <v>0</v>
      </c>
      <c r="BH19" s="52">
        <f t="shared" si="24"/>
        <v>0</v>
      </c>
      <c r="BI19" s="52">
        <v>750</v>
      </c>
      <c r="BJ19" s="52">
        <v>0</v>
      </c>
      <c r="BK19" s="52">
        <f t="shared" si="25"/>
        <v>750</v>
      </c>
      <c r="BL19" s="52">
        <f t="shared" si="26"/>
        <v>0</v>
      </c>
      <c r="BM19" s="52" t="e">
        <f t="shared" si="27"/>
        <v>#DIV/0!</v>
      </c>
      <c r="BN19" s="53">
        <v>0</v>
      </c>
      <c r="BO19" s="53">
        <v>0</v>
      </c>
      <c r="BP19" s="53">
        <v>0</v>
      </c>
      <c r="BQ19" s="53">
        <f t="shared" si="28"/>
        <v>0</v>
      </c>
      <c r="BR19" s="53">
        <v>2450</v>
      </c>
      <c r="BS19" s="53">
        <v>0</v>
      </c>
      <c r="BT19" s="53">
        <f t="shared" si="29"/>
        <v>2450</v>
      </c>
      <c r="BU19" s="53">
        <f t="shared" si="30"/>
        <v>0</v>
      </c>
      <c r="BV19" s="53" t="e">
        <f t="shared" si="31"/>
        <v>#DIV/0!</v>
      </c>
      <c r="BW19" s="54">
        <v>0</v>
      </c>
      <c r="BX19" s="54">
        <v>0</v>
      </c>
      <c r="BY19" s="54">
        <v>0</v>
      </c>
      <c r="BZ19" s="54">
        <f t="shared" si="32"/>
        <v>0</v>
      </c>
      <c r="CA19" s="54">
        <v>750</v>
      </c>
      <c r="CB19" s="54">
        <v>0</v>
      </c>
      <c r="CC19" s="54">
        <f t="shared" si="33"/>
        <v>750</v>
      </c>
      <c r="CD19" s="54">
        <f t="shared" si="34"/>
        <v>0</v>
      </c>
      <c r="CE19" s="54" t="e">
        <f t="shared" si="35"/>
        <v>#DIV/0!</v>
      </c>
      <c r="CF19" s="55">
        <v>0</v>
      </c>
      <c r="CG19" s="55">
        <v>0</v>
      </c>
      <c r="CH19" s="55">
        <v>0</v>
      </c>
      <c r="CI19" s="55">
        <f t="shared" si="36"/>
        <v>0</v>
      </c>
      <c r="CJ19" s="55">
        <v>730</v>
      </c>
      <c r="CK19" s="55">
        <v>0</v>
      </c>
      <c r="CL19" s="55">
        <f t="shared" si="37"/>
        <v>730</v>
      </c>
      <c r="CM19" s="55">
        <f t="shared" si="38"/>
        <v>0</v>
      </c>
      <c r="CN19" s="55" t="e">
        <f t="shared" si="39"/>
        <v>#DIV/0!</v>
      </c>
      <c r="CO19" s="56">
        <v>0</v>
      </c>
      <c r="CP19" s="56">
        <v>0</v>
      </c>
      <c r="CQ19" s="56">
        <v>0</v>
      </c>
      <c r="CR19" s="56">
        <f t="shared" si="40"/>
        <v>0</v>
      </c>
      <c r="CS19" s="56">
        <v>730</v>
      </c>
      <c r="CT19" s="56">
        <v>0</v>
      </c>
      <c r="CU19" s="56">
        <f t="shared" si="41"/>
        <v>730</v>
      </c>
      <c r="CV19" s="56">
        <f t="shared" si="42"/>
        <v>0</v>
      </c>
      <c r="CW19" s="56" t="e">
        <f t="shared" si="43"/>
        <v>#DIV/0!</v>
      </c>
      <c r="CX19" s="57">
        <v>0</v>
      </c>
      <c r="CY19" s="57">
        <v>0</v>
      </c>
      <c r="CZ19" s="57">
        <v>0</v>
      </c>
      <c r="DA19" s="57">
        <f t="shared" si="44"/>
        <v>0</v>
      </c>
      <c r="DB19" s="57">
        <v>600</v>
      </c>
      <c r="DC19" s="57">
        <v>0</v>
      </c>
      <c r="DD19" s="57">
        <f t="shared" si="45"/>
        <v>600</v>
      </c>
      <c r="DE19" s="57">
        <f t="shared" si="46"/>
        <v>0</v>
      </c>
      <c r="DF19" s="57" t="e">
        <f t="shared" si="47"/>
        <v>#DIV/0!</v>
      </c>
    </row>
    <row r="20" spans="1:110" ht="14.25" customHeight="1">
      <c r="A20" s="89"/>
      <c r="B20" s="44"/>
      <c r="C20" s="45">
        <v>0</v>
      </c>
      <c r="D20" s="45">
        <v>0</v>
      </c>
      <c r="E20" s="45">
        <v>0</v>
      </c>
      <c r="F20" s="45">
        <f t="shared" si="0"/>
        <v>0</v>
      </c>
      <c r="G20" s="45">
        <v>900</v>
      </c>
      <c r="H20" s="45">
        <v>0</v>
      </c>
      <c r="I20" s="45">
        <f t="shared" si="1"/>
        <v>900</v>
      </c>
      <c r="J20" s="45">
        <f t="shared" si="2"/>
        <v>0</v>
      </c>
      <c r="K20" s="45" t="e">
        <f t="shared" si="3"/>
        <v>#DIV/0!</v>
      </c>
      <c r="L20" s="47">
        <v>0</v>
      </c>
      <c r="M20" s="47">
        <v>0</v>
      </c>
      <c r="N20" s="47">
        <v>0</v>
      </c>
      <c r="O20" s="47">
        <f t="shared" si="4"/>
        <v>0</v>
      </c>
      <c r="P20" s="47">
        <v>1800</v>
      </c>
      <c r="Q20" s="47">
        <v>0</v>
      </c>
      <c r="R20" s="47">
        <f t="shared" si="5"/>
        <v>1800</v>
      </c>
      <c r="S20" s="47">
        <f t="shared" si="6"/>
        <v>0</v>
      </c>
      <c r="T20" s="47" t="e">
        <f t="shared" si="7"/>
        <v>#DIV/0!</v>
      </c>
      <c r="U20" s="48">
        <v>0</v>
      </c>
      <c r="V20" s="48">
        <v>0</v>
      </c>
      <c r="W20" s="48">
        <v>0</v>
      </c>
      <c r="X20" s="48">
        <f t="shared" si="8"/>
        <v>0</v>
      </c>
      <c r="Y20" s="48">
        <v>910</v>
      </c>
      <c r="Z20" s="48">
        <v>0</v>
      </c>
      <c r="AA20" s="48">
        <f t="shared" si="9"/>
        <v>910</v>
      </c>
      <c r="AB20" s="48">
        <f t="shared" si="10"/>
        <v>0</v>
      </c>
      <c r="AC20" s="48" t="e">
        <f t="shared" si="11"/>
        <v>#DIV/0!</v>
      </c>
      <c r="AD20" s="49">
        <v>0</v>
      </c>
      <c r="AE20" s="49">
        <v>0</v>
      </c>
      <c r="AF20" s="49">
        <v>0</v>
      </c>
      <c r="AG20" s="49">
        <f t="shared" si="12"/>
        <v>0</v>
      </c>
      <c r="AH20" s="49">
        <v>1200</v>
      </c>
      <c r="AI20" s="49">
        <v>0</v>
      </c>
      <c r="AJ20" s="49">
        <f t="shared" si="13"/>
        <v>1200</v>
      </c>
      <c r="AK20" s="49">
        <f t="shared" si="14"/>
        <v>0</v>
      </c>
      <c r="AL20" s="49" t="e">
        <f t="shared" si="15"/>
        <v>#DIV/0!</v>
      </c>
      <c r="AM20" s="50">
        <v>0</v>
      </c>
      <c r="AN20" s="50">
        <v>0</v>
      </c>
      <c r="AO20" s="50">
        <v>0</v>
      </c>
      <c r="AP20" s="50">
        <f t="shared" si="16"/>
        <v>0</v>
      </c>
      <c r="AQ20" s="50">
        <v>600</v>
      </c>
      <c r="AR20" s="50">
        <v>0</v>
      </c>
      <c r="AS20" s="50">
        <f t="shared" si="17"/>
        <v>600</v>
      </c>
      <c r="AT20" s="50">
        <f t="shared" si="18"/>
        <v>0</v>
      </c>
      <c r="AU20" s="50" t="e">
        <f t="shared" si="19"/>
        <v>#DIV/0!</v>
      </c>
      <c r="AV20" s="51">
        <v>0</v>
      </c>
      <c r="AW20" s="51">
        <v>0</v>
      </c>
      <c r="AX20" s="51">
        <v>0</v>
      </c>
      <c r="AY20" s="51">
        <f t="shared" si="20"/>
        <v>0</v>
      </c>
      <c r="AZ20" s="51">
        <v>1500</v>
      </c>
      <c r="BA20" s="51">
        <v>0</v>
      </c>
      <c r="BB20" s="51">
        <f t="shared" si="21"/>
        <v>1500</v>
      </c>
      <c r="BC20" s="51">
        <f t="shared" si="22"/>
        <v>0</v>
      </c>
      <c r="BD20" s="51" t="e">
        <f t="shared" si="23"/>
        <v>#DIV/0!</v>
      </c>
      <c r="BE20" s="52">
        <v>0</v>
      </c>
      <c r="BF20" s="52">
        <v>0</v>
      </c>
      <c r="BG20" s="52">
        <v>0</v>
      </c>
      <c r="BH20" s="52">
        <f t="shared" si="24"/>
        <v>0</v>
      </c>
      <c r="BI20" s="52">
        <v>750</v>
      </c>
      <c r="BJ20" s="52">
        <v>0</v>
      </c>
      <c r="BK20" s="52">
        <f t="shared" si="25"/>
        <v>750</v>
      </c>
      <c r="BL20" s="52">
        <f t="shared" si="26"/>
        <v>0</v>
      </c>
      <c r="BM20" s="52" t="e">
        <f t="shared" si="27"/>
        <v>#DIV/0!</v>
      </c>
      <c r="BN20" s="53">
        <v>0</v>
      </c>
      <c r="BO20" s="53">
        <v>0</v>
      </c>
      <c r="BP20" s="53">
        <v>0</v>
      </c>
      <c r="BQ20" s="53">
        <f t="shared" si="28"/>
        <v>0</v>
      </c>
      <c r="BR20" s="53">
        <v>2450</v>
      </c>
      <c r="BS20" s="53">
        <v>0</v>
      </c>
      <c r="BT20" s="53">
        <f t="shared" si="29"/>
        <v>2450</v>
      </c>
      <c r="BU20" s="53">
        <f t="shared" si="30"/>
        <v>0</v>
      </c>
      <c r="BV20" s="53" t="e">
        <f t="shared" si="31"/>
        <v>#DIV/0!</v>
      </c>
      <c r="BW20" s="54">
        <v>0</v>
      </c>
      <c r="BX20" s="54">
        <v>0</v>
      </c>
      <c r="BY20" s="54">
        <v>0</v>
      </c>
      <c r="BZ20" s="54">
        <f t="shared" si="32"/>
        <v>0</v>
      </c>
      <c r="CA20" s="54">
        <v>750</v>
      </c>
      <c r="CB20" s="54">
        <v>0</v>
      </c>
      <c r="CC20" s="54">
        <f t="shared" si="33"/>
        <v>750</v>
      </c>
      <c r="CD20" s="54">
        <f t="shared" si="34"/>
        <v>0</v>
      </c>
      <c r="CE20" s="54" t="e">
        <f t="shared" si="35"/>
        <v>#DIV/0!</v>
      </c>
      <c r="CF20" s="55">
        <v>0</v>
      </c>
      <c r="CG20" s="55">
        <v>0</v>
      </c>
      <c r="CH20" s="55">
        <v>0</v>
      </c>
      <c r="CI20" s="55">
        <f t="shared" si="36"/>
        <v>0</v>
      </c>
      <c r="CJ20" s="55">
        <v>730</v>
      </c>
      <c r="CK20" s="55">
        <v>0</v>
      </c>
      <c r="CL20" s="55">
        <f t="shared" si="37"/>
        <v>730</v>
      </c>
      <c r="CM20" s="55">
        <f t="shared" si="38"/>
        <v>0</v>
      </c>
      <c r="CN20" s="55" t="e">
        <f t="shared" si="39"/>
        <v>#DIV/0!</v>
      </c>
      <c r="CO20" s="56">
        <v>0</v>
      </c>
      <c r="CP20" s="56">
        <v>0</v>
      </c>
      <c r="CQ20" s="56">
        <v>0</v>
      </c>
      <c r="CR20" s="56">
        <f t="shared" si="40"/>
        <v>0</v>
      </c>
      <c r="CS20" s="56">
        <v>730</v>
      </c>
      <c r="CT20" s="56">
        <v>0</v>
      </c>
      <c r="CU20" s="56">
        <f t="shared" si="41"/>
        <v>730</v>
      </c>
      <c r="CV20" s="56">
        <f t="shared" si="42"/>
        <v>0</v>
      </c>
      <c r="CW20" s="56" t="e">
        <f t="shared" si="43"/>
        <v>#DIV/0!</v>
      </c>
      <c r="CX20" s="57">
        <v>0</v>
      </c>
      <c r="CY20" s="57">
        <v>0</v>
      </c>
      <c r="CZ20" s="57">
        <v>0</v>
      </c>
      <c r="DA20" s="57">
        <f t="shared" si="44"/>
        <v>0</v>
      </c>
      <c r="DB20" s="57">
        <v>600</v>
      </c>
      <c r="DC20" s="57">
        <v>0</v>
      </c>
      <c r="DD20" s="57">
        <f t="shared" si="45"/>
        <v>600</v>
      </c>
      <c r="DE20" s="57">
        <f t="shared" si="46"/>
        <v>0</v>
      </c>
      <c r="DF20" s="57" t="e">
        <f t="shared" si="47"/>
        <v>#DIV/0!</v>
      </c>
    </row>
    <row r="21" spans="1:110" ht="14.25" customHeight="1">
      <c r="A21" s="89"/>
      <c r="B21" s="44"/>
      <c r="C21" s="45">
        <v>0</v>
      </c>
      <c r="D21" s="45">
        <v>0</v>
      </c>
      <c r="E21" s="45">
        <v>0</v>
      </c>
      <c r="F21" s="45">
        <f t="shared" si="0"/>
        <v>0</v>
      </c>
      <c r="G21" s="45">
        <v>900</v>
      </c>
      <c r="H21" s="45">
        <v>0</v>
      </c>
      <c r="I21" s="45">
        <f t="shared" si="1"/>
        <v>900</v>
      </c>
      <c r="J21" s="45">
        <f t="shared" si="2"/>
        <v>0</v>
      </c>
      <c r="K21" s="45" t="e">
        <f t="shared" si="3"/>
        <v>#DIV/0!</v>
      </c>
      <c r="L21" s="47">
        <v>0</v>
      </c>
      <c r="M21" s="47">
        <v>0</v>
      </c>
      <c r="N21" s="47">
        <v>0</v>
      </c>
      <c r="O21" s="47">
        <f t="shared" si="4"/>
        <v>0</v>
      </c>
      <c r="P21" s="47">
        <v>1800</v>
      </c>
      <c r="Q21" s="47">
        <v>0</v>
      </c>
      <c r="R21" s="47">
        <f t="shared" si="5"/>
        <v>1800</v>
      </c>
      <c r="S21" s="47">
        <f t="shared" si="6"/>
        <v>0</v>
      </c>
      <c r="T21" s="47" t="e">
        <f t="shared" si="7"/>
        <v>#DIV/0!</v>
      </c>
      <c r="U21" s="48">
        <v>0</v>
      </c>
      <c r="V21" s="48">
        <v>0</v>
      </c>
      <c r="W21" s="48">
        <v>0</v>
      </c>
      <c r="X21" s="48">
        <f t="shared" si="8"/>
        <v>0</v>
      </c>
      <c r="Y21" s="48">
        <v>910</v>
      </c>
      <c r="Z21" s="48">
        <v>0</v>
      </c>
      <c r="AA21" s="48">
        <f t="shared" si="9"/>
        <v>910</v>
      </c>
      <c r="AB21" s="48">
        <f t="shared" si="10"/>
        <v>0</v>
      </c>
      <c r="AC21" s="48" t="e">
        <f t="shared" si="11"/>
        <v>#DIV/0!</v>
      </c>
      <c r="AD21" s="49">
        <v>0</v>
      </c>
      <c r="AE21" s="49">
        <v>0</v>
      </c>
      <c r="AF21" s="49">
        <v>0</v>
      </c>
      <c r="AG21" s="49">
        <f t="shared" si="12"/>
        <v>0</v>
      </c>
      <c r="AH21" s="49">
        <v>1200</v>
      </c>
      <c r="AI21" s="49">
        <v>0</v>
      </c>
      <c r="AJ21" s="49">
        <f t="shared" si="13"/>
        <v>1200</v>
      </c>
      <c r="AK21" s="49">
        <f t="shared" si="14"/>
        <v>0</v>
      </c>
      <c r="AL21" s="49" t="e">
        <f t="shared" si="15"/>
        <v>#DIV/0!</v>
      </c>
      <c r="AM21" s="50">
        <v>0</v>
      </c>
      <c r="AN21" s="50">
        <v>0</v>
      </c>
      <c r="AO21" s="50">
        <v>0</v>
      </c>
      <c r="AP21" s="50">
        <f t="shared" si="16"/>
        <v>0</v>
      </c>
      <c r="AQ21" s="50">
        <v>600</v>
      </c>
      <c r="AR21" s="50">
        <v>0</v>
      </c>
      <c r="AS21" s="50">
        <f t="shared" si="17"/>
        <v>600</v>
      </c>
      <c r="AT21" s="50">
        <f t="shared" si="18"/>
        <v>0</v>
      </c>
      <c r="AU21" s="50" t="e">
        <f t="shared" si="19"/>
        <v>#DIV/0!</v>
      </c>
      <c r="AV21" s="51">
        <v>0</v>
      </c>
      <c r="AW21" s="51">
        <v>0</v>
      </c>
      <c r="AX21" s="51">
        <v>0</v>
      </c>
      <c r="AY21" s="51">
        <f t="shared" si="20"/>
        <v>0</v>
      </c>
      <c r="AZ21" s="51">
        <v>1500</v>
      </c>
      <c r="BA21" s="51">
        <v>0</v>
      </c>
      <c r="BB21" s="51">
        <f t="shared" si="21"/>
        <v>1500</v>
      </c>
      <c r="BC21" s="51">
        <f t="shared" si="22"/>
        <v>0</v>
      </c>
      <c r="BD21" s="51" t="e">
        <f t="shared" si="23"/>
        <v>#DIV/0!</v>
      </c>
      <c r="BE21" s="52">
        <v>0</v>
      </c>
      <c r="BF21" s="52">
        <v>0</v>
      </c>
      <c r="BG21" s="52">
        <v>0</v>
      </c>
      <c r="BH21" s="52">
        <f t="shared" si="24"/>
        <v>0</v>
      </c>
      <c r="BI21" s="52">
        <v>750</v>
      </c>
      <c r="BJ21" s="52">
        <v>0</v>
      </c>
      <c r="BK21" s="52">
        <f t="shared" si="25"/>
        <v>750</v>
      </c>
      <c r="BL21" s="52">
        <f t="shared" si="26"/>
        <v>0</v>
      </c>
      <c r="BM21" s="52" t="e">
        <f t="shared" si="27"/>
        <v>#DIV/0!</v>
      </c>
      <c r="BN21" s="53">
        <v>0</v>
      </c>
      <c r="BO21" s="53">
        <v>0</v>
      </c>
      <c r="BP21" s="53">
        <v>0</v>
      </c>
      <c r="BQ21" s="53">
        <f t="shared" si="28"/>
        <v>0</v>
      </c>
      <c r="BR21" s="53">
        <v>2450</v>
      </c>
      <c r="BS21" s="53">
        <v>0</v>
      </c>
      <c r="BT21" s="53">
        <f t="shared" si="29"/>
        <v>2450</v>
      </c>
      <c r="BU21" s="53">
        <f t="shared" si="30"/>
        <v>0</v>
      </c>
      <c r="BV21" s="53" t="e">
        <f t="shared" si="31"/>
        <v>#DIV/0!</v>
      </c>
      <c r="BW21" s="54">
        <v>0</v>
      </c>
      <c r="BX21" s="54">
        <v>0</v>
      </c>
      <c r="BY21" s="54">
        <v>0</v>
      </c>
      <c r="BZ21" s="54">
        <f t="shared" si="32"/>
        <v>0</v>
      </c>
      <c r="CA21" s="54">
        <v>750</v>
      </c>
      <c r="CB21" s="54">
        <v>0</v>
      </c>
      <c r="CC21" s="54">
        <f t="shared" si="33"/>
        <v>750</v>
      </c>
      <c r="CD21" s="54">
        <f t="shared" si="34"/>
        <v>0</v>
      </c>
      <c r="CE21" s="54" t="e">
        <f t="shared" si="35"/>
        <v>#DIV/0!</v>
      </c>
      <c r="CF21" s="55">
        <v>0</v>
      </c>
      <c r="CG21" s="55">
        <v>0</v>
      </c>
      <c r="CH21" s="55">
        <v>0</v>
      </c>
      <c r="CI21" s="55">
        <f t="shared" si="36"/>
        <v>0</v>
      </c>
      <c r="CJ21" s="55">
        <v>730</v>
      </c>
      <c r="CK21" s="55">
        <v>0</v>
      </c>
      <c r="CL21" s="55">
        <f t="shared" si="37"/>
        <v>730</v>
      </c>
      <c r="CM21" s="55">
        <f t="shared" si="38"/>
        <v>0</v>
      </c>
      <c r="CN21" s="55" t="e">
        <f t="shared" si="39"/>
        <v>#DIV/0!</v>
      </c>
      <c r="CO21" s="56">
        <v>0</v>
      </c>
      <c r="CP21" s="56">
        <v>0</v>
      </c>
      <c r="CQ21" s="56">
        <v>0</v>
      </c>
      <c r="CR21" s="56">
        <f t="shared" si="40"/>
        <v>0</v>
      </c>
      <c r="CS21" s="56">
        <v>730</v>
      </c>
      <c r="CT21" s="56">
        <v>0</v>
      </c>
      <c r="CU21" s="56">
        <f t="shared" si="41"/>
        <v>730</v>
      </c>
      <c r="CV21" s="56">
        <f t="shared" si="42"/>
        <v>0</v>
      </c>
      <c r="CW21" s="56" t="e">
        <f t="shared" si="43"/>
        <v>#DIV/0!</v>
      </c>
      <c r="CX21" s="57">
        <v>0</v>
      </c>
      <c r="CY21" s="57">
        <v>0</v>
      </c>
      <c r="CZ21" s="57">
        <v>0</v>
      </c>
      <c r="DA21" s="57">
        <f t="shared" si="44"/>
        <v>0</v>
      </c>
      <c r="DB21" s="57">
        <v>600</v>
      </c>
      <c r="DC21" s="57">
        <v>0</v>
      </c>
      <c r="DD21" s="57">
        <f t="shared" si="45"/>
        <v>600</v>
      </c>
      <c r="DE21" s="57">
        <f t="shared" si="46"/>
        <v>0</v>
      </c>
      <c r="DF21" s="57" t="e">
        <f t="shared" si="47"/>
        <v>#DIV/0!</v>
      </c>
    </row>
    <row r="22" spans="1:110" ht="14.25" customHeight="1">
      <c r="A22" s="89"/>
      <c r="B22" s="44"/>
      <c r="C22" s="45">
        <v>0</v>
      </c>
      <c r="D22" s="45">
        <v>0</v>
      </c>
      <c r="E22" s="45">
        <v>0</v>
      </c>
      <c r="F22" s="45">
        <f t="shared" si="0"/>
        <v>0</v>
      </c>
      <c r="G22" s="45">
        <v>900</v>
      </c>
      <c r="H22" s="45">
        <v>0</v>
      </c>
      <c r="I22" s="45">
        <f t="shared" si="1"/>
        <v>900</v>
      </c>
      <c r="J22" s="45">
        <f t="shared" si="2"/>
        <v>0</v>
      </c>
      <c r="K22" s="45" t="e">
        <f t="shared" si="3"/>
        <v>#DIV/0!</v>
      </c>
      <c r="L22" s="47">
        <v>0</v>
      </c>
      <c r="M22" s="47">
        <v>0</v>
      </c>
      <c r="N22" s="47">
        <v>0</v>
      </c>
      <c r="O22" s="47">
        <f t="shared" si="4"/>
        <v>0</v>
      </c>
      <c r="P22" s="47">
        <v>1800</v>
      </c>
      <c r="Q22" s="47">
        <v>0</v>
      </c>
      <c r="R22" s="47">
        <f t="shared" si="5"/>
        <v>1800</v>
      </c>
      <c r="S22" s="47">
        <f t="shared" si="6"/>
        <v>0</v>
      </c>
      <c r="T22" s="47" t="e">
        <f t="shared" si="7"/>
        <v>#DIV/0!</v>
      </c>
      <c r="U22" s="48">
        <v>0</v>
      </c>
      <c r="V22" s="48">
        <v>0</v>
      </c>
      <c r="W22" s="48">
        <v>0</v>
      </c>
      <c r="X22" s="48">
        <f t="shared" si="8"/>
        <v>0</v>
      </c>
      <c r="Y22" s="48">
        <v>910</v>
      </c>
      <c r="Z22" s="48">
        <v>0</v>
      </c>
      <c r="AA22" s="48">
        <f t="shared" si="9"/>
        <v>910</v>
      </c>
      <c r="AB22" s="48">
        <f t="shared" si="10"/>
        <v>0</v>
      </c>
      <c r="AC22" s="48" t="e">
        <f t="shared" si="11"/>
        <v>#DIV/0!</v>
      </c>
      <c r="AD22" s="49">
        <v>0</v>
      </c>
      <c r="AE22" s="49">
        <v>0</v>
      </c>
      <c r="AF22" s="49">
        <v>0</v>
      </c>
      <c r="AG22" s="49">
        <f t="shared" si="12"/>
        <v>0</v>
      </c>
      <c r="AH22" s="49">
        <v>1200</v>
      </c>
      <c r="AI22" s="49">
        <v>0</v>
      </c>
      <c r="AJ22" s="49">
        <f t="shared" si="13"/>
        <v>1200</v>
      </c>
      <c r="AK22" s="49">
        <f t="shared" si="14"/>
        <v>0</v>
      </c>
      <c r="AL22" s="49" t="e">
        <f t="shared" si="15"/>
        <v>#DIV/0!</v>
      </c>
      <c r="AM22" s="50">
        <v>0</v>
      </c>
      <c r="AN22" s="50">
        <v>0</v>
      </c>
      <c r="AO22" s="50">
        <v>0</v>
      </c>
      <c r="AP22" s="50">
        <f t="shared" si="16"/>
        <v>0</v>
      </c>
      <c r="AQ22" s="50">
        <v>600</v>
      </c>
      <c r="AR22" s="50">
        <v>0</v>
      </c>
      <c r="AS22" s="50">
        <f t="shared" si="17"/>
        <v>600</v>
      </c>
      <c r="AT22" s="50">
        <f t="shared" si="18"/>
        <v>0</v>
      </c>
      <c r="AU22" s="50" t="e">
        <f t="shared" si="19"/>
        <v>#DIV/0!</v>
      </c>
      <c r="AV22" s="51">
        <v>0</v>
      </c>
      <c r="AW22" s="51">
        <v>0</v>
      </c>
      <c r="AX22" s="51">
        <v>0</v>
      </c>
      <c r="AY22" s="51">
        <f t="shared" si="20"/>
        <v>0</v>
      </c>
      <c r="AZ22" s="51">
        <v>1500</v>
      </c>
      <c r="BA22" s="51">
        <v>0</v>
      </c>
      <c r="BB22" s="51">
        <f t="shared" si="21"/>
        <v>1500</v>
      </c>
      <c r="BC22" s="51">
        <f t="shared" si="22"/>
        <v>0</v>
      </c>
      <c r="BD22" s="51" t="e">
        <f t="shared" si="23"/>
        <v>#DIV/0!</v>
      </c>
      <c r="BE22" s="52">
        <v>0</v>
      </c>
      <c r="BF22" s="52">
        <v>0</v>
      </c>
      <c r="BG22" s="52">
        <v>0</v>
      </c>
      <c r="BH22" s="52">
        <f t="shared" si="24"/>
        <v>0</v>
      </c>
      <c r="BI22" s="52">
        <v>750</v>
      </c>
      <c r="BJ22" s="52">
        <v>0</v>
      </c>
      <c r="BK22" s="52">
        <f t="shared" si="25"/>
        <v>750</v>
      </c>
      <c r="BL22" s="52">
        <f t="shared" si="26"/>
        <v>0</v>
      </c>
      <c r="BM22" s="52" t="e">
        <f t="shared" si="27"/>
        <v>#DIV/0!</v>
      </c>
      <c r="BN22" s="53">
        <v>0</v>
      </c>
      <c r="BO22" s="53">
        <v>0</v>
      </c>
      <c r="BP22" s="53">
        <v>0</v>
      </c>
      <c r="BQ22" s="53">
        <f t="shared" si="28"/>
        <v>0</v>
      </c>
      <c r="BR22" s="53">
        <v>2450</v>
      </c>
      <c r="BS22" s="53">
        <v>0</v>
      </c>
      <c r="BT22" s="53">
        <f t="shared" si="29"/>
        <v>2450</v>
      </c>
      <c r="BU22" s="53">
        <f t="shared" si="30"/>
        <v>0</v>
      </c>
      <c r="BV22" s="53" t="e">
        <f t="shared" si="31"/>
        <v>#DIV/0!</v>
      </c>
      <c r="BW22" s="54">
        <v>0</v>
      </c>
      <c r="BX22" s="54">
        <v>0</v>
      </c>
      <c r="BY22" s="54">
        <v>0</v>
      </c>
      <c r="BZ22" s="54">
        <f t="shared" si="32"/>
        <v>0</v>
      </c>
      <c r="CA22" s="54">
        <v>750</v>
      </c>
      <c r="CB22" s="54">
        <v>0</v>
      </c>
      <c r="CC22" s="54">
        <f t="shared" si="33"/>
        <v>750</v>
      </c>
      <c r="CD22" s="54">
        <f t="shared" si="34"/>
        <v>0</v>
      </c>
      <c r="CE22" s="54" t="e">
        <f t="shared" si="35"/>
        <v>#DIV/0!</v>
      </c>
      <c r="CF22" s="55">
        <v>0</v>
      </c>
      <c r="CG22" s="55">
        <v>0</v>
      </c>
      <c r="CH22" s="55">
        <v>0</v>
      </c>
      <c r="CI22" s="55">
        <f t="shared" si="36"/>
        <v>0</v>
      </c>
      <c r="CJ22" s="55">
        <v>730</v>
      </c>
      <c r="CK22" s="55">
        <v>0</v>
      </c>
      <c r="CL22" s="55">
        <f t="shared" si="37"/>
        <v>730</v>
      </c>
      <c r="CM22" s="55">
        <f t="shared" si="38"/>
        <v>0</v>
      </c>
      <c r="CN22" s="55" t="e">
        <f t="shared" si="39"/>
        <v>#DIV/0!</v>
      </c>
      <c r="CO22" s="56">
        <v>0</v>
      </c>
      <c r="CP22" s="56">
        <v>0</v>
      </c>
      <c r="CQ22" s="56">
        <v>0</v>
      </c>
      <c r="CR22" s="56">
        <f t="shared" si="40"/>
        <v>0</v>
      </c>
      <c r="CS22" s="56">
        <v>730</v>
      </c>
      <c r="CT22" s="56">
        <v>0</v>
      </c>
      <c r="CU22" s="56">
        <f t="shared" si="41"/>
        <v>730</v>
      </c>
      <c r="CV22" s="56">
        <f t="shared" si="42"/>
        <v>0</v>
      </c>
      <c r="CW22" s="56" t="e">
        <f t="shared" si="43"/>
        <v>#DIV/0!</v>
      </c>
      <c r="CX22" s="57">
        <v>0</v>
      </c>
      <c r="CY22" s="57">
        <v>0</v>
      </c>
      <c r="CZ22" s="57">
        <v>0</v>
      </c>
      <c r="DA22" s="57">
        <f t="shared" si="44"/>
        <v>0</v>
      </c>
      <c r="DB22" s="57">
        <v>600</v>
      </c>
      <c r="DC22" s="57">
        <v>0</v>
      </c>
      <c r="DD22" s="57">
        <f t="shared" si="45"/>
        <v>600</v>
      </c>
      <c r="DE22" s="57">
        <f t="shared" si="46"/>
        <v>0</v>
      </c>
      <c r="DF22" s="57" t="e">
        <f t="shared" si="47"/>
        <v>#DIV/0!</v>
      </c>
    </row>
    <row r="23" spans="1:110" ht="14.25" customHeight="1">
      <c r="A23" s="89"/>
      <c r="B23" s="44"/>
      <c r="C23" s="45">
        <v>0</v>
      </c>
      <c r="D23" s="45">
        <v>0</v>
      </c>
      <c r="E23" s="45">
        <v>0</v>
      </c>
      <c r="F23" s="45">
        <f t="shared" si="0"/>
        <v>0</v>
      </c>
      <c r="G23" s="45">
        <v>900</v>
      </c>
      <c r="H23" s="45">
        <v>0</v>
      </c>
      <c r="I23" s="45">
        <f t="shared" si="1"/>
        <v>900</v>
      </c>
      <c r="J23" s="45">
        <f t="shared" si="2"/>
        <v>0</v>
      </c>
      <c r="K23" s="45" t="e">
        <f t="shared" si="3"/>
        <v>#DIV/0!</v>
      </c>
      <c r="L23" s="47">
        <v>0</v>
      </c>
      <c r="M23" s="47">
        <v>0</v>
      </c>
      <c r="N23" s="47">
        <v>0</v>
      </c>
      <c r="O23" s="47">
        <f t="shared" si="4"/>
        <v>0</v>
      </c>
      <c r="P23" s="47">
        <v>1800</v>
      </c>
      <c r="Q23" s="47">
        <v>0</v>
      </c>
      <c r="R23" s="47">
        <f t="shared" si="5"/>
        <v>1800</v>
      </c>
      <c r="S23" s="47">
        <f t="shared" si="6"/>
        <v>0</v>
      </c>
      <c r="T23" s="47" t="e">
        <f t="shared" si="7"/>
        <v>#DIV/0!</v>
      </c>
      <c r="U23" s="48">
        <v>0</v>
      </c>
      <c r="V23" s="48">
        <v>0</v>
      </c>
      <c r="W23" s="48">
        <v>0</v>
      </c>
      <c r="X23" s="48">
        <f t="shared" si="8"/>
        <v>0</v>
      </c>
      <c r="Y23" s="48">
        <v>910</v>
      </c>
      <c r="Z23" s="48">
        <v>0</v>
      </c>
      <c r="AA23" s="48">
        <f t="shared" si="9"/>
        <v>910</v>
      </c>
      <c r="AB23" s="48">
        <f t="shared" si="10"/>
        <v>0</v>
      </c>
      <c r="AC23" s="48" t="e">
        <f t="shared" si="11"/>
        <v>#DIV/0!</v>
      </c>
      <c r="AD23" s="49">
        <v>0</v>
      </c>
      <c r="AE23" s="49">
        <v>0</v>
      </c>
      <c r="AF23" s="49">
        <v>0</v>
      </c>
      <c r="AG23" s="49">
        <f t="shared" si="12"/>
        <v>0</v>
      </c>
      <c r="AH23" s="49">
        <v>1200</v>
      </c>
      <c r="AI23" s="49">
        <v>0</v>
      </c>
      <c r="AJ23" s="49">
        <f t="shared" si="13"/>
        <v>1200</v>
      </c>
      <c r="AK23" s="49">
        <f t="shared" si="14"/>
        <v>0</v>
      </c>
      <c r="AL23" s="49" t="e">
        <f t="shared" si="15"/>
        <v>#DIV/0!</v>
      </c>
      <c r="AM23" s="50">
        <v>0</v>
      </c>
      <c r="AN23" s="50">
        <v>0</v>
      </c>
      <c r="AO23" s="50">
        <v>0</v>
      </c>
      <c r="AP23" s="50">
        <f t="shared" si="16"/>
        <v>0</v>
      </c>
      <c r="AQ23" s="50">
        <v>600</v>
      </c>
      <c r="AR23" s="50">
        <v>0</v>
      </c>
      <c r="AS23" s="50">
        <f t="shared" si="17"/>
        <v>600</v>
      </c>
      <c r="AT23" s="50">
        <f t="shared" si="18"/>
        <v>0</v>
      </c>
      <c r="AU23" s="50" t="e">
        <f t="shared" si="19"/>
        <v>#DIV/0!</v>
      </c>
      <c r="AV23" s="51">
        <v>0</v>
      </c>
      <c r="AW23" s="51">
        <v>0</v>
      </c>
      <c r="AX23" s="51">
        <v>0</v>
      </c>
      <c r="AY23" s="51">
        <f t="shared" si="20"/>
        <v>0</v>
      </c>
      <c r="AZ23" s="51">
        <v>1500</v>
      </c>
      <c r="BA23" s="51">
        <v>0</v>
      </c>
      <c r="BB23" s="51">
        <f t="shared" si="21"/>
        <v>1500</v>
      </c>
      <c r="BC23" s="51">
        <f t="shared" si="22"/>
        <v>0</v>
      </c>
      <c r="BD23" s="51" t="e">
        <f t="shared" si="23"/>
        <v>#DIV/0!</v>
      </c>
      <c r="BE23" s="52">
        <v>0</v>
      </c>
      <c r="BF23" s="52">
        <v>0</v>
      </c>
      <c r="BG23" s="52">
        <v>0</v>
      </c>
      <c r="BH23" s="52">
        <f t="shared" si="24"/>
        <v>0</v>
      </c>
      <c r="BI23" s="52">
        <v>750</v>
      </c>
      <c r="BJ23" s="52">
        <v>0</v>
      </c>
      <c r="BK23" s="52">
        <f t="shared" si="25"/>
        <v>750</v>
      </c>
      <c r="BL23" s="52">
        <f t="shared" si="26"/>
        <v>0</v>
      </c>
      <c r="BM23" s="52" t="e">
        <f t="shared" si="27"/>
        <v>#DIV/0!</v>
      </c>
      <c r="BN23" s="53">
        <v>0</v>
      </c>
      <c r="BO23" s="53">
        <v>0</v>
      </c>
      <c r="BP23" s="53">
        <v>0</v>
      </c>
      <c r="BQ23" s="53">
        <f t="shared" si="28"/>
        <v>0</v>
      </c>
      <c r="BR23" s="53">
        <v>2450</v>
      </c>
      <c r="BS23" s="53">
        <v>0</v>
      </c>
      <c r="BT23" s="53">
        <f t="shared" si="29"/>
        <v>2450</v>
      </c>
      <c r="BU23" s="53">
        <f t="shared" si="30"/>
        <v>0</v>
      </c>
      <c r="BV23" s="53" t="e">
        <f t="shared" si="31"/>
        <v>#DIV/0!</v>
      </c>
      <c r="BW23" s="54">
        <v>0</v>
      </c>
      <c r="BX23" s="54">
        <v>0</v>
      </c>
      <c r="BY23" s="54">
        <v>0</v>
      </c>
      <c r="BZ23" s="54">
        <f t="shared" si="32"/>
        <v>0</v>
      </c>
      <c r="CA23" s="54">
        <v>750</v>
      </c>
      <c r="CB23" s="54">
        <v>0</v>
      </c>
      <c r="CC23" s="54">
        <f t="shared" si="33"/>
        <v>750</v>
      </c>
      <c r="CD23" s="54">
        <f t="shared" si="34"/>
        <v>0</v>
      </c>
      <c r="CE23" s="54" t="e">
        <f t="shared" si="35"/>
        <v>#DIV/0!</v>
      </c>
      <c r="CF23" s="55">
        <v>0</v>
      </c>
      <c r="CG23" s="55">
        <v>0</v>
      </c>
      <c r="CH23" s="55">
        <v>0</v>
      </c>
      <c r="CI23" s="55">
        <f t="shared" si="36"/>
        <v>0</v>
      </c>
      <c r="CJ23" s="55">
        <v>730</v>
      </c>
      <c r="CK23" s="55">
        <v>0</v>
      </c>
      <c r="CL23" s="55">
        <f t="shared" si="37"/>
        <v>730</v>
      </c>
      <c r="CM23" s="55">
        <f t="shared" si="38"/>
        <v>0</v>
      </c>
      <c r="CN23" s="55" t="e">
        <f t="shared" si="39"/>
        <v>#DIV/0!</v>
      </c>
      <c r="CO23" s="56">
        <v>0</v>
      </c>
      <c r="CP23" s="56">
        <v>0</v>
      </c>
      <c r="CQ23" s="56">
        <v>0</v>
      </c>
      <c r="CR23" s="56">
        <f t="shared" si="40"/>
        <v>0</v>
      </c>
      <c r="CS23" s="56">
        <v>730</v>
      </c>
      <c r="CT23" s="56">
        <v>0</v>
      </c>
      <c r="CU23" s="56">
        <f t="shared" si="41"/>
        <v>730</v>
      </c>
      <c r="CV23" s="56">
        <f t="shared" si="42"/>
        <v>0</v>
      </c>
      <c r="CW23" s="56" t="e">
        <f t="shared" si="43"/>
        <v>#DIV/0!</v>
      </c>
      <c r="CX23" s="57">
        <v>0</v>
      </c>
      <c r="CY23" s="57">
        <v>0</v>
      </c>
      <c r="CZ23" s="57">
        <v>0</v>
      </c>
      <c r="DA23" s="57">
        <f t="shared" si="44"/>
        <v>0</v>
      </c>
      <c r="DB23" s="57">
        <v>600</v>
      </c>
      <c r="DC23" s="57">
        <v>0</v>
      </c>
      <c r="DD23" s="57">
        <f t="shared" si="45"/>
        <v>600</v>
      </c>
      <c r="DE23" s="57">
        <f t="shared" si="46"/>
        <v>0</v>
      </c>
      <c r="DF23" s="57" t="e">
        <f t="shared" si="47"/>
        <v>#DIV/0!</v>
      </c>
    </row>
    <row r="24" spans="1:110" ht="14.25" customHeight="1">
      <c r="A24" s="89"/>
      <c r="B24" s="44"/>
      <c r="C24" s="45">
        <v>0</v>
      </c>
      <c r="D24" s="45">
        <v>0</v>
      </c>
      <c r="E24" s="45">
        <v>0</v>
      </c>
      <c r="F24" s="45">
        <f t="shared" si="0"/>
        <v>0</v>
      </c>
      <c r="G24" s="45">
        <v>900</v>
      </c>
      <c r="H24" s="45">
        <v>0</v>
      </c>
      <c r="I24" s="45">
        <f t="shared" si="1"/>
        <v>900</v>
      </c>
      <c r="J24" s="45">
        <f t="shared" si="2"/>
        <v>0</v>
      </c>
      <c r="K24" s="45" t="e">
        <f t="shared" si="3"/>
        <v>#DIV/0!</v>
      </c>
      <c r="L24" s="47">
        <v>0</v>
      </c>
      <c r="M24" s="47">
        <v>0</v>
      </c>
      <c r="N24" s="47">
        <v>0</v>
      </c>
      <c r="O24" s="47">
        <f t="shared" si="4"/>
        <v>0</v>
      </c>
      <c r="P24" s="47">
        <v>1800</v>
      </c>
      <c r="Q24" s="47">
        <v>0</v>
      </c>
      <c r="R24" s="47">
        <f t="shared" si="5"/>
        <v>1800</v>
      </c>
      <c r="S24" s="47">
        <f t="shared" si="6"/>
        <v>0</v>
      </c>
      <c r="T24" s="47" t="e">
        <f t="shared" si="7"/>
        <v>#DIV/0!</v>
      </c>
      <c r="U24" s="48">
        <v>0</v>
      </c>
      <c r="V24" s="48">
        <v>0</v>
      </c>
      <c r="W24" s="48">
        <v>0</v>
      </c>
      <c r="X24" s="48">
        <f t="shared" si="8"/>
        <v>0</v>
      </c>
      <c r="Y24" s="48">
        <v>910</v>
      </c>
      <c r="Z24" s="48">
        <v>0</v>
      </c>
      <c r="AA24" s="48">
        <f t="shared" si="9"/>
        <v>910</v>
      </c>
      <c r="AB24" s="48">
        <f t="shared" si="10"/>
        <v>0</v>
      </c>
      <c r="AC24" s="48" t="e">
        <f t="shared" si="11"/>
        <v>#DIV/0!</v>
      </c>
      <c r="AD24" s="49">
        <v>0</v>
      </c>
      <c r="AE24" s="49">
        <v>0</v>
      </c>
      <c r="AF24" s="49">
        <v>0</v>
      </c>
      <c r="AG24" s="49">
        <f t="shared" si="12"/>
        <v>0</v>
      </c>
      <c r="AH24" s="49">
        <v>1200</v>
      </c>
      <c r="AI24" s="49">
        <v>0</v>
      </c>
      <c r="AJ24" s="49">
        <f t="shared" si="13"/>
        <v>1200</v>
      </c>
      <c r="AK24" s="49">
        <f t="shared" si="14"/>
        <v>0</v>
      </c>
      <c r="AL24" s="49" t="e">
        <f t="shared" si="15"/>
        <v>#DIV/0!</v>
      </c>
      <c r="AM24" s="50">
        <v>0</v>
      </c>
      <c r="AN24" s="50">
        <v>0</v>
      </c>
      <c r="AO24" s="50">
        <v>0</v>
      </c>
      <c r="AP24" s="50">
        <f t="shared" si="16"/>
        <v>0</v>
      </c>
      <c r="AQ24" s="50">
        <v>600</v>
      </c>
      <c r="AR24" s="50">
        <v>0</v>
      </c>
      <c r="AS24" s="50">
        <f t="shared" si="17"/>
        <v>600</v>
      </c>
      <c r="AT24" s="50">
        <f t="shared" si="18"/>
        <v>0</v>
      </c>
      <c r="AU24" s="50" t="e">
        <f t="shared" si="19"/>
        <v>#DIV/0!</v>
      </c>
      <c r="AV24" s="51">
        <v>0</v>
      </c>
      <c r="AW24" s="51">
        <v>0</v>
      </c>
      <c r="AX24" s="51">
        <v>0</v>
      </c>
      <c r="AY24" s="51">
        <f t="shared" si="20"/>
        <v>0</v>
      </c>
      <c r="AZ24" s="51">
        <v>1500</v>
      </c>
      <c r="BA24" s="51">
        <v>0</v>
      </c>
      <c r="BB24" s="51">
        <f t="shared" si="21"/>
        <v>1500</v>
      </c>
      <c r="BC24" s="51">
        <f t="shared" si="22"/>
        <v>0</v>
      </c>
      <c r="BD24" s="51" t="e">
        <f t="shared" si="23"/>
        <v>#DIV/0!</v>
      </c>
      <c r="BE24" s="52">
        <v>0</v>
      </c>
      <c r="BF24" s="52">
        <v>0</v>
      </c>
      <c r="BG24" s="52">
        <v>0</v>
      </c>
      <c r="BH24" s="52">
        <f t="shared" si="24"/>
        <v>0</v>
      </c>
      <c r="BI24" s="52">
        <v>750</v>
      </c>
      <c r="BJ24" s="52">
        <v>0</v>
      </c>
      <c r="BK24" s="52">
        <f t="shared" si="25"/>
        <v>750</v>
      </c>
      <c r="BL24" s="52">
        <f t="shared" si="26"/>
        <v>0</v>
      </c>
      <c r="BM24" s="52" t="e">
        <f t="shared" si="27"/>
        <v>#DIV/0!</v>
      </c>
      <c r="BN24" s="53">
        <v>0</v>
      </c>
      <c r="BO24" s="53">
        <v>0</v>
      </c>
      <c r="BP24" s="53">
        <v>0</v>
      </c>
      <c r="BQ24" s="53">
        <f t="shared" si="28"/>
        <v>0</v>
      </c>
      <c r="BR24" s="53">
        <v>2450</v>
      </c>
      <c r="BS24" s="53">
        <v>0</v>
      </c>
      <c r="BT24" s="53">
        <f t="shared" si="29"/>
        <v>2450</v>
      </c>
      <c r="BU24" s="53">
        <f t="shared" si="30"/>
        <v>0</v>
      </c>
      <c r="BV24" s="53" t="e">
        <f t="shared" si="31"/>
        <v>#DIV/0!</v>
      </c>
      <c r="BW24" s="54">
        <v>0</v>
      </c>
      <c r="BX24" s="54">
        <v>0</v>
      </c>
      <c r="BY24" s="54">
        <v>0</v>
      </c>
      <c r="BZ24" s="54">
        <f t="shared" si="32"/>
        <v>0</v>
      </c>
      <c r="CA24" s="54">
        <v>750</v>
      </c>
      <c r="CB24" s="54">
        <v>0</v>
      </c>
      <c r="CC24" s="54">
        <f t="shared" si="33"/>
        <v>750</v>
      </c>
      <c r="CD24" s="54">
        <f t="shared" si="34"/>
        <v>0</v>
      </c>
      <c r="CE24" s="54" t="e">
        <f t="shared" si="35"/>
        <v>#DIV/0!</v>
      </c>
      <c r="CF24" s="55">
        <v>0</v>
      </c>
      <c r="CG24" s="55">
        <v>0</v>
      </c>
      <c r="CH24" s="55">
        <v>0</v>
      </c>
      <c r="CI24" s="55">
        <f t="shared" si="36"/>
        <v>0</v>
      </c>
      <c r="CJ24" s="55">
        <v>730</v>
      </c>
      <c r="CK24" s="55">
        <v>0</v>
      </c>
      <c r="CL24" s="55">
        <f t="shared" si="37"/>
        <v>730</v>
      </c>
      <c r="CM24" s="55">
        <f t="shared" si="38"/>
        <v>0</v>
      </c>
      <c r="CN24" s="55" t="e">
        <f t="shared" si="39"/>
        <v>#DIV/0!</v>
      </c>
      <c r="CO24" s="56">
        <v>0</v>
      </c>
      <c r="CP24" s="56">
        <v>0</v>
      </c>
      <c r="CQ24" s="56">
        <v>0</v>
      </c>
      <c r="CR24" s="56">
        <f t="shared" si="40"/>
        <v>0</v>
      </c>
      <c r="CS24" s="56">
        <v>730</v>
      </c>
      <c r="CT24" s="56">
        <v>0</v>
      </c>
      <c r="CU24" s="56">
        <f t="shared" si="41"/>
        <v>730</v>
      </c>
      <c r="CV24" s="56">
        <f t="shared" si="42"/>
        <v>0</v>
      </c>
      <c r="CW24" s="56" t="e">
        <f t="shared" si="43"/>
        <v>#DIV/0!</v>
      </c>
      <c r="CX24" s="57">
        <v>0</v>
      </c>
      <c r="CY24" s="57">
        <v>0</v>
      </c>
      <c r="CZ24" s="57">
        <v>0</v>
      </c>
      <c r="DA24" s="57">
        <f t="shared" si="44"/>
        <v>0</v>
      </c>
      <c r="DB24" s="57">
        <v>600</v>
      </c>
      <c r="DC24" s="57">
        <v>0</v>
      </c>
      <c r="DD24" s="57">
        <f t="shared" si="45"/>
        <v>600</v>
      </c>
      <c r="DE24" s="57">
        <f t="shared" si="46"/>
        <v>0</v>
      </c>
      <c r="DF24" s="57" t="e">
        <f t="shared" si="47"/>
        <v>#DIV/0!</v>
      </c>
    </row>
    <row r="25" spans="1:110" ht="14.25" customHeight="1">
      <c r="A25" s="89"/>
      <c r="B25" s="44"/>
      <c r="C25" s="45">
        <v>0</v>
      </c>
      <c r="D25" s="45">
        <v>0</v>
      </c>
      <c r="E25" s="45">
        <v>0</v>
      </c>
      <c r="F25" s="45">
        <f t="shared" si="0"/>
        <v>0</v>
      </c>
      <c r="G25" s="45">
        <v>900</v>
      </c>
      <c r="H25" s="45">
        <v>0</v>
      </c>
      <c r="I25" s="45">
        <f t="shared" si="1"/>
        <v>900</v>
      </c>
      <c r="J25" s="45">
        <f t="shared" si="2"/>
        <v>0</v>
      </c>
      <c r="K25" s="45" t="e">
        <f t="shared" si="3"/>
        <v>#DIV/0!</v>
      </c>
      <c r="L25" s="47">
        <v>0</v>
      </c>
      <c r="M25" s="47">
        <v>0</v>
      </c>
      <c r="N25" s="47">
        <v>0</v>
      </c>
      <c r="O25" s="47">
        <f t="shared" si="4"/>
        <v>0</v>
      </c>
      <c r="P25" s="47">
        <v>1800</v>
      </c>
      <c r="Q25" s="47">
        <v>0</v>
      </c>
      <c r="R25" s="47">
        <f t="shared" si="5"/>
        <v>1800</v>
      </c>
      <c r="S25" s="47">
        <f t="shared" si="6"/>
        <v>0</v>
      </c>
      <c r="T25" s="47" t="e">
        <f t="shared" si="7"/>
        <v>#DIV/0!</v>
      </c>
      <c r="U25" s="48">
        <v>0</v>
      </c>
      <c r="V25" s="48">
        <v>0</v>
      </c>
      <c r="W25" s="48">
        <v>0</v>
      </c>
      <c r="X25" s="48">
        <f t="shared" si="8"/>
        <v>0</v>
      </c>
      <c r="Y25" s="48">
        <v>910</v>
      </c>
      <c r="Z25" s="48">
        <v>0</v>
      </c>
      <c r="AA25" s="48">
        <f t="shared" si="9"/>
        <v>910</v>
      </c>
      <c r="AB25" s="48">
        <f t="shared" si="10"/>
        <v>0</v>
      </c>
      <c r="AC25" s="48" t="e">
        <f t="shared" si="11"/>
        <v>#DIV/0!</v>
      </c>
      <c r="AD25" s="49">
        <v>0</v>
      </c>
      <c r="AE25" s="49">
        <v>0</v>
      </c>
      <c r="AF25" s="49">
        <v>0</v>
      </c>
      <c r="AG25" s="49">
        <f t="shared" si="12"/>
        <v>0</v>
      </c>
      <c r="AH25" s="49">
        <v>1200</v>
      </c>
      <c r="AI25" s="49">
        <v>0</v>
      </c>
      <c r="AJ25" s="49">
        <f t="shared" si="13"/>
        <v>1200</v>
      </c>
      <c r="AK25" s="49">
        <f t="shared" si="14"/>
        <v>0</v>
      </c>
      <c r="AL25" s="49" t="e">
        <f t="shared" si="15"/>
        <v>#DIV/0!</v>
      </c>
      <c r="AM25" s="50">
        <v>0</v>
      </c>
      <c r="AN25" s="50">
        <v>0</v>
      </c>
      <c r="AO25" s="50">
        <v>0</v>
      </c>
      <c r="AP25" s="50">
        <f t="shared" si="16"/>
        <v>0</v>
      </c>
      <c r="AQ25" s="50">
        <v>600</v>
      </c>
      <c r="AR25" s="50">
        <v>0</v>
      </c>
      <c r="AS25" s="50">
        <f t="shared" si="17"/>
        <v>600</v>
      </c>
      <c r="AT25" s="50">
        <f t="shared" si="18"/>
        <v>0</v>
      </c>
      <c r="AU25" s="50" t="e">
        <f t="shared" si="19"/>
        <v>#DIV/0!</v>
      </c>
      <c r="AV25" s="51">
        <v>0</v>
      </c>
      <c r="AW25" s="51">
        <v>0</v>
      </c>
      <c r="AX25" s="51">
        <v>0</v>
      </c>
      <c r="AY25" s="51">
        <f t="shared" si="20"/>
        <v>0</v>
      </c>
      <c r="AZ25" s="51">
        <v>1500</v>
      </c>
      <c r="BA25" s="51">
        <v>0</v>
      </c>
      <c r="BB25" s="51">
        <f t="shared" si="21"/>
        <v>1500</v>
      </c>
      <c r="BC25" s="51">
        <f t="shared" si="22"/>
        <v>0</v>
      </c>
      <c r="BD25" s="51" t="e">
        <f t="shared" si="23"/>
        <v>#DIV/0!</v>
      </c>
      <c r="BE25" s="52">
        <v>0</v>
      </c>
      <c r="BF25" s="52">
        <v>0</v>
      </c>
      <c r="BG25" s="52">
        <v>0</v>
      </c>
      <c r="BH25" s="52">
        <f t="shared" si="24"/>
        <v>0</v>
      </c>
      <c r="BI25" s="52">
        <v>750</v>
      </c>
      <c r="BJ25" s="52">
        <v>0</v>
      </c>
      <c r="BK25" s="52">
        <f t="shared" si="25"/>
        <v>750</v>
      </c>
      <c r="BL25" s="52">
        <f t="shared" si="26"/>
        <v>0</v>
      </c>
      <c r="BM25" s="52" t="e">
        <f t="shared" si="27"/>
        <v>#DIV/0!</v>
      </c>
      <c r="BN25" s="53">
        <v>0</v>
      </c>
      <c r="BO25" s="53">
        <v>0</v>
      </c>
      <c r="BP25" s="53">
        <v>0</v>
      </c>
      <c r="BQ25" s="53">
        <f t="shared" si="28"/>
        <v>0</v>
      </c>
      <c r="BR25" s="53">
        <v>2450</v>
      </c>
      <c r="BS25" s="53">
        <v>0</v>
      </c>
      <c r="BT25" s="53">
        <f t="shared" si="29"/>
        <v>2450</v>
      </c>
      <c r="BU25" s="53">
        <f t="shared" si="30"/>
        <v>0</v>
      </c>
      <c r="BV25" s="53" t="e">
        <f t="shared" si="31"/>
        <v>#DIV/0!</v>
      </c>
      <c r="BW25" s="54">
        <v>0</v>
      </c>
      <c r="BX25" s="54">
        <v>0</v>
      </c>
      <c r="BY25" s="54">
        <v>0</v>
      </c>
      <c r="BZ25" s="54">
        <f t="shared" si="32"/>
        <v>0</v>
      </c>
      <c r="CA25" s="54">
        <v>750</v>
      </c>
      <c r="CB25" s="54">
        <v>0</v>
      </c>
      <c r="CC25" s="54">
        <f t="shared" si="33"/>
        <v>750</v>
      </c>
      <c r="CD25" s="54">
        <f t="shared" si="34"/>
        <v>0</v>
      </c>
      <c r="CE25" s="54" t="e">
        <f t="shared" si="35"/>
        <v>#DIV/0!</v>
      </c>
      <c r="CF25" s="55">
        <v>0</v>
      </c>
      <c r="CG25" s="55">
        <v>0</v>
      </c>
      <c r="CH25" s="55">
        <v>0</v>
      </c>
      <c r="CI25" s="55">
        <f t="shared" si="36"/>
        <v>0</v>
      </c>
      <c r="CJ25" s="55">
        <v>730</v>
      </c>
      <c r="CK25" s="55">
        <v>0</v>
      </c>
      <c r="CL25" s="55">
        <f t="shared" si="37"/>
        <v>730</v>
      </c>
      <c r="CM25" s="55">
        <f t="shared" si="38"/>
        <v>0</v>
      </c>
      <c r="CN25" s="55" t="e">
        <f t="shared" si="39"/>
        <v>#DIV/0!</v>
      </c>
      <c r="CO25" s="56">
        <v>0</v>
      </c>
      <c r="CP25" s="56">
        <v>0</v>
      </c>
      <c r="CQ25" s="56">
        <v>0</v>
      </c>
      <c r="CR25" s="56">
        <f t="shared" si="40"/>
        <v>0</v>
      </c>
      <c r="CS25" s="56">
        <v>730</v>
      </c>
      <c r="CT25" s="56">
        <v>0</v>
      </c>
      <c r="CU25" s="56">
        <f t="shared" si="41"/>
        <v>730</v>
      </c>
      <c r="CV25" s="56">
        <f t="shared" si="42"/>
        <v>0</v>
      </c>
      <c r="CW25" s="56" t="e">
        <f t="shared" si="43"/>
        <v>#DIV/0!</v>
      </c>
      <c r="CX25" s="57">
        <v>0</v>
      </c>
      <c r="CY25" s="57">
        <v>0</v>
      </c>
      <c r="CZ25" s="57">
        <v>0</v>
      </c>
      <c r="DA25" s="57">
        <f t="shared" si="44"/>
        <v>0</v>
      </c>
      <c r="DB25" s="57">
        <v>600</v>
      </c>
      <c r="DC25" s="57">
        <v>0</v>
      </c>
      <c r="DD25" s="57">
        <f t="shared" si="45"/>
        <v>600</v>
      </c>
      <c r="DE25" s="57">
        <f t="shared" si="46"/>
        <v>0</v>
      </c>
      <c r="DF25" s="57" t="e">
        <f t="shared" si="47"/>
        <v>#DIV/0!</v>
      </c>
    </row>
    <row r="26" spans="1:110" ht="14.25" customHeight="1">
      <c r="A26" s="89"/>
      <c r="B26" s="44"/>
      <c r="C26" s="45">
        <v>0</v>
      </c>
      <c r="D26" s="45">
        <v>0</v>
      </c>
      <c r="E26" s="45">
        <v>0</v>
      </c>
      <c r="F26" s="45">
        <f t="shared" si="0"/>
        <v>0</v>
      </c>
      <c r="G26" s="45">
        <v>900</v>
      </c>
      <c r="H26" s="45">
        <v>0</v>
      </c>
      <c r="I26" s="45">
        <f t="shared" si="1"/>
        <v>900</v>
      </c>
      <c r="J26" s="45">
        <f t="shared" si="2"/>
        <v>0</v>
      </c>
      <c r="K26" s="45" t="e">
        <f t="shared" si="3"/>
        <v>#DIV/0!</v>
      </c>
      <c r="L26" s="47">
        <v>0</v>
      </c>
      <c r="M26" s="47">
        <v>0</v>
      </c>
      <c r="N26" s="47">
        <v>0</v>
      </c>
      <c r="O26" s="47">
        <f t="shared" si="4"/>
        <v>0</v>
      </c>
      <c r="P26" s="47">
        <v>1800</v>
      </c>
      <c r="Q26" s="47">
        <v>0</v>
      </c>
      <c r="R26" s="47">
        <f t="shared" si="5"/>
        <v>1800</v>
      </c>
      <c r="S26" s="47">
        <f t="shared" si="6"/>
        <v>0</v>
      </c>
      <c r="T26" s="47" t="e">
        <f t="shared" si="7"/>
        <v>#DIV/0!</v>
      </c>
      <c r="U26" s="48">
        <v>0</v>
      </c>
      <c r="V26" s="48">
        <v>0</v>
      </c>
      <c r="W26" s="48">
        <v>0</v>
      </c>
      <c r="X26" s="48">
        <f t="shared" si="8"/>
        <v>0</v>
      </c>
      <c r="Y26" s="48">
        <v>910</v>
      </c>
      <c r="Z26" s="48">
        <v>0</v>
      </c>
      <c r="AA26" s="48">
        <f t="shared" si="9"/>
        <v>910</v>
      </c>
      <c r="AB26" s="48">
        <f t="shared" si="10"/>
        <v>0</v>
      </c>
      <c r="AC26" s="48" t="e">
        <f t="shared" si="11"/>
        <v>#DIV/0!</v>
      </c>
      <c r="AD26" s="49">
        <v>0</v>
      </c>
      <c r="AE26" s="49">
        <v>0</v>
      </c>
      <c r="AF26" s="49">
        <v>0</v>
      </c>
      <c r="AG26" s="49">
        <f t="shared" si="12"/>
        <v>0</v>
      </c>
      <c r="AH26" s="49">
        <v>1200</v>
      </c>
      <c r="AI26" s="49">
        <v>0</v>
      </c>
      <c r="AJ26" s="49">
        <f t="shared" si="13"/>
        <v>1200</v>
      </c>
      <c r="AK26" s="49">
        <f t="shared" si="14"/>
        <v>0</v>
      </c>
      <c r="AL26" s="49" t="e">
        <f t="shared" si="15"/>
        <v>#DIV/0!</v>
      </c>
      <c r="AM26" s="50">
        <v>0</v>
      </c>
      <c r="AN26" s="50">
        <v>0</v>
      </c>
      <c r="AO26" s="50">
        <v>0</v>
      </c>
      <c r="AP26" s="50">
        <f t="shared" si="16"/>
        <v>0</v>
      </c>
      <c r="AQ26" s="50">
        <v>600</v>
      </c>
      <c r="AR26" s="50">
        <v>0</v>
      </c>
      <c r="AS26" s="50">
        <f t="shared" si="17"/>
        <v>600</v>
      </c>
      <c r="AT26" s="50">
        <f t="shared" si="18"/>
        <v>0</v>
      </c>
      <c r="AU26" s="50" t="e">
        <f t="shared" si="19"/>
        <v>#DIV/0!</v>
      </c>
      <c r="AV26" s="51">
        <v>0</v>
      </c>
      <c r="AW26" s="51">
        <v>0</v>
      </c>
      <c r="AX26" s="51">
        <v>0</v>
      </c>
      <c r="AY26" s="51">
        <f t="shared" si="20"/>
        <v>0</v>
      </c>
      <c r="AZ26" s="51">
        <v>1500</v>
      </c>
      <c r="BA26" s="51">
        <v>0</v>
      </c>
      <c r="BB26" s="51">
        <f t="shared" si="21"/>
        <v>1500</v>
      </c>
      <c r="BC26" s="51">
        <f t="shared" si="22"/>
        <v>0</v>
      </c>
      <c r="BD26" s="51" t="e">
        <f t="shared" si="23"/>
        <v>#DIV/0!</v>
      </c>
      <c r="BE26" s="52">
        <v>0</v>
      </c>
      <c r="BF26" s="52">
        <v>0</v>
      </c>
      <c r="BG26" s="52">
        <v>0</v>
      </c>
      <c r="BH26" s="52">
        <f t="shared" si="24"/>
        <v>0</v>
      </c>
      <c r="BI26" s="52">
        <v>750</v>
      </c>
      <c r="BJ26" s="52">
        <v>0</v>
      </c>
      <c r="BK26" s="52">
        <f t="shared" si="25"/>
        <v>750</v>
      </c>
      <c r="BL26" s="52">
        <f t="shared" si="26"/>
        <v>0</v>
      </c>
      <c r="BM26" s="52" t="e">
        <f t="shared" si="27"/>
        <v>#DIV/0!</v>
      </c>
      <c r="BN26" s="53">
        <v>0</v>
      </c>
      <c r="BO26" s="53">
        <v>0</v>
      </c>
      <c r="BP26" s="53">
        <v>0</v>
      </c>
      <c r="BQ26" s="53">
        <f t="shared" si="28"/>
        <v>0</v>
      </c>
      <c r="BR26" s="53">
        <v>2450</v>
      </c>
      <c r="BS26" s="53">
        <v>0</v>
      </c>
      <c r="BT26" s="53">
        <f t="shared" si="29"/>
        <v>2450</v>
      </c>
      <c r="BU26" s="53">
        <f t="shared" si="30"/>
        <v>0</v>
      </c>
      <c r="BV26" s="53" t="e">
        <f t="shared" si="31"/>
        <v>#DIV/0!</v>
      </c>
      <c r="BW26" s="54">
        <v>0</v>
      </c>
      <c r="BX26" s="54">
        <v>0</v>
      </c>
      <c r="BY26" s="54">
        <v>0</v>
      </c>
      <c r="BZ26" s="54">
        <f t="shared" si="32"/>
        <v>0</v>
      </c>
      <c r="CA26" s="54">
        <v>750</v>
      </c>
      <c r="CB26" s="54">
        <v>0</v>
      </c>
      <c r="CC26" s="54">
        <f t="shared" si="33"/>
        <v>750</v>
      </c>
      <c r="CD26" s="54">
        <f t="shared" si="34"/>
        <v>0</v>
      </c>
      <c r="CE26" s="54" t="e">
        <f t="shared" si="35"/>
        <v>#DIV/0!</v>
      </c>
      <c r="CF26" s="55">
        <v>0</v>
      </c>
      <c r="CG26" s="55">
        <v>0</v>
      </c>
      <c r="CH26" s="55">
        <v>0</v>
      </c>
      <c r="CI26" s="55">
        <f t="shared" si="36"/>
        <v>0</v>
      </c>
      <c r="CJ26" s="55">
        <v>730</v>
      </c>
      <c r="CK26" s="55">
        <v>0</v>
      </c>
      <c r="CL26" s="55">
        <f t="shared" si="37"/>
        <v>730</v>
      </c>
      <c r="CM26" s="55">
        <f t="shared" si="38"/>
        <v>0</v>
      </c>
      <c r="CN26" s="55" t="e">
        <f t="shared" si="39"/>
        <v>#DIV/0!</v>
      </c>
      <c r="CO26" s="56">
        <v>0</v>
      </c>
      <c r="CP26" s="56">
        <v>0</v>
      </c>
      <c r="CQ26" s="56">
        <v>0</v>
      </c>
      <c r="CR26" s="56">
        <f t="shared" si="40"/>
        <v>0</v>
      </c>
      <c r="CS26" s="56">
        <v>730</v>
      </c>
      <c r="CT26" s="56">
        <v>0</v>
      </c>
      <c r="CU26" s="56">
        <f t="shared" si="41"/>
        <v>730</v>
      </c>
      <c r="CV26" s="56">
        <f t="shared" si="42"/>
        <v>0</v>
      </c>
      <c r="CW26" s="56" t="e">
        <f t="shared" si="43"/>
        <v>#DIV/0!</v>
      </c>
      <c r="CX26" s="57">
        <v>0</v>
      </c>
      <c r="CY26" s="57">
        <v>0</v>
      </c>
      <c r="CZ26" s="57">
        <v>0</v>
      </c>
      <c r="DA26" s="57">
        <f t="shared" si="44"/>
        <v>0</v>
      </c>
      <c r="DB26" s="57">
        <v>600</v>
      </c>
      <c r="DC26" s="57">
        <v>0</v>
      </c>
      <c r="DD26" s="57">
        <f t="shared" si="45"/>
        <v>600</v>
      </c>
      <c r="DE26" s="57">
        <f t="shared" si="46"/>
        <v>0</v>
      </c>
      <c r="DF26" s="57" t="e">
        <f t="shared" si="47"/>
        <v>#DIV/0!</v>
      </c>
    </row>
    <row r="27" spans="1:110" ht="14.25" customHeight="1">
      <c r="A27" s="89"/>
      <c r="B27" s="44"/>
      <c r="C27" s="45">
        <v>0</v>
      </c>
      <c r="D27" s="45">
        <v>0</v>
      </c>
      <c r="E27" s="45">
        <v>0</v>
      </c>
      <c r="F27" s="45">
        <f t="shared" si="0"/>
        <v>0</v>
      </c>
      <c r="G27" s="45">
        <v>900</v>
      </c>
      <c r="H27" s="45">
        <v>0</v>
      </c>
      <c r="I27" s="45">
        <f t="shared" si="1"/>
        <v>900</v>
      </c>
      <c r="J27" s="45">
        <f t="shared" si="2"/>
        <v>0</v>
      </c>
      <c r="K27" s="45" t="e">
        <f t="shared" si="3"/>
        <v>#DIV/0!</v>
      </c>
      <c r="L27" s="47">
        <v>0</v>
      </c>
      <c r="M27" s="47">
        <v>0</v>
      </c>
      <c r="N27" s="47">
        <v>0</v>
      </c>
      <c r="O27" s="47">
        <f t="shared" si="4"/>
        <v>0</v>
      </c>
      <c r="P27" s="47">
        <v>1800</v>
      </c>
      <c r="Q27" s="47">
        <v>0</v>
      </c>
      <c r="R27" s="47">
        <f t="shared" si="5"/>
        <v>1800</v>
      </c>
      <c r="S27" s="47">
        <f t="shared" si="6"/>
        <v>0</v>
      </c>
      <c r="T27" s="47" t="e">
        <f t="shared" si="7"/>
        <v>#DIV/0!</v>
      </c>
      <c r="U27" s="48">
        <v>0</v>
      </c>
      <c r="V27" s="48">
        <v>0</v>
      </c>
      <c r="W27" s="48">
        <v>0</v>
      </c>
      <c r="X27" s="48">
        <f t="shared" si="8"/>
        <v>0</v>
      </c>
      <c r="Y27" s="48">
        <v>910</v>
      </c>
      <c r="Z27" s="48">
        <v>0</v>
      </c>
      <c r="AA27" s="48">
        <f t="shared" si="9"/>
        <v>910</v>
      </c>
      <c r="AB27" s="48">
        <f t="shared" si="10"/>
        <v>0</v>
      </c>
      <c r="AC27" s="48" t="e">
        <f t="shared" si="11"/>
        <v>#DIV/0!</v>
      </c>
      <c r="AD27" s="49">
        <v>0</v>
      </c>
      <c r="AE27" s="49">
        <v>0</v>
      </c>
      <c r="AF27" s="49">
        <v>0</v>
      </c>
      <c r="AG27" s="49">
        <f t="shared" si="12"/>
        <v>0</v>
      </c>
      <c r="AH27" s="49">
        <v>1200</v>
      </c>
      <c r="AI27" s="49">
        <v>0</v>
      </c>
      <c r="AJ27" s="49">
        <f t="shared" si="13"/>
        <v>1200</v>
      </c>
      <c r="AK27" s="49">
        <f t="shared" si="14"/>
        <v>0</v>
      </c>
      <c r="AL27" s="49" t="e">
        <f t="shared" si="15"/>
        <v>#DIV/0!</v>
      </c>
      <c r="AM27" s="50">
        <v>0</v>
      </c>
      <c r="AN27" s="50">
        <v>0</v>
      </c>
      <c r="AO27" s="50">
        <v>0</v>
      </c>
      <c r="AP27" s="50">
        <f t="shared" si="16"/>
        <v>0</v>
      </c>
      <c r="AQ27" s="50">
        <v>600</v>
      </c>
      <c r="AR27" s="50">
        <v>0</v>
      </c>
      <c r="AS27" s="50">
        <f t="shared" si="17"/>
        <v>600</v>
      </c>
      <c r="AT27" s="50">
        <f t="shared" si="18"/>
        <v>0</v>
      </c>
      <c r="AU27" s="50" t="e">
        <f t="shared" si="19"/>
        <v>#DIV/0!</v>
      </c>
      <c r="AV27" s="51">
        <v>0</v>
      </c>
      <c r="AW27" s="51">
        <v>0</v>
      </c>
      <c r="AX27" s="51">
        <v>0</v>
      </c>
      <c r="AY27" s="51">
        <f t="shared" si="20"/>
        <v>0</v>
      </c>
      <c r="AZ27" s="51">
        <v>1500</v>
      </c>
      <c r="BA27" s="51">
        <v>0</v>
      </c>
      <c r="BB27" s="51">
        <f t="shared" si="21"/>
        <v>1500</v>
      </c>
      <c r="BC27" s="51">
        <f t="shared" si="22"/>
        <v>0</v>
      </c>
      <c r="BD27" s="51" t="e">
        <f t="shared" si="23"/>
        <v>#DIV/0!</v>
      </c>
      <c r="BE27" s="52">
        <v>0</v>
      </c>
      <c r="BF27" s="52">
        <v>0</v>
      </c>
      <c r="BG27" s="52">
        <v>0</v>
      </c>
      <c r="BH27" s="52">
        <f t="shared" si="24"/>
        <v>0</v>
      </c>
      <c r="BI27" s="52">
        <v>750</v>
      </c>
      <c r="BJ27" s="52">
        <v>0</v>
      </c>
      <c r="BK27" s="52">
        <f t="shared" si="25"/>
        <v>750</v>
      </c>
      <c r="BL27" s="52">
        <f t="shared" si="26"/>
        <v>0</v>
      </c>
      <c r="BM27" s="52" t="e">
        <f t="shared" si="27"/>
        <v>#DIV/0!</v>
      </c>
      <c r="BN27" s="53">
        <v>0</v>
      </c>
      <c r="BO27" s="53">
        <v>0</v>
      </c>
      <c r="BP27" s="53">
        <v>0</v>
      </c>
      <c r="BQ27" s="53">
        <f t="shared" si="28"/>
        <v>0</v>
      </c>
      <c r="BR27" s="53">
        <v>2450</v>
      </c>
      <c r="BS27" s="53">
        <v>0</v>
      </c>
      <c r="BT27" s="53">
        <f t="shared" si="29"/>
        <v>2450</v>
      </c>
      <c r="BU27" s="53">
        <f t="shared" si="30"/>
        <v>0</v>
      </c>
      <c r="BV27" s="53" t="e">
        <f t="shared" si="31"/>
        <v>#DIV/0!</v>
      </c>
      <c r="BW27" s="54">
        <v>0</v>
      </c>
      <c r="BX27" s="54">
        <v>0</v>
      </c>
      <c r="BY27" s="54">
        <v>0</v>
      </c>
      <c r="BZ27" s="54">
        <f t="shared" si="32"/>
        <v>0</v>
      </c>
      <c r="CA27" s="54">
        <v>750</v>
      </c>
      <c r="CB27" s="54">
        <v>0</v>
      </c>
      <c r="CC27" s="54">
        <f t="shared" si="33"/>
        <v>750</v>
      </c>
      <c r="CD27" s="54">
        <f t="shared" si="34"/>
        <v>0</v>
      </c>
      <c r="CE27" s="54" t="e">
        <f t="shared" si="35"/>
        <v>#DIV/0!</v>
      </c>
      <c r="CF27" s="55">
        <v>0</v>
      </c>
      <c r="CG27" s="55">
        <v>0</v>
      </c>
      <c r="CH27" s="55">
        <v>0</v>
      </c>
      <c r="CI27" s="55">
        <f t="shared" si="36"/>
        <v>0</v>
      </c>
      <c r="CJ27" s="55">
        <v>730</v>
      </c>
      <c r="CK27" s="55">
        <v>0</v>
      </c>
      <c r="CL27" s="55">
        <f t="shared" si="37"/>
        <v>730</v>
      </c>
      <c r="CM27" s="55">
        <f t="shared" si="38"/>
        <v>0</v>
      </c>
      <c r="CN27" s="55" t="e">
        <f t="shared" si="39"/>
        <v>#DIV/0!</v>
      </c>
      <c r="CO27" s="56">
        <v>0</v>
      </c>
      <c r="CP27" s="56">
        <v>0</v>
      </c>
      <c r="CQ27" s="56">
        <v>0</v>
      </c>
      <c r="CR27" s="56">
        <f t="shared" si="40"/>
        <v>0</v>
      </c>
      <c r="CS27" s="56">
        <v>730</v>
      </c>
      <c r="CT27" s="56">
        <v>0</v>
      </c>
      <c r="CU27" s="56">
        <f t="shared" si="41"/>
        <v>730</v>
      </c>
      <c r="CV27" s="56">
        <f t="shared" si="42"/>
        <v>0</v>
      </c>
      <c r="CW27" s="56" t="e">
        <f t="shared" si="43"/>
        <v>#DIV/0!</v>
      </c>
      <c r="CX27" s="57">
        <v>0</v>
      </c>
      <c r="CY27" s="57">
        <v>0</v>
      </c>
      <c r="CZ27" s="57">
        <v>0</v>
      </c>
      <c r="DA27" s="57">
        <f t="shared" si="44"/>
        <v>0</v>
      </c>
      <c r="DB27" s="57">
        <v>600</v>
      </c>
      <c r="DC27" s="57">
        <v>0</v>
      </c>
      <c r="DD27" s="57">
        <f t="shared" si="45"/>
        <v>600</v>
      </c>
      <c r="DE27" s="57">
        <f t="shared" si="46"/>
        <v>0</v>
      </c>
      <c r="DF27" s="57" t="e">
        <f t="shared" si="47"/>
        <v>#DIV/0!</v>
      </c>
    </row>
    <row r="28" spans="1:110" ht="14.25" customHeight="1">
      <c r="A28" s="89"/>
      <c r="B28" s="44"/>
      <c r="C28" s="45">
        <v>0</v>
      </c>
      <c r="D28" s="45">
        <v>0</v>
      </c>
      <c r="E28" s="45">
        <v>0</v>
      </c>
      <c r="F28" s="45">
        <f t="shared" si="0"/>
        <v>0</v>
      </c>
      <c r="G28" s="45">
        <v>900</v>
      </c>
      <c r="H28" s="45">
        <v>0</v>
      </c>
      <c r="I28" s="45">
        <f t="shared" si="1"/>
        <v>900</v>
      </c>
      <c r="J28" s="45">
        <f t="shared" si="2"/>
        <v>0</v>
      </c>
      <c r="K28" s="45" t="e">
        <f t="shared" si="3"/>
        <v>#DIV/0!</v>
      </c>
      <c r="L28" s="47">
        <v>0</v>
      </c>
      <c r="M28" s="47">
        <v>0</v>
      </c>
      <c r="N28" s="47">
        <v>0</v>
      </c>
      <c r="O28" s="47">
        <f t="shared" si="4"/>
        <v>0</v>
      </c>
      <c r="P28" s="47">
        <v>1800</v>
      </c>
      <c r="Q28" s="47">
        <v>0</v>
      </c>
      <c r="R28" s="47">
        <f t="shared" si="5"/>
        <v>1800</v>
      </c>
      <c r="S28" s="47">
        <f t="shared" si="6"/>
        <v>0</v>
      </c>
      <c r="T28" s="47" t="e">
        <f t="shared" si="7"/>
        <v>#DIV/0!</v>
      </c>
      <c r="U28" s="48">
        <v>0</v>
      </c>
      <c r="V28" s="48">
        <v>0</v>
      </c>
      <c r="W28" s="48">
        <v>0</v>
      </c>
      <c r="X28" s="48">
        <f t="shared" si="8"/>
        <v>0</v>
      </c>
      <c r="Y28" s="48">
        <v>910</v>
      </c>
      <c r="Z28" s="48">
        <v>0</v>
      </c>
      <c r="AA28" s="48">
        <f t="shared" si="9"/>
        <v>910</v>
      </c>
      <c r="AB28" s="48">
        <f t="shared" si="10"/>
        <v>0</v>
      </c>
      <c r="AC28" s="48" t="e">
        <f t="shared" si="11"/>
        <v>#DIV/0!</v>
      </c>
      <c r="AD28" s="49">
        <v>0</v>
      </c>
      <c r="AE28" s="49">
        <v>0</v>
      </c>
      <c r="AF28" s="49">
        <v>0</v>
      </c>
      <c r="AG28" s="49">
        <f t="shared" si="12"/>
        <v>0</v>
      </c>
      <c r="AH28" s="49">
        <v>1200</v>
      </c>
      <c r="AI28" s="49">
        <v>0</v>
      </c>
      <c r="AJ28" s="49">
        <f t="shared" si="13"/>
        <v>1200</v>
      </c>
      <c r="AK28" s="49">
        <f t="shared" si="14"/>
        <v>0</v>
      </c>
      <c r="AL28" s="49" t="e">
        <f t="shared" si="15"/>
        <v>#DIV/0!</v>
      </c>
      <c r="AM28" s="50">
        <v>0</v>
      </c>
      <c r="AN28" s="50">
        <v>0</v>
      </c>
      <c r="AO28" s="50">
        <v>0</v>
      </c>
      <c r="AP28" s="50">
        <f t="shared" si="16"/>
        <v>0</v>
      </c>
      <c r="AQ28" s="50">
        <v>600</v>
      </c>
      <c r="AR28" s="50">
        <v>0</v>
      </c>
      <c r="AS28" s="50">
        <f t="shared" si="17"/>
        <v>600</v>
      </c>
      <c r="AT28" s="50">
        <f t="shared" si="18"/>
        <v>0</v>
      </c>
      <c r="AU28" s="50" t="e">
        <f t="shared" si="19"/>
        <v>#DIV/0!</v>
      </c>
      <c r="AV28" s="51">
        <v>0</v>
      </c>
      <c r="AW28" s="51">
        <v>0</v>
      </c>
      <c r="AX28" s="51">
        <v>0</v>
      </c>
      <c r="AY28" s="51">
        <f t="shared" si="20"/>
        <v>0</v>
      </c>
      <c r="AZ28" s="51">
        <v>1500</v>
      </c>
      <c r="BA28" s="51">
        <v>0</v>
      </c>
      <c r="BB28" s="51">
        <f t="shared" si="21"/>
        <v>1500</v>
      </c>
      <c r="BC28" s="51">
        <f t="shared" si="22"/>
        <v>0</v>
      </c>
      <c r="BD28" s="51" t="e">
        <f t="shared" si="23"/>
        <v>#DIV/0!</v>
      </c>
      <c r="BE28" s="52">
        <v>0</v>
      </c>
      <c r="BF28" s="52">
        <v>0</v>
      </c>
      <c r="BG28" s="52">
        <v>0</v>
      </c>
      <c r="BH28" s="52">
        <f t="shared" si="24"/>
        <v>0</v>
      </c>
      <c r="BI28" s="52">
        <v>750</v>
      </c>
      <c r="BJ28" s="52">
        <v>0</v>
      </c>
      <c r="BK28" s="52">
        <f t="shared" si="25"/>
        <v>750</v>
      </c>
      <c r="BL28" s="52">
        <f t="shared" si="26"/>
        <v>0</v>
      </c>
      <c r="BM28" s="52" t="e">
        <f t="shared" si="27"/>
        <v>#DIV/0!</v>
      </c>
      <c r="BN28" s="53">
        <v>0</v>
      </c>
      <c r="BO28" s="53">
        <v>0</v>
      </c>
      <c r="BP28" s="53">
        <v>0</v>
      </c>
      <c r="BQ28" s="53">
        <f t="shared" si="28"/>
        <v>0</v>
      </c>
      <c r="BR28" s="53">
        <v>2450</v>
      </c>
      <c r="BS28" s="53">
        <v>0</v>
      </c>
      <c r="BT28" s="53">
        <f t="shared" si="29"/>
        <v>2450</v>
      </c>
      <c r="BU28" s="53">
        <f t="shared" si="30"/>
        <v>0</v>
      </c>
      <c r="BV28" s="53" t="e">
        <f t="shared" si="31"/>
        <v>#DIV/0!</v>
      </c>
      <c r="BW28" s="54">
        <v>0</v>
      </c>
      <c r="BX28" s="54">
        <v>0</v>
      </c>
      <c r="BY28" s="54">
        <v>0</v>
      </c>
      <c r="BZ28" s="54">
        <f t="shared" si="32"/>
        <v>0</v>
      </c>
      <c r="CA28" s="54">
        <v>750</v>
      </c>
      <c r="CB28" s="54">
        <v>0</v>
      </c>
      <c r="CC28" s="54">
        <f t="shared" si="33"/>
        <v>750</v>
      </c>
      <c r="CD28" s="54">
        <f t="shared" si="34"/>
        <v>0</v>
      </c>
      <c r="CE28" s="54" t="e">
        <f t="shared" si="35"/>
        <v>#DIV/0!</v>
      </c>
      <c r="CF28" s="55">
        <v>0</v>
      </c>
      <c r="CG28" s="55">
        <v>0</v>
      </c>
      <c r="CH28" s="55">
        <v>0</v>
      </c>
      <c r="CI28" s="55">
        <f t="shared" si="36"/>
        <v>0</v>
      </c>
      <c r="CJ28" s="55">
        <v>730</v>
      </c>
      <c r="CK28" s="55">
        <v>0</v>
      </c>
      <c r="CL28" s="55">
        <f t="shared" si="37"/>
        <v>730</v>
      </c>
      <c r="CM28" s="55">
        <f t="shared" si="38"/>
        <v>0</v>
      </c>
      <c r="CN28" s="55" t="e">
        <f t="shared" si="39"/>
        <v>#DIV/0!</v>
      </c>
      <c r="CO28" s="56">
        <v>0</v>
      </c>
      <c r="CP28" s="56">
        <v>0</v>
      </c>
      <c r="CQ28" s="56">
        <v>0</v>
      </c>
      <c r="CR28" s="56">
        <f t="shared" si="40"/>
        <v>0</v>
      </c>
      <c r="CS28" s="56">
        <v>730</v>
      </c>
      <c r="CT28" s="56">
        <v>0</v>
      </c>
      <c r="CU28" s="56">
        <f t="shared" si="41"/>
        <v>730</v>
      </c>
      <c r="CV28" s="56">
        <f t="shared" si="42"/>
        <v>0</v>
      </c>
      <c r="CW28" s="56" t="e">
        <f t="shared" si="43"/>
        <v>#DIV/0!</v>
      </c>
      <c r="CX28" s="57">
        <v>0</v>
      </c>
      <c r="CY28" s="57">
        <v>0</v>
      </c>
      <c r="CZ28" s="57">
        <v>0</v>
      </c>
      <c r="DA28" s="57">
        <f t="shared" si="44"/>
        <v>0</v>
      </c>
      <c r="DB28" s="57">
        <v>600</v>
      </c>
      <c r="DC28" s="57">
        <v>0</v>
      </c>
      <c r="DD28" s="57">
        <f t="shared" si="45"/>
        <v>600</v>
      </c>
      <c r="DE28" s="57">
        <f t="shared" si="46"/>
        <v>0</v>
      </c>
      <c r="DF28" s="57" t="e">
        <f t="shared" si="47"/>
        <v>#DIV/0!</v>
      </c>
    </row>
    <row r="29" spans="1:110" ht="14.25" customHeight="1">
      <c r="A29" s="89"/>
      <c r="B29" s="44"/>
      <c r="C29" s="45">
        <v>0</v>
      </c>
      <c r="D29" s="45">
        <v>0</v>
      </c>
      <c r="E29" s="45">
        <v>0</v>
      </c>
      <c r="F29" s="45">
        <f t="shared" si="0"/>
        <v>0</v>
      </c>
      <c r="G29" s="45">
        <v>900</v>
      </c>
      <c r="H29" s="45">
        <v>0</v>
      </c>
      <c r="I29" s="45">
        <f t="shared" si="1"/>
        <v>900</v>
      </c>
      <c r="J29" s="45">
        <f t="shared" si="2"/>
        <v>0</v>
      </c>
      <c r="K29" s="45" t="e">
        <f t="shared" si="3"/>
        <v>#DIV/0!</v>
      </c>
      <c r="L29" s="47">
        <v>0</v>
      </c>
      <c r="M29" s="47">
        <v>0</v>
      </c>
      <c r="N29" s="47">
        <v>0</v>
      </c>
      <c r="O29" s="47">
        <f t="shared" si="4"/>
        <v>0</v>
      </c>
      <c r="P29" s="47">
        <v>1800</v>
      </c>
      <c r="Q29" s="47">
        <v>0</v>
      </c>
      <c r="R29" s="47">
        <f t="shared" si="5"/>
        <v>1800</v>
      </c>
      <c r="S29" s="47">
        <f t="shared" si="6"/>
        <v>0</v>
      </c>
      <c r="T29" s="47" t="e">
        <f t="shared" si="7"/>
        <v>#DIV/0!</v>
      </c>
      <c r="U29" s="48">
        <v>0</v>
      </c>
      <c r="V29" s="48">
        <v>0</v>
      </c>
      <c r="W29" s="48">
        <v>0</v>
      </c>
      <c r="X29" s="48">
        <f t="shared" si="8"/>
        <v>0</v>
      </c>
      <c r="Y29" s="48">
        <v>910</v>
      </c>
      <c r="Z29" s="48">
        <v>0</v>
      </c>
      <c r="AA29" s="48">
        <f t="shared" si="9"/>
        <v>910</v>
      </c>
      <c r="AB29" s="48">
        <f t="shared" si="10"/>
        <v>0</v>
      </c>
      <c r="AC29" s="48" t="e">
        <f t="shared" si="11"/>
        <v>#DIV/0!</v>
      </c>
      <c r="AD29" s="49">
        <v>0</v>
      </c>
      <c r="AE29" s="49">
        <v>0</v>
      </c>
      <c r="AF29" s="49">
        <v>0</v>
      </c>
      <c r="AG29" s="49">
        <f t="shared" si="12"/>
        <v>0</v>
      </c>
      <c r="AH29" s="49">
        <v>1200</v>
      </c>
      <c r="AI29" s="49">
        <v>0</v>
      </c>
      <c r="AJ29" s="49">
        <f t="shared" si="13"/>
        <v>1200</v>
      </c>
      <c r="AK29" s="49">
        <f t="shared" si="14"/>
        <v>0</v>
      </c>
      <c r="AL29" s="49" t="e">
        <f t="shared" si="15"/>
        <v>#DIV/0!</v>
      </c>
      <c r="AM29" s="50">
        <v>0</v>
      </c>
      <c r="AN29" s="50">
        <v>0</v>
      </c>
      <c r="AO29" s="50">
        <v>0</v>
      </c>
      <c r="AP29" s="50">
        <f t="shared" si="16"/>
        <v>0</v>
      </c>
      <c r="AQ29" s="50">
        <v>600</v>
      </c>
      <c r="AR29" s="50">
        <v>0</v>
      </c>
      <c r="AS29" s="50">
        <f t="shared" si="17"/>
        <v>600</v>
      </c>
      <c r="AT29" s="50">
        <f t="shared" si="18"/>
        <v>0</v>
      </c>
      <c r="AU29" s="50" t="e">
        <f t="shared" si="19"/>
        <v>#DIV/0!</v>
      </c>
      <c r="AV29" s="51">
        <v>0</v>
      </c>
      <c r="AW29" s="51">
        <v>0</v>
      </c>
      <c r="AX29" s="51">
        <v>0</v>
      </c>
      <c r="AY29" s="51">
        <f t="shared" si="20"/>
        <v>0</v>
      </c>
      <c r="AZ29" s="51">
        <v>1500</v>
      </c>
      <c r="BA29" s="51">
        <v>0</v>
      </c>
      <c r="BB29" s="51">
        <f t="shared" si="21"/>
        <v>1500</v>
      </c>
      <c r="BC29" s="51">
        <f t="shared" si="22"/>
        <v>0</v>
      </c>
      <c r="BD29" s="51" t="e">
        <f t="shared" si="23"/>
        <v>#DIV/0!</v>
      </c>
      <c r="BE29" s="52">
        <v>0</v>
      </c>
      <c r="BF29" s="52">
        <v>0</v>
      </c>
      <c r="BG29" s="52">
        <v>0</v>
      </c>
      <c r="BH29" s="52">
        <f t="shared" si="24"/>
        <v>0</v>
      </c>
      <c r="BI29" s="52">
        <v>750</v>
      </c>
      <c r="BJ29" s="52">
        <v>0</v>
      </c>
      <c r="BK29" s="52">
        <f t="shared" si="25"/>
        <v>750</v>
      </c>
      <c r="BL29" s="52">
        <f t="shared" si="26"/>
        <v>0</v>
      </c>
      <c r="BM29" s="52" t="e">
        <f t="shared" si="27"/>
        <v>#DIV/0!</v>
      </c>
      <c r="BN29" s="53">
        <v>0</v>
      </c>
      <c r="BO29" s="53">
        <v>0</v>
      </c>
      <c r="BP29" s="53">
        <v>0</v>
      </c>
      <c r="BQ29" s="53">
        <f t="shared" si="28"/>
        <v>0</v>
      </c>
      <c r="BR29" s="53">
        <v>2450</v>
      </c>
      <c r="BS29" s="53">
        <v>0</v>
      </c>
      <c r="BT29" s="53">
        <f t="shared" si="29"/>
        <v>2450</v>
      </c>
      <c r="BU29" s="53">
        <f t="shared" si="30"/>
        <v>0</v>
      </c>
      <c r="BV29" s="53" t="e">
        <f t="shared" si="31"/>
        <v>#DIV/0!</v>
      </c>
      <c r="BW29" s="54">
        <v>0</v>
      </c>
      <c r="BX29" s="54">
        <v>0</v>
      </c>
      <c r="BY29" s="54">
        <v>0</v>
      </c>
      <c r="BZ29" s="54">
        <f t="shared" si="32"/>
        <v>0</v>
      </c>
      <c r="CA29" s="54">
        <v>750</v>
      </c>
      <c r="CB29" s="54">
        <v>0</v>
      </c>
      <c r="CC29" s="54">
        <f t="shared" si="33"/>
        <v>750</v>
      </c>
      <c r="CD29" s="54">
        <f t="shared" si="34"/>
        <v>0</v>
      </c>
      <c r="CE29" s="54" t="e">
        <f t="shared" si="35"/>
        <v>#DIV/0!</v>
      </c>
      <c r="CF29" s="55">
        <v>0</v>
      </c>
      <c r="CG29" s="55">
        <v>0</v>
      </c>
      <c r="CH29" s="55">
        <v>0</v>
      </c>
      <c r="CI29" s="55">
        <f t="shared" si="36"/>
        <v>0</v>
      </c>
      <c r="CJ29" s="55">
        <v>730</v>
      </c>
      <c r="CK29" s="55">
        <v>0</v>
      </c>
      <c r="CL29" s="55">
        <f t="shared" si="37"/>
        <v>730</v>
      </c>
      <c r="CM29" s="55">
        <f t="shared" si="38"/>
        <v>0</v>
      </c>
      <c r="CN29" s="55" t="e">
        <f t="shared" si="39"/>
        <v>#DIV/0!</v>
      </c>
      <c r="CO29" s="56">
        <v>0</v>
      </c>
      <c r="CP29" s="56">
        <v>0</v>
      </c>
      <c r="CQ29" s="56">
        <v>0</v>
      </c>
      <c r="CR29" s="56">
        <f t="shared" si="40"/>
        <v>0</v>
      </c>
      <c r="CS29" s="56">
        <v>730</v>
      </c>
      <c r="CT29" s="56">
        <v>0</v>
      </c>
      <c r="CU29" s="56">
        <f t="shared" si="41"/>
        <v>730</v>
      </c>
      <c r="CV29" s="56">
        <f t="shared" si="42"/>
        <v>0</v>
      </c>
      <c r="CW29" s="56" t="e">
        <f t="shared" si="43"/>
        <v>#DIV/0!</v>
      </c>
      <c r="CX29" s="57">
        <v>0</v>
      </c>
      <c r="CY29" s="57">
        <v>0</v>
      </c>
      <c r="CZ29" s="57">
        <v>0</v>
      </c>
      <c r="DA29" s="57">
        <f t="shared" si="44"/>
        <v>0</v>
      </c>
      <c r="DB29" s="57">
        <v>600</v>
      </c>
      <c r="DC29" s="57">
        <v>0</v>
      </c>
      <c r="DD29" s="57">
        <f t="shared" si="45"/>
        <v>600</v>
      </c>
      <c r="DE29" s="57">
        <f t="shared" si="46"/>
        <v>0</v>
      </c>
      <c r="DF29" s="57" t="e">
        <f t="shared" si="47"/>
        <v>#DIV/0!</v>
      </c>
    </row>
    <row r="30" spans="1:110" ht="14.25" customHeight="1">
      <c r="A30" s="89"/>
      <c r="B30" s="44"/>
      <c r="C30" s="45">
        <v>0</v>
      </c>
      <c r="D30" s="45">
        <v>0</v>
      </c>
      <c r="E30" s="45">
        <v>0</v>
      </c>
      <c r="F30" s="45">
        <f t="shared" si="0"/>
        <v>0</v>
      </c>
      <c r="G30" s="45">
        <v>900</v>
      </c>
      <c r="H30" s="45">
        <v>0</v>
      </c>
      <c r="I30" s="45">
        <f t="shared" si="1"/>
        <v>900</v>
      </c>
      <c r="J30" s="45">
        <f t="shared" si="2"/>
        <v>0</v>
      </c>
      <c r="K30" s="45" t="e">
        <f t="shared" si="3"/>
        <v>#DIV/0!</v>
      </c>
      <c r="L30" s="47">
        <v>0</v>
      </c>
      <c r="M30" s="47">
        <v>0</v>
      </c>
      <c r="N30" s="47">
        <v>0</v>
      </c>
      <c r="O30" s="47">
        <f t="shared" si="4"/>
        <v>0</v>
      </c>
      <c r="P30" s="47">
        <v>1800</v>
      </c>
      <c r="Q30" s="47">
        <v>0</v>
      </c>
      <c r="R30" s="47">
        <f t="shared" si="5"/>
        <v>1800</v>
      </c>
      <c r="S30" s="47">
        <f t="shared" si="6"/>
        <v>0</v>
      </c>
      <c r="T30" s="47" t="e">
        <f t="shared" si="7"/>
        <v>#DIV/0!</v>
      </c>
      <c r="U30" s="48">
        <v>0</v>
      </c>
      <c r="V30" s="48">
        <v>0</v>
      </c>
      <c r="W30" s="48">
        <v>0</v>
      </c>
      <c r="X30" s="48">
        <f t="shared" si="8"/>
        <v>0</v>
      </c>
      <c r="Y30" s="48">
        <v>910</v>
      </c>
      <c r="Z30" s="48">
        <v>0</v>
      </c>
      <c r="AA30" s="48">
        <f t="shared" si="9"/>
        <v>910</v>
      </c>
      <c r="AB30" s="48">
        <f t="shared" si="10"/>
        <v>0</v>
      </c>
      <c r="AC30" s="48" t="e">
        <f t="shared" si="11"/>
        <v>#DIV/0!</v>
      </c>
      <c r="AD30" s="49">
        <v>0</v>
      </c>
      <c r="AE30" s="49">
        <v>0</v>
      </c>
      <c r="AF30" s="49">
        <v>0</v>
      </c>
      <c r="AG30" s="49">
        <f t="shared" si="12"/>
        <v>0</v>
      </c>
      <c r="AH30" s="49">
        <v>1200</v>
      </c>
      <c r="AI30" s="49">
        <v>0</v>
      </c>
      <c r="AJ30" s="49">
        <f t="shared" si="13"/>
        <v>1200</v>
      </c>
      <c r="AK30" s="49">
        <f t="shared" si="14"/>
        <v>0</v>
      </c>
      <c r="AL30" s="49" t="e">
        <f t="shared" si="15"/>
        <v>#DIV/0!</v>
      </c>
      <c r="AM30" s="50">
        <v>0</v>
      </c>
      <c r="AN30" s="50">
        <v>0</v>
      </c>
      <c r="AO30" s="50">
        <v>0</v>
      </c>
      <c r="AP30" s="50">
        <f t="shared" si="16"/>
        <v>0</v>
      </c>
      <c r="AQ30" s="50">
        <v>600</v>
      </c>
      <c r="AR30" s="50">
        <v>0</v>
      </c>
      <c r="AS30" s="50">
        <f t="shared" si="17"/>
        <v>600</v>
      </c>
      <c r="AT30" s="50">
        <f t="shared" si="18"/>
        <v>0</v>
      </c>
      <c r="AU30" s="50" t="e">
        <f t="shared" si="19"/>
        <v>#DIV/0!</v>
      </c>
      <c r="AV30" s="51">
        <v>0</v>
      </c>
      <c r="AW30" s="51">
        <v>0</v>
      </c>
      <c r="AX30" s="51">
        <v>0</v>
      </c>
      <c r="AY30" s="51">
        <f t="shared" si="20"/>
        <v>0</v>
      </c>
      <c r="AZ30" s="51">
        <v>1500</v>
      </c>
      <c r="BA30" s="51">
        <v>0</v>
      </c>
      <c r="BB30" s="51">
        <f t="shared" si="21"/>
        <v>1500</v>
      </c>
      <c r="BC30" s="51">
        <f t="shared" si="22"/>
        <v>0</v>
      </c>
      <c r="BD30" s="51" t="e">
        <f t="shared" si="23"/>
        <v>#DIV/0!</v>
      </c>
      <c r="BE30" s="52">
        <v>0</v>
      </c>
      <c r="BF30" s="52">
        <v>0</v>
      </c>
      <c r="BG30" s="52">
        <v>0</v>
      </c>
      <c r="BH30" s="52">
        <f t="shared" si="24"/>
        <v>0</v>
      </c>
      <c r="BI30" s="52">
        <v>750</v>
      </c>
      <c r="BJ30" s="52">
        <v>0</v>
      </c>
      <c r="BK30" s="52">
        <f t="shared" si="25"/>
        <v>750</v>
      </c>
      <c r="BL30" s="52">
        <f t="shared" si="26"/>
        <v>0</v>
      </c>
      <c r="BM30" s="52" t="e">
        <f t="shared" si="27"/>
        <v>#DIV/0!</v>
      </c>
      <c r="BN30" s="53">
        <v>0</v>
      </c>
      <c r="BO30" s="53">
        <v>0</v>
      </c>
      <c r="BP30" s="53">
        <v>0</v>
      </c>
      <c r="BQ30" s="53">
        <f t="shared" si="28"/>
        <v>0</v>
      </c>
      <c r="BR30" s="53">
        <v>2450</v>
      </c>
      <c r="BS30" s="53">
        <v>0</v>
      </c>
      <c r="BT30" s="53">
        <f t="shared" si="29"/>
        <v>2450</v>
      </c>
      <c r="BU30" s="53">
        <f t="shared" si="30"/>
        <v>0</v>
      </c>
      <c r="BV30" s="53" t="e">
        <f t="shared" si="31"/>
        <v>#DIV/0!</v>
      </c>
      <c r="BW30" s="54">
        <v>0</v>
      </c>
      <c r="BX30" s="54">
        <v>0</v>
      </c>
      <c r="BY30" s="54">
        <v>0</v>
      </c>
      <c r="BZ30" s="54">
        <f t="shared" si="32"/>
        <v>0</v>
      </c>
      <c r="CA30" s="54">
        <v>750</v>
      </c>
      <c r="CB30" s="54">
        <v>0</v>
      </c>
      <c r="CC30" s="54">
        <f t="shared" si="33"/>
        <v>750</v>
      </c>
      <c r="CD30" s="54">
        <f t="shared" si="34"/>
        <v>0</v>
      </c>
      <c r="CE30" s="54" t="e">
        <f t="shared" si="35"/>
        <v>#DIV/0!</v>
      </c>
      <c r="CF30" s="55">
        <v>0</v>
      </c>
      <c r="CG30" s="55">
        <v>0</v>
      </c>
      <c r="CH30" s="55">
        <v>0</v>
      </c>
      <c r="CI30" s="55">
        <f t="shared" si="36"/>
        <v>0</v>
      </c>
      <c r="CJ30" s="55">
        <v>730</v>
      </c>
      <c r="CK30" s="55">
        <v>0</v>
      </c>
      <c r="CL30" s="55">
        <f t="shared" si="37"/>
        <v>730</v>
      </c>
      <c r="CM30" s="55">
        <f t="shared" si="38"/>
        <v>0</v>
      </c>
      <c r="CN30" s="55" t="e">
        <f t="shared" si="39"/>
        <v>#DIV/0!</v>
      </c>
      <c r="CO30" s="56">
        <v>0</v>
      </c>
      <c r="CP30" s="56">
        <v>0</v>
      </c>
      <c r="CQ30" s="56">
        <v>0</v>
      </c>
      <c r="CR30" s="56">
        <f t="shared" si="40"/>
        <v>0</v>
      </c>
      <c r="CS30" s="56">
        <v>730</v>
      </c>
      <c r="CT30" s="56">
        <v>0</v>
      </c>
      <c r="CU30" s="56">
        <f t="shared" si="41"/>
        <v>730</v>
      </c>
      <c r="CV30" s="56">
        <f t="shared" si="42"/>
        <v>0</v>
      </c>
      <c r="CW30" s="56" t="e">
        <f t="shared" si="43"/>
        <v>#DIV/0!</v>
      </c>
      <c r="CX30" s="57">
        <v>0</v>
      </c>
      <c r="CY30" s="57">
        <v>0</v>
      </c>
      <c r="CZ30" s="57">
        <v>0</v>
      </c>
      <c r="DA30" s="57">
        <f t="shared" si="44"/>
        <v>0</v>
      </c>
      <c r="DB30" s="57">
        <v>600</v>
      </c>
      <c r="DC30" s="57">
        <v>0</v>
      </c>
      <c r="DD30" s="57">
        <f t="shared" si="45"/>
        <v>600</v>
      </c>
      <c r="DE30" s="57">
        <f t="shared" si="46"/>
        <v>0</v>
      </c>
      <c r="DF30" s="57" t="e">
        <f t="shared" si="47"/>
        <v>#DIV/0!</v>
      </c>
    </row>
    <row r="31" spans="1:110" ht="14.25" customHeight="1">
      <c r="A31" s="89"/>
      <c r="B31" s="44"/>
      <c r="C31" s="45">
        <v>0</v>
      </c>
      <c r="D31" s="45">
        <v>0</v>
      </c>
      <c r="E31" s="45">
        <v>0</v>
      </c>
      <c r="F31" s="45">
        <f t="shared" si="0"/>
        <v>0</v>
      </c>
      <c r="G31" s="45">
        <v>900</v>
      </c>
      <c r="H31" s="45">
        <v>0</v>
      </c>
      <c r="I31" s="45">
        <f t="shared" si="1"/>
        <v>900</v>
      </c>
      <c r="J31" s="45">
        <f t="shared" si="2"/>
        <v>0</v>
      </c>
      <c r="K31" s="45" t="e">
        <f t="shared" si="3"/>
        <v>#DIV/0!</v>
      </c>
      <c r="L31" s="47">
        <v>0</v>
      </c>
      <c r="M31" s="47">
        <v>0</v>
      </c>
      <c r="N31" s="47">
        <v>0</v>
      </c>
      <c r="O31" s="47">
        <f t="shared" si="4"/>
        <v>0</v>
      </c>
      <c r="P31" s="47">
        <v>1800</v>
      </c>
      <c r="Q31" s="47">
        <v>0</v>
      </c>
      <c r="R31" s="47">
        <f t="shared" si="5"/>
        <v>1800</v>
      </c>
      <c r="S31" s="47">
        <f t="shared" si="6"/>
        <v>0</v>
      </c>
      <c r="T31" s="47" t="e">
        <f t="shared" si="7"/>
        <v>#DIV/0!</v>
      </c>
      <c r="U31" s="48">
        <v>0</v>
      </c>
      <c r="V31" s="48">
        <v>0</v>
      </c>
      <c r="W31" s="48">
        <v>0</v>
      </c>
      <c r="X31" s="48">
        <f t="shared" si="8"/>
        <v>0</v>
      </c>
      <c r="Y31" s="48">
        <v>910</v>
      </c>
      <c r="Z31" s="48">
        <v>0</v>
      </c>
      <c r="AA31" s="48">
        <f t="shared" si="9"/>
        <v>910</v>
      </c>
      <c r="AB31" s="48">
        <f t="shared" si="10"/>
        <v>0</v>
      </c>
      <c r="AC31" s="48" t="e">
        <f t="shared" si="11"/>
        <v>#DIV/0!</v>
      </c>
      <c r="AD31" s="49">
        <v>0</v>
      </c>
      <c r="AE31" s="49">
        <v>0</v>
      </c>
      <c r="AF31" s="49">
        <v>0</v>
      </c>
      <c r="AG31" s="49">
        <f t="shared" si="12"/>
        <v>0</v>
      </c>
      <c r="AH31" s="49">
        <v>1200</v>
      </c>
      <c r="AI31" s="49">
        <v>0</v>
      </c>
      <c r="AJ31" s="49">
        <f t="shared" si="13"/>
        <v>1200</v>
      </c>
      <c r="AK31" s="49">
        <f t="shared" si="14"/>
        <v>0</v>
      </c>
      <c r="AL31" s="49" t="e">
        <f t="shared" si="15"/>
        <v>#DIV/0!</v>
      </c>
      <c r="AM31" s="50">
        <v>0</v>
      </c>
      <c r="AN31" s="50">
        <v>0</v>
      </c>
      <c r="AO31" s="50">
        <v>0</v>
      </c>
      <c r="AP31" s="50">
        <f t="shared" si="16"/>
        <v>0</v>
      </c>
      <c r="AQ31" s="50">
        <v>600</v>
      </c>
      <c r="AR31" s="50">
        <v>0</v>
      </c>
      <c r="AS31" s="50">
        <f t="shared" si="17"/>
        <v>600</v>
      </c>
      <c r="AT31" s="50">
        <f t="shared" si="18"/>
        <v>0</v>
      </c>
      <c r="AU31" s="50" t="e">
        <f t="shared" si="19"/>
        <v>#DIV/0!</v>
      </c>
      <c r="AV31" s="51">
        <v>0</v>
      </c>
      <c r="AW31" s="51">
        <v>0</v>
      </c>
      <c r="AX31" s="51">
        <v>0</v>
      </c>
      <c r="AY31" s="51">
        <f t="shared" si="20"/>
        <v>0</v>
      </c>
      <c r="AZ31" s="51">
        <v>1500</v>
      </c>
      <c r="BA31" s="51">
        <v>0</v>
      </c>
      <c r="BB31" s="51">
        <f t="shared" si="21"/>
        <v>1500</v>
      </c>
      <c r="BC31" s="51">
        <f t="shared" si="22"/>
        <v>0</v>
      </c>
      <c r="BD31" s="51" t="e">
        <f t="shared" si="23"/>
        <v>#DIV/0!</v>
      </c>
      <c r="BE31" s="52">
        <v>0</v>
      </c>
      <c r="BF31" s="52">
        <v>0</v>
      </c>
      <c r="BG31" s="52">
        <v>0</v>
      </c>
      <c r="BH31" s="52">
        <f t="shared" si="24"/>
        <v>0</v>
      </c>
      <c r="BI31" s="52">
        <v>750</v>
      </c>
      <c r="BJ31" s="52">
        <v>0</v>
      </c>
      <c r="BK31" s="52">
        <f t="shared" si="25"/>
        <v>750</v>
      </c>
      <c r="BL31" s="52">
        <f t="shared" si="26"/>
        <v>0</v>
      </c>
      <c r="BM31" s="52" t="e">
        <f t="shared" si="27"/>
        <v>#DIV/0!</v>
      </c>
      <c r="BN31" s="53">
        <v>0</v>
      </c>
      <c r="BO31" s="53">
        <v>0</v>
      </c>
      <c r="BP31" s="53">
        <v>0</v>
      </c>
      <c r="BQ31" s="53">
        <f t="shared" si="28"/>
        <v>0</v>
      </c>
      <c r="BR31" s="53">
        <v>2450</v>
      </c>
      <c r="BS31" s="53">
        <v>0</v>
      </c>
      <c r="BT31" s="53">
        <f t="shared" si="29"/>
        <v>2450</v>
      </c>
      <c r="BU31" s="53">
        <f t="shared" si="30"/>
        <v>0</v>
      </c>
      <c r="BV31" s="53" t="e">
        <f t="shared" si="31"/>
        <v>#DIV/0!</v>
      </c>
      <c r="BW31" s="54">
        <v>0</v>
      </c>
      <c r="BX31" s="54">
        <v>0</v>
      </c>
      <c r="BY31" s="54">
        <v>0</v>
      </c>
      <c r="BZ31" s="54">
        <f t="shared" si="32"/>
        <v>0</v>
      </c>
      <c r="CA31" s="54">
        <v>750</v>
      </c>
      <c r="CB31" s="54">
        <v>0</v>
      </c>
      <c r="CC31" s="54">
        <f t="shared" si="33"/>
        <v>750</v>
      </c>
      <c r="CD31" s="54">
        <f t="shared" si="34"/>
        <v>0</v>
      </c>
      <c r="CE31" s="54" t="e">
        <f t="shared" si="35"/>
        <v>#DIV/0!</v>
      </c>
      <c r="CF31" s="55">
        <v>0</v>
      </c>
      <c r="CG31" s="55">
        <v>0</v>
      </c>
      <c r="CH31" s="55">
        <v>0</v>
      </c>
      <c r="CI31" s="55">
        <f t="shared" si="36"/>
        <v>0</v>
      </c>
      <c r="CJ31" s="55">
        <v>730</v>
      </c>
      <c r="CK31" s="55">
        <v>0</v>
      </c>
      <c r="CL31" s="55">
        <f t="shared" si="37"/>
        <v>730</v>
      </c>
      <c r="CM31" s="55">
        <f t="shared" si="38"/>
        <v>0</v>
      </c>
      <c r="CN31" s="55" t="e">
        <f t="shared" si="39"/>
        <v>#DIV/0!</v>
      </c>
      <c r="CO31" s="56">
        <v>0</v>
      </c>
      <c r="CP31" s="56">
        <v>0</v>
      </c>
      <c r="CQ31" s="56">
        <v>0</v>
      </c>
      <c r="CR31" s="56">
        <f t="shared" si="40"/>
        <v>0</v>
      </c>
      <c r="CS31" s="56">
        <v>730</v>
      </c>
      <c r="CT31" s="56">
        <v>0</v>
      </c>
      <c r="CU31" s="56">
        <f t="shared" si="41"/>
        <v>730</v>
      </c>
      <c r="CV31" s="56">
        <f t="shared" si="42"/>
        <v>0</v>
      </c>
      <c r="CW31" s="56" t="e">
        <f t="shared" si="43"/>
        <v>#DIV/0!</v>
      </c>
      <c r="CX31" s="57">
        <v>0</v>
      </c>
      <c r="CY31" s="57">
        <v>0</v>
      </c>
      <c r="CZ31" s="57">
        <v>0</v>
      </c>
      <c r="DA31" s="57">
        <f t="shared" si="44"/>
        <v>0</v>
      </c>
      <c r="DB31" s="57">
        <v>600</v>
      </c>
      <c r="DC31" s="57">
        <v>0</v>
      </c>
      <c r="DD31" s="57">
        <f t="shared" si="45"/>
        <v>600</v>
      </c>
      <c r="DE31" s="57">
        <f t="shared" si="46"/>
        <v>0</v>
      </c>
      <c r="DF31" s="57" t="e">
        <f t="shared" si="47"/>
        <v>#DIV/0!</v>
      </c>
    </row>
    <row r="32" spans="1:110" ht="14.25" customHeight="1">
      <c r="A32" s="89"/>
      <c r="B32" s="44"/>
      <c r="C32" s="45">
        <v>0</v>
      </c>
      <c r="D32" s="45">
        <v>0</v>
      </c>
      <c r="E32" s="45">
        <v>0</v>
      </c>
      <c r="F32" s="45">
        <f t="shared" si="0"/>
        <v>0</v>
      </c>
      <c r="G32" s="45">
        <v>900</v>
      </c>
      <c r="H32" s="45">
        <v>0</v>
      </c>
      <c r="I32" s="45">
        <f t="shared" si="1"/>
        <v>900</v>
      </c>
      <c r="J32" s="45">
        <f t="shared" si="2"/>
        <v>0</v>
      </c>
      <c r="K32" s="45" t="e">
        <f t="shared" si="3"/>
        <v>#DIV/0!</v>
      </c>
      <c r="L32" s="47">
        <v>0</v>
      </c>
      <c r="M32" s="47">
        <v>0</v>
      </c>
      <c r="N32" s="47">
        <v>0</v>
      </c>
      <c r="O32" s="47">
        <f t="shared" si="4"/>
        <v>0</v>
      </c>
      <c r="P32" s="47">
        <v>1800</v>
      </c>
      <c r="Q32" s="47">
        <v>0</v>
      </c>
      <c r="R32" s="47">
        <f t="shared" si="5"/>
        <v>1800</v>
      </c>
      <c r="S32" s="47">
        <f t="shared" si="6"/>
        <v>0</v>
      </c>
      <c r="T32" s="47" t="e">
        <f t="shared" si="7"/>
        <v>#DIV/0!</v>
      </c>
      <c r="U32" s="48">
        <v>0</v>
      </c>
      <c r="V32" s="48">
        <v>0</v>
      </c>
      <c r="W32" s="48">
        <v>0</v>
      </c>
      <c r="X32" s="48">
        <f t="shared" si="8"/>
        <v>0</v>
      </c>
      <c r="Y32" s="48">
        <v>910</v>
      </c>
      <c r="Z32" s="48">
        <v>0</v>
      </c>
      <c r="AA32" s="48">
        <f t="shared" si="9"/>
        <v>910</v>
      </c>
      <c r="AB32" s="48">
        <f t="shared" si="10"/>
        <v>0</v>
      </c>
      <c r="AC32" s="48" t="e">
        <f t="shared" si="11"/>
        <v>#DIV/0!</v>
      </c>
      <c r="AD32" s="49">
        <v>0</v>
      </c>
      <c r="AE32" s="49">
        <v>0</v>
      </c>
      <c r="AF32" s="49">
        <v>0</v>
      </c>
      <c r="AG32" s="49">
        <f t="shared" si="12"/>
        <v>0</v>
      </c>
      <c r="AH32" s="49">
        <v>1200</v>
      </c>
      <c r="AI32" s="49">
        <v>0</v>
      </c>
      <c r="AJ32" s="49">
        <f t="shared" si="13"/>
        <v>1200</v>
      </c>
      <c r="AK32" s="49">
        <f t="shared" si="14"/>
        <v>0</v>
      </c>
      <c r="AL32" s="49" t="e">
        <f t="shared" si="15"/>
        <v>#DIV/0!</v>
      </c>
      <c r="AM32" s="50">
        <v>0</v>
      </c>
      <c r="AN32" s="50">
        <v>0</v>
      </c>
      <c r="AO32" s="50">
        <v>0</v>
      </c>
      <c r="AP32" s="50">
        <f t="shared" si="16"/>
        <v>0</v>
      </c>
      <c r="AQ32" s="50">
        <v>600</v>
      </c>
      <c r="AR32" s="50">
        <v>0</v>
      </c>
      <c r="AS32" s="50">
        <f t="shared" si="17"/>
        <v>600</v>
      </c>
      <c r="AT32" s="50">
        <f t="shared" si="18"/>
        <v>0</v>
      </c>
      <c r="AU32" s="50" t="e">
        <f t="shared" si="19"/>
        <v>#DIV/0!</v>
      </c>
      <c r="AV32" s="51">
        <v>0</v>
      </c>
      <c r="AW32" s="51">
        <v>0</v>
      </c>
      <c r="AX32" s="51">
        <v>0</v>
      </c>
      <c r="AY32" s="51">
        <f t="shared" si="20"/>
        <v>0</v>
      </c>
      <c r="AZ32" s="51">
        <v>1500</v>
      </c>
      <c r="BA32" s="51">
        <v>0</v>
      </c>
      <c r="BB32" s="51">
        <f t="shared" si="21"/>
        <v>1500</v>
      </c>
      <c r="BC32" s="51">
        <f t="shared" si="22"/>
        <v>0</v>
      </c>
      <c r="BD32" s="51" t="e">
        <f t="shared" si="23"/>
        <v>#DIV/0!</v>
      </c>
      <c r="BE32" s="52">
        <v>0</v>
      </c>
      <c r="BF32" s="52">
        <v>0</v>
      </c>
      <c r="BG32" s="52">
        <v>0</v>
      </c>
      <c r="BH32" s="52">
        <f t="shared" si="24"/>
        <v>0</v>
      </c>
      <c r="BI32" s="52">
        <v>750</v>
      </c>
      <c r="BJ32" s="52">
        <v>0</v>
      </c>
      <c r="BK32" s="52">
        <f t="shared" si="25"/>
        <v>750</v>
      </c>
      <c r="BL32" s="52">
        <f t="shared" si="26"/>
        <v>0</v>
      </c>
      <c r="BM32" s="52" t="e">
        <f t="shared" si="27"/>
        <v>#DIV/0!</v>
      </c>
      <c r="BN32" s="53">
        <v>0</v>
      </c>
      <c r="BO32" s="53">
        <v>0</v>
      </c>
      <c r="BP32" s="53">
        <v>0</v>
      </c>
      <c r="BQ32" s="53">
        <f t="shared" si="28"/>
        <v>0</v>
      </c>
      <c r="BR32" s="53">
        <v>2450</v>
      </c>
      <c r="BS32" s="53">
        <v>0</v>
      </c>
      <c r="BT32" s="53">
        <f t="shared" si="29"/>
        <v>2450</v>
      </c>
      <c r="BU32" s="53">
        <f t="shared" si="30"/>
        <v>0</v>
      </c>
      <c r="BV32" s="53" t="e">
        <f t="shared" si="31"/>
        <v>#DIV/0!</v>
      </c>
      <c r="BW32" s="54">
        <v>0</v>
      </c>
      <c r="BX32" s="54">
        <v>0</v>
      </c>
      <c r="BY32" s="54">
        <v>0</v>
      </c>
      <c r="BZ32" s="54">
        <f t="shared" si="32"/>
        <v>0</v>
      </c>
      <c r="CA32" s="54">
        <v>750</v>
      </c>
      <c r="CB32" s="54">
        <v>0</v>
      </c>
      <c r="CC32" s="54">
        <f t="shared" si="33"/>
        <v>750</v>
      </c>
      <c r="CD32" s="54">
        <f t="shared" si="34"/>
        <v>0</v>
      </c>
      <c r="CE32" s="54" t="e">
        <f t="shared" si="35"/>
        <v>#DIV/0!</v>
      </c>
      <c r="CF32" s="55">
        <v>0</v>
      </c>
      <c r="CG32" s="55">
        <v>0</v>
      </c>
      <c r="CH32" s="55">
        <v>0</v>
      </c>
      <c r="CI32" s="55">
        <f t="shared" si="36"/>
        <v>0</v>
      </c>
      <c r="CJ32" s="55">
        <v>730</v>
      </c>
      <c r="CK32" s="55">
        <v>0</v>
      </c>
      <c r="CL32" s="55">
        <f t="shared" si="37"/>
        <v>730</v>
      </c>
      <c r="CM32" s="55">
        <f t="shared" si="38"/>
        <v>0</v>
      </c>
      <c r="CN32" s="55" t="e">
        <f t="shared" si="39"/>
        <v>#DIV/0!</v>
      </c>
      <c r="CO32" s="56">
        <v>0</v>
      </c>
      <c r="CP32" s="56">
        <v>0</v>
      </c>
      <c r="CQ32" s="56">
        <v>0</v>
      </c>
      <c r="CR32" s="56">
        <f t="shared" si="40"/>
        <v>0</v>
      </c>
      <c r="CS32" s="56">
        <v>730</v>
      </c>
      <c r="CT32" s="56">
        <v>0</v>
      </c>
      <c r="CU32" s="56">
        <f t="shared" si="41"/>
        <v>730</v>
      </c>
      <c r="CV32" s="56">
        <f t="shared" si="42"/>
        <v>0</v>
      </c>
      <c r="CW32" s="56" t="e">
        <f t="shared" si="43"/>
        <v>#DIV/0!</v>
      </c>
      <c r="CX32" s="57">
        <v>0</v>
      </c>
      <c r="CY32" s="57">
        <v>0</v>
      </c>
      <c r="CZ32" s="57">
        <v>0</v>
      </c>
      <c r="DA32" s="57">
        <f t="shared" si="44"/>
        <v>0</v>
      </c>
      <c r="DB32" s="57">
        <v>600</v>
      </c>
      <c r="DC32" s="57">
        <v>0</v>
      </c>
      <c r="DD32" s="57">
        <f t="shared" si="45"/>
        <v>600</v>
      </c>
      <c r="DE32" s="57">
        <f t="shared" si="46"/>
        <v>0</v>
      </c>
      <c r="DF32" s="57" t="e">
        <f t="shared" si="47"/>
        <v>#DIV/0!</v>
      </c>
    </row>
    <row r="33" spans="1:110" ht="14.25" customHeight="1">
      <c r="A33" s="89"/>
      <c r="B33" s="44"/>
      <c r="C33" s="45">
        <v>0</v>
      </c>
      <c r="D33" s="45">
        <v>0</v>
      </c>
      <c r="E33" s="45">
        <v>0</v>
      </c>
      <c r="F33" s="45">
        <f t="shared" si="0"/>
        <v>0</v>
      </c>
      <c r="G33" s="45">
        <v>900</v>
      </c>
      <c r="H33" s="45">
        <v>0</v>
      </c>
      <c r="I33" s="45">
        <f t="shared" si="1"/>
        <v>900</v>
      </c>
      <c r="J33" s="45">
        <f t="shared" si="2"/>
        <v>0</v>
      </c>
      <c r="K33" s="45" t="e">
        <f t="shared" si="3"/>
        <v>#DIV/0!</v>
      </c>
      <c r="L33" s="47">
        <v>0</v>
      </c>
      <c r="M33" s="47">
        <v>0</v>
      </c>
      <c r="N33" s="47">
        <v>0</v>
      </c>
      <c r="O33" s="47">
        <f t="shared" si="4"/>
        <v>0</v>
      </c>
      <c r="P33" s="47">
        <v>1800</v>
      </c>
      <c r="Q33" s="47">
        <v>0</v>
      </c>
      <c r="R33" s="47">
        <f t="shared" si="5"/>
        <v>1800</v>
      </c>
      <c r="S33" s="47">
        <f t="shared" si="6"/>
        <v>0</v>
      </c>
      <c r="T33" s="47" t="e">
        <f t="shared" si="7"/>
        <v>#DIV/0!</v>
      </c>
      <c r="U33" s="48">
        <v>0</v>
      </c>
      <c r="V33" s="48">
        <v>0</v>
      </c>
      <c r="W33" s="48">
        <v>0</v>
      </c>
      <c r="X33" s="48">
        <f t="shared" si="8"/>
        <v>0</v>
      </c>
      <c r="Y33" s="48">
        <v>910</v>
      </c>
      <c r="Z33" s="48">
        <v>0</v>
      </c>
      <c r="AA33" s="48">
        <f t="shared" si="9"/>
        <v>910</v>
      </c>
      <c r="AB33" s="48">
        <f t="shared" si="10"/>
        <v>0</v>
      </c>
      <c r="AC33" s="48" t="e">
        <f t="shared" si="11"/>
        <v>#DIV/0!</v>
      </c>
      <c r="AD33" s="49">
        <v>0</v>
      </c>
      <c r="AE33" s="49">
        <v>0</v>
      </c>
      <c r="AF33" s="49">
        <v>0</v>
      </c>
      <c r="AG33" s="49">
        <f t="shared" si="12"/>
        <v>0</v>
      </c>
      <c r="AH33" s="49">
        <v>1200</v>
      </c>
      <c r="AI33" s="49">
        <v>0</v>
      </c>
      <c r="AJ33" s="49">
        <f t="shared" si="13"/>
        <v>1200</v>
      </c>
      <c r="AK33" s="49">
        <f t="shared" si="14"/>
        <v>0</v>
      </c>
      <c r="AL33" s="49" t="e">
        <f t="shared" si="15"/>
        <v>#DIV/0!</v>
      </c>
      <c r="AM33" s="50">
        <v>0</v>
      </c>
      <c r="AN33" s="50">
        <v>0</v>
      </c>
      <c r="AO33" s="50">
        <v>0</v>
      </c>
      <c r="AP33" s="50">
        <f t="shared" si="16"/>
        <v>0</v>
      </c>
      <c r="AQ33" s="50">
        <v>600</v>
      </c>
      <c r="AR33" s="50">
        <v>0</v>
      </c>
      <c r="AS33" s="50">
        <f t="shared" si="17"/>
        <v>600</v>
      </c>
      <c r="AT33" s="50">
        <f t="shared" si="18"/>
        <v>0</v>
      </c>
      <c r="AU33" s="50" t="e">
        <f t="shared" si="19"/>
        <v>#DIV/0!</v>
      </c>
      <c r="AV33" s="51">
        <v>0</v>
      </c>
      <c r="AW33" s="51">
        <v>0</v>
      </c>
      <c r="AX33" s="51">
        <v>0</v>
      </c>
      <c r="AY33" s="51">
        <f t="shared" si="20"/>
        <v>0</v>
      </c>
      <c r="AZ33" s="51">
        <v>1500</v>
      </c>
      <c r="BA33" s="51">
        <v>0</v>
      </c>
      <c r="BB33" s="51">
        <f t="shared" si="21"/>
        <v>1500</v>
      </c>
      <c r="BC33" s="51">
        <f t="shared" si="22"/>
        <v>0</v>
      </c>
      <c r="BD33" s="51" t="e">
        <f t="shared" si="23"/>
        <v>#DIV/0!</v>
      </c>
      <c r="BE33" s="52">
        <v>0</v>
      </c>
      <c r="BF33" s="52">
        <v>0</v>
      </c>
      <c r="BG33" s="52">
        <v>0</v>
      </c>
      <c r="BH33" s="52">
        <f t="shared" si="24"/>
        <v>0</v>
      </c>
      <c r="BI33" s="52">
        <v>750</v>
      </c>
      <c r="BJ33" s="52">
        <v>0</v>
      </c>
      <c r="BK33" s="52">
        <f t="shared" si="25"/>
        <v>750</v>
      </c>
      <c r="BL33" s="52">
        <f t="shared" si="26"/>
        <v>0</v>
      </c>
      <c r="BM33" s="52" t="e">
        <f t="shared" si="27"/>
        <v>#DIV/0!</v>
      </c>
      <c r="BN33" s="53">
        <v>0</v>
      </c>
      <c r="BO33" s="53">
        <v>0</v>
      </c>
      <c r="BP33" s="53">
        <v>0</v>
      </c>
      <c r="BQ33" s="53">
        <f t="shared" si="28"/>
        <v>0</v>
      </c>
      <c r="BR33" s="53">
        <v>2450</v>
      </c>
      <c r="BS33" s="53">
        <v>0</v>
      </c>
      <c r="BT33" s="53">
        <f t="shared" si="29"/>
        <v>2450</v>
      </c>
      <c r="BU33" s="53">
        <f t="shared" si="30"/>
        <v>0</v>
      </c>
      <c r="BV33" s="53" t="e">
        <f t="shared" si="31"/>
        <v>#DIV/0!</v>
      </c>
      <c r="BW33" s="54">
        <v>0</v>
      </c>
      <c r="BX33" s="54">
        <v>0</v>
      </c>
      <c r="BY33" s="54">
        <v>0</v>
      </c>
      <c r="BZ33" s="54">
        <f t="shared" si="32"/>
        <v>0</v>
      </c>
      <c r="CA33" s="54">
        <v>750</v>
      </c>
      <c r="CB33" s="54">
        <v>0</v>
      </c>
      <c r="CC33" s="54">
        <f t="shared" si="33"/>
        <v>750</v>
      </c>
      <c r="CD33" s="54">
        <f t="shared" si="34"/>
        <v>0</v>
      </c>
      <c r="CE33" s="54" t="e">
        <f t="shared" si="35"/>
        <v>#DIV/0!</v>
      </c>
      <c r="CF33" s="55">
        <v>0</v>
      </c>
      <c r="CG33" s="55">
        <v>0</v>
      </c>
      <c r="CH33" s="55">
        <v>0</v>
      </c>
      <c r="CI33" s="55">
        <f t="shared" si="36"/>
        <v>0</v>
      </c>
      <c r="CJ33" s="55">
        <v>730</v>
      </c>
      <c r="CK33" s="55">
        <v>0</v>
      </c>
      <c r="CL33" s="55">
        <f t="shared" si="37"/>
        <v>730</v>
      </c>
      <c r="CM33" s="55">
        <f t="shared" si="38"/>
        <v>0</v>
      </c>
      <c r="CN33" s="55" t="e">
        <f t="shared" si="39"/>
        <v>#DIV/0!</v>
      </c>
      <c r="CO33" s="56">
        <v>0</v>
      </c>
      <c r="CP33" s="56">
        <v>0</v>
      </c>
      <c r="CQ33" s="56">
        <v>0</v>
      </c>
      <c r="CR33" s="56">
        <f t="shared" si="40"/>
        <v>0</v>
      </c>
      <c r="CS33" s="56">
        <v>730</v>
      </c>
      <c r="CT33" s="56">
        <v>0</v>
      </c>
      <c r="CU33" s="56">
        <f t="shared" si="41"/>
        <v>730</v>
      </c>
      <c r="CV33" s="56">
        <f t="shared" si="42"/>
        <v>0</v>
      </c>
      <c r="CW33" s="56" t="e">
        <f t="shared" si="43"/>
        <v>#DIV/0!</v>
      </c>
      <c r="CX33" s="57">
        <v>0</v>
      </c>
      <c r="CY33" s="57">
        <v>0</v>
      </c>
      <c r="CZ33" s="57">
        <v>0</v>
      </c>
      <c r="DA33" s="57">
        <f t="shared" si="44"/>
        <v>0</v>
      </c>
      <c r="DB33" s="57">
        <v>600</v>
      </c>
      <c r="DC33" s="57">
        <v>0</v>
      </c>
      <c r="DD33" s="57">
        <f t="shared" si="45"/>
        <v>600</v>
      </c>
      <c r="DE33" s="57">
        <f t="shared" si="46"/>
        <v>0</v>
      </c>
      <c r="DF33" s="57" t="e">
        <f t="shared" si="47"/>
        <v>#DIV/0!</v>
      </c>
    </row>
    <row r="34" spans="1:110" ht="14.25" customHeight="1">
      <c r="A34" s="89"/>
      <c r="B34" s="44"/>
      <c r="C34" s="45">
        <v>0</v>
      </c>
      <c r="D34" s="45">
        <v>0</v>
      </c>
      <c r="E34" s="45">
        <v>0</v>
      </c>
      <c r="F34" s="45">
        <f t="shared" si="0"/>
        <v>0</v>
      </c>
      <c r="G34" s="45">
        <v>900</v>
      </c>
      <c r="H34" s="45">
        <v>0</v>
      </c>
      <c r="I34" s="45">
        <f t="shared" si="1"/>
        <v>900</v>
      </c>
      <c r="J34" s="45">
        <f t="shared" si="2"/>
        <v>0</v>
      </c>
      <c r="K34" s="45" t="e">
        <f t="shared" si="3"/>
        <v>#DIV/0!</v>
      </c>
      <c r="L34" s="47">
        <v>0</v>
      </c>
      <c r="M34" s="47">
        <v>0</v>
      </c>
      <c r="N34" s="47">
        <v>0</v>
      </c>
      <c r="O34" s="47">
        <f t="shared" si="4"/>
        <v>0</v>
      </c>
      <c r="P34" s="47">
        <v>1800</v>
      </c>
      <c r="Q34" s="47">
        <v>0</v>
      </c>
      <c r="R34" s="47">
        <f t="shared" si="5"/>
        <v>1800</v>
      </c>
      <c r="S34" s="47">
        <f t="shared" si="6"/>
        <v>0</v>
      </c>
      <c r="T34" s="47" t="e">
        <f t="shared" si="7"/>
        <v>#DIV/0!</v>
      </c>
      <c r="U34" s="48">
        <v>0</v>
      </c>
      <c r="V34" s="48">
        <v>0</v>
      </c>
      <c r="W34" s="48">
        <v>0</v>
      </c>
      <c r="X34" s="48">
        <f t="shared" si="8"/>
        <v>0</v>
      </c>
      <c r="Y34" s="48">
        <v>910</v>
      </c>
      <c r="Z34" s="48">
        <v>0</v>
      </c>
      <c r="AA34" s="48">
        <f t="shared" si="9"/>
        <v>910</v>
      </c>
      <c r="AB34" s="48">
        <f t="shared" si="10"/>
        <v>0</v>
      </c>
      <c r="AC34" s="48" t="e">
        <f t="shared" si="11"/>
        <v>#DIV/0!</v>
      </c>
      <c r="AD34" s="49">
        <v>0</v>
      </c>
      <c r="AE34" s="49">
        <v>0</v>
      </c>
      <c r="AF34" s="49">
        <v>0</v>
      </c>
      <c r="AG34" s="49">
        <f t="shared" si="12"/>
        <v>0</v>
      </c>
      <c r="AH34" s="49">
        <v>1200</v>
      </c>
      <c r="AI34" s="49">
        <v>0</v>
      </c>
      <c r="AJ34" s="49">
        <f t="shared" si="13"/>
        <v>1200</v>
      </c>
      <c r="AK34" s="49">
        <f t="shared" si="14"/>
        <v>0</v>
      </c>
      <c r="AL34" s="49" t="e">
        <f t="shared" si="15"/>
        <v>#DIV/0!</v>
      </c>
      <c r="AM34" s="50">
        <v>0</v>
      </c>
      <c r="AN34" s="50">
        <v>0</v>
      </c>
      <c r="AO34" s="50">
        <v>0</v>
      </c>
      <c r="AP34" s="50">
        <f t="shared" si="16"/>
        <v>0</v>
      </c>
      <c r="AQ34" s="50">
        <v>600</v>
      </c>
      <c r="AR34" s="50">
        <v>0</v>
      </c>
      <c r="AS34" s="50">
        <f t="shared" si="17"/>
        <v>600</v>
      </c>
      <c r="AT34" s="50">
        <f t="shared" si="18"/>
        <v>0</v>
      </c>
      <c r="AU34" s="50" t="e">
        <f t="shared" si="19"/>
        <v>#DIV/0!</v>
      </c>
      <c r="AV34" s="51">
        <v>0</v>
      </c>
      <c r="AW34" s="51">
        <v>0</v>
      </c>
      <c r="AX34" s="51">
        <v>0</v>
      </c>
      <c r="AY34" s="51">
        <f t="shared" si="20"/>
        <v>0</v>
      </c>
      <c r="AZ34" s="51">
        <v>1500</v>
      </c>
      <c r="BA34" s="51">
        <v>0</v>
      </c>
      <c r="BB34" s="51">
        <f t="shared" si="21"/>
        <v>1500</v>
      </c>
      <c r="BC34" s="51">
        <f t="shared" si="22"/>
        <v>0</v>
      </c>
      <c r="BD34" s="51" t="e">
        <f t="shared" si="23"/>
        <v>#DIV/0!</v>
      </c>
      <c r="BE34" s="52">
        <v>0</v>
      </c>
      <c r="BF34" s="52">
        <v>0</v>
      </c>
      <c r="BG34" s="52">
        <v>0</v>
      </c>
      <c r="BH34" s="52">
        <f t="shared" si="24"/>
        <v>0</v>
      </c>
      <c r="BI34" s="52">
        <v>750</v>
      </c>
      <c r="BJ34" s="52">
        <v>0</v>
      </c>
      <c r="BK34" s="52">
        <f t="shared" si="25"/>
        <v>750</v>
      </c>
      <c r="BL34" s="52">
        <f t="shared" si="26"/>
        <v>0</v>
      </c>
      <c r="BM34" s="52" t="e">
        <f t="shared" si="27"/>
        <v>#DIV/0!</v>
      </c>
      <c r="BN34" s="53">
        <v>0</v>
      </c>
      <c r="BO34" s="53">
        <v>0</v>
      </c>
      <c r="BP34" s="53">
        <v>0</v>
      </c>
      <c r="BQ34" s="53">
        <f t="shared" si="28"/>
        <v>0</v>
      </c>
      <c r="BR34" s="53">
        <v>2450</v>
      </c>
      <c r="BS34" s="53">
        <v>0</v>
      </c>
      <c r="BT34" s="53">
        <f t="shared" si="29"/>
        <v>2450</v>
      </c>
      <c r="BU34" s="53">
        <f t="shared" si="30"/>
        <v>0</v>
      </c>
      <c r="BV34" s="53" t="e">
        <f t="shared" si="31"/>
        <v>#DIV/0!</v>
      </c>
      <c r="BW34" s="54">
        <v>0</v>
      </c>
      <c r="BX34" s="54">
        <v>0</v>
      </c>
      <c r="BY34" s="54">
        <v>0</v>
      </c>
      <c r="BZ34" s="54">
        <f t="shared" si="32"/>
        <v>0</v>
      </c>
      <c r="CA34" s="54">
        <v>750</v>
      </c>
      <c r="CB34" s="54">
        <v>0</v>
      </c>
      <c r="CC34" s="54">
        <f t="shared" si="33"/>
        <v>750</v>
      </c>
      <c r="CD34" s="54">
        <f t="shared" si="34"/>
        <v>0</v>
      </c>
      <c r="CE34" s="54" t="e">
        <f t="shared" si="35"/>
        <v>#DIV/0!</v>
      </c>
      <c r="CF34" s="55">
        <v>0</v>
      </c>
      <c r="CG34" s="55">
        <v>0</v>
      </c>
      <c r="CH34" s="55">
        <v>0</v>
      </c>
      <c r="CI34" s="55">
        <f t="shared" si="36"/>
        <v>0</v>
      </c>
      <c r="CJ34" s="55">
        <v>730</v>
      </c>
      <c r="CK34" s="55">
        <v>0</v>
      </c>
      <c r="CL34" s="55">
        <f t="shared" si="37"/>
        <v>730</v>
      </c>
      <c r="CM34" s="55">
        <f t="shared" si="38"/>
        <v>0</v>
      </c>
      <c r="CN34" s="55" t="e">
        <f t="shared" si="39"/>
        <v>#DIV/0!</v>
      </c>
      <c r="CO34" s="56">
        <v>0</v>
      </c>
      <c r="CP34" s="56">
        <v>0</v>
      </c>
      <c r="CQ34" s="56">
        <v>0</v>
      </c>
      <c r="CR34" s="56">
        <f t="shared" si="40"/>
        <v>0</v>
      </c>
      <c r="CS34" s="56">
        <v>730</v>
      </c>
      <c r="CT34" s="56">
        <v>0</v>
      </c>
      <c r="CU34" s="56">
        <f t="shared" si="41"/>
        <v>730</v>
      </c>
      <c r="CV34" s="56">
        <f t="shared" si="42"/>
        <v>0</v>
      </c>
      <c r="CW34" s="56" t="e">
        <f t="shared" si="43"/>
        <v>#DIV/0!</v>
      </c>
      <c r="CX34" s="57">
        <v>0</v>
      </c>
      <c r="CY34" s="57">
        <v>0</v>
      </c>
      <c r="CZ34" s="57">
        <v>0</v>
      </c>
      <c r="DA34" s="57">
        <f t="shared" si="44"/>
        <v>0</v>
      </c>
      <c r="DB34" s="57">
        <v>600</v>
      </c>
      <c r="DC34" s="57">
        <v>0</v>
      </c>
      <c r="DD34" s="57">
        <f t="shared" si="45"/>
        <v>600</v>
      </c>
      <c r="DE34" s="57">
        <f t="shared" si="46"/>
        <v>0</v>
      </c>
      <c r="DF34" s="57" t="e">
        <f t="shared" si="47"/>
        <v>#DIV/0!</v>
      </c>
    </row>
    <row r="35" spans="1:110" ht="14.25" hidden="1" customHeight="1">
      <c r="A35" s="90"/>
      <c r="B35" s="44"/>
      <c r="C35" s="44">
        <v>0</v>
      </c>
      <c r="D35" s="44">
        <v>0</v>
      </c>
      <c r="E35" s="44">
        <v>0</v>
      </c>
      <c r="F35" s="44">
        <f t="shared" si="0"/>
        <v>0</v>
      </c>
      <c r="G35" s="44">
        <f t="shared" ref="G35:G114" si="48">F35*C35</f>
        <v>0</v>
      </c>
      <c r="H35" s="91">
        <v>0</v>
      </c>
      <c r="I35" s="91">
        <v>0</v>
      </c>
      <c r="J35" s="91">
        <v>0</v>
      </c>
      <c r="K35" s="91">
        <f t="shared" ref="K35:K114" si="49">I35-J35</f>
        <v>0</v>
      </c>
      <c r="L35" s="91">
        <f t="shared" ref="L35:L114" si="50">K35*H35</f>
        <v>0</v>
      </c>
      <c r="M35" s="92">
        <v>0</v>
      </c>
      <c r="N35" s="92">
        <v>0</v>
      </c>
      <c r="O35" s="92">
        <v>0</v>
      </c>
      <c r="P35" s="92">
        <f t="shared" ref="P35:P114" si="51">N35-O35</f>
        <v>0</v>
      </c>
      <c r="Q35" s="92">
        <f t="shared" ref="Q35:Q114" si="52">P35*M35</f>
        <v>0</v>
      </c>
      <c r="R35" s="93">
        <v>0</v>
      </c>
      <c r="S35" s="93">
        <v>0</v>
      </c>
      <c r="T35" s="93">
        <v>0</v>
      </c>
      <c r="U35" s="93">
        <f t="shared" ref="U35:U114" si="53">S35-T35</f>
        <v>0</v>
      </c>
      <c r="V35" s="93">
        <f t="shared" ref="V35:V114" si="54">U35*R35</f>
        <v>0</v>
      </c>
      <c r="W35" s="94">
        <v>0</v>
      </c>
      <c r="X35" s="94">
        <v>0</v>
      </c>
      <c r="Y35" s="94">
        <v>0</v>
      </c>
      <c r="Z35" s="94">
        <f t="shared" ref="Z35:Z114" si="55">X35-Y35</f>
        <v>0</v>
      </c>
      <c r="AA35" s="94">
        <f t="shared" ref="AA35:AA114" si="56">Z35*W35</f>
        <v>0</v>
      </c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5"/>
      <c r="BQ35" s="95"/>
      <c r="BR35" s="95"/>
      <c r="BS35" s="95"/>
      <c r="BT35" s="95"/>
      <c r="BU35" s="95"/>
      <c r="BV35" s="95"/>
      <c r="BW35" s="95"/>
      <c r="BX35" s="95"/>
      <c r="BY35" s="95"/>
      <c r="BZ35" s="95"/>
      <c r="CA35" s="95"/>
      <c r="CB35" s="95"/>
      <c r="CC35" s="95"/>
      <c r="CD35" s="95"/>
      <c r="CE35" s="95"/>
      <c r="CF35" s="95"/>
      <c r="CG35" s="95"/>
      <c r="CH35" s="95"/>
      <c r="CI35" s="95"/>
      <c r="CJ35" s="95"/>
      <c r="CK35" s="95"/>
      <c r="CL35" s="95"/>
      <c r="CM35" s="95"/>
      <c r="CN35" s="95"/>
      <c r="CO35" s="95"/>
      <c r="CP35" s="95"/>
      <c r="CQ35" s="95"/>
      <c r="CR35" s="95"/>
      <c r="CS35" s="95"/>
      <c r="CT35" s="95"/>
      <c r="CU35" s="95"/>
      <c r="CV35" s="95"/>
      <c r="CW35" s="95"/>
      <c r="CX35" s="95"/>
      <c r="CY35" s="95"/>
      <c r="CZ35" s="95"/>
      <c r="DA35" s="95"/>
      <c r="DB35" s="95"/>
      <c r="DC35" s="95"/>
      <c r="DD35" s="95"/>
      <c r="DE35" s="95"/>
      <c r="DF35" s="95"/>
    </row>
    <row r="36" spans="1:110" ht="14.25" hidden="1" customHeight="1">
      <c r="A36" s="90"/>
      <c r="B36" s="44"/>
      <c r="C36" s="44">
        <v>0</v>
      </c>
      <c r="D36" s="44">
        <v>0</v>
      </c>
      <c r="E36" s="44">
        <v>0</v>
      </c>
      <c r="F36" s="44">
        <f t="shared" si="0"/>
        <v>0</v>
      </c>
      <c r="G36" s="44">
        <f t="shared" si="48"/>
        <v>0</v>
      </c>
      <c r="H36" s="91">
        <v>0</v>
      </c>
      <c r="I36" s="91">
        <v>0</v>
      </c>
      <c r="J36" s="91">
        <v>0</v>
      </c>
      <c r="K36" s="91">
        <f t="shared" si="49"/>
        <v>0</v>
      </c>
      <c r="L36" s="91">
        <f t="shared" si="50"/>
        <v>0</v>
      </c>
      <c r="M36" s="92">
        <v>0</v>
      </c>
      <c r="N36" s="92">
        <v>0</v>
      </c>
      <c r="O36" s="92">
        <v>0</v>
      </c>
      <c r="P36" s="92">
        <f t="shared" si="51"/>
        <v>0</v>
      </c>
      <c r="Q36" s="92">
        <f t="shared" si="52"/>
        <v>0</v>
      </c>
      <c r="R36" s="93">
        <v>0</v>
      </c>
      <c r="S36" s="93">
        <v>0</v>
      </c>
      <c r="T36" s="93">
        <v>0</v>
      </c>
      <c r="U36" s="93">
        <f t="shared" si="53"/>
        <v>0</v>
      </c>
      <c r="V36" s="93">
        <f t="shared" si="54"/>
        <v>0</v>
      </c>
      <c r="W36" s="94">
        <v>0</v>
      </c>
      <c r="X36" s="94">
        <v>0</v>
      </c>
      <c r="Y36" s="94">
        <v>0</v>
      </c>
      <c r="Z36" s="94">
        <f t="shared" si="55"/>
        <v>0</v>
      </c>
      <c r="AA36" s="94">
        <f t="shared" si="56"/>
        <v>0</v>
      </c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  <c r="CA36" s="95"/>
      <c r="CB36" s="95"/>
      <c r="CC36" s="95"/>
      <c r="CD36" s="95"/>
      <c r="CE36" s="95"/>
      <c r="CF36" s="95"/>
      <c r="CG36" s="95"/>
      <c r="CH36" s="95"/>
      <c r="CI36" s="95"/>
      <c r="CJ36" s="95"/>
      <c r="CK36" s="95"/>
      <c r="CL36" s="95"/>
      <c r="CM36" s="95"/>
      <c r="CN36" s="95"/>
      <c r="CO36" s="95"/>
      <c r="CP36" s="95"/>
      <c r="CQ36" s="95"/>
      <c r="CR36" s="95"/>
      <c r="CS36" s="95"/>
      <c r="CT36" s="95"/>
      <c r="CU36" s="95"/>
      <c r="CV36" s="95"/>
      <c r="CW36" s="95"/>
      <c r="CX36" s="95"/>
      <c r="CY36" s="95"/>
      <c r="CZ36" s="95"/>
      <c r="DA36" s="95"/>
      <c r="DB36" s="95"/>
      <c r="DC36" s="95"/>
      <c r="DD36" s="95"/>
      <c r="DE36" s="95"/>
      <c r="DF36" s="95"/>
    </row>
    <row r="37" spans="1:110" ht="14.25" hidden="1" customHeight="1">
      <c r="A37" s="90"/>
      <c r="B37" s="44"/>
      <c r="C37" s="44">
        <v>0</v>
      </c>
      <c r="D37" s="44">
        <v>0</v>
      </c>
      <c r="E37" s="44">
        <v>0</v>
      </c>
      <c r="F37" s="44">
        <f t="shared" si="0"/>
        <v>0</v>
      </c>
      <c r="G37" s="44">
        <f t="shared" si="48"/>
        <v>0</v>
      </c>
      <c r="H37" s="91">
        <v>0</v>
      </c>
      <c r="I37" s="91">
        <v>0</v>
      </c>
      <c r="J37" s="91">
        <v>0</v>
      </c>
      <c r="K37" s="91">
        <f t="shared" si="49"/>
        <v>0</v>
      </c>
      <c r="L37" s="91">
        <f t="shared" si="50"/>
        <v>0</v>
      </c>
      <c r="M37" s="92">
        <v>0</v>
      </c>
      <c r="N37" s="92">
        <v>0</v>
      </c>
      <c r="O37" s="92">
        <v>0</v>
      </c>
      <c r="P37" s="92">
        <f t="shared" si="51"/>
        <v>0</v>
      </c>
      <c r="Q37" s="92">
        <f t="shared" si="52"/>
        <v>0</v>
      </c>
      <c r="R37" s="93">
        <v>0</v>
      </c>
      <c r="S37" s="93">
        <v>0</v>
      </c>
      <c r="T37" s="93">
        <v>0</v>
      </c>
      <c r="U37" s="93">
        <f t="shared" si="53"/>
        <v>0</v>
      </c>
      <c r="V37" s="93">
        <f t="shared" si="54"/>
        <v>0</v>
      </c>
      <c r="W37" s="94">
        <v>0</v>
      </c>
      <c r="X37" s="94">
        <v>0</v>
      </c>
      <c r="Y37" s="94">
        <v>0</v>
      </c>
      <c r="Z37" s="94">
        <f t="shared" si="55"/>
        <v>0</v>
      </c>
      <c r="AA37" s="94">
        <f t="shared" si="56"/>
        <v>0</v>
      </c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5"/>
      <c r="BQ37" s="95"/>
      <c r="BR37" s="95"/>
      <c r="BS37" s="95"/>
      <c r="BT37" s="95"/>
      <c r="BU37" s="95"/>
      <c r="BV37" s="95"/>
      <c r="BW37" s="95"/>
      <c r="BX37" s="95"/>
      <c r="BY37" s="95"/>
      <c r="BZ37" s="95"/>
      <c r="CA37" s="95"/>
      <c r="CB37" s="95"/>
      <c r="CC37" s="95"/>
      <c r="CD37" s="95"/>
      <c r="CE37" s="95"/>
      <c r="CF37" s="95"/>
      <c r="CG37" s="95"/>
      <c r="CH37" s="95"/>
      <c r="CI37" s="95"/>
      <c r="CJ37" s="95"/>
      <c r="CK37" s="95"/>
      <c r="CL37" s="95"/>
      <c r="CM37" s="95"/>
      <c r="CN37" s="95"/>
      <c r="CO37" s="95"/>
      <c r="CP37" s="95"/>
      <c r="CQ37" s="95"/>
      <c r="CR37" s="95"/>
      <c r="CS37" s="95"/>
      <c r="CT37" s="95"/>
      <c r="CU37" s="95"/>
      <c r="CV37" s="95"/>
      <c r="CW37" s="95"/>
      <c r="CX37" s="95"/>
      <c r="CY37" s="95"/>
      <c r="CZ37" s="95"/>
      <c r="DA37" s="95"/>
      <c r="DB37" s="95"/>
      <c r="DC37" s="95"/>
      <c r="DD37" s="95"/>
      <c r="DE37" s="95"/>
      <c r="DF37" s="95"/>
    </row>
    <row r="38" spans="1:110" ht="14.25" hidden="1" customHeight="1">
      <c r="A38" s="90"/>
      <c r="B38" s="44"/>
      <c r="C38" s="44">
        <v>0</v>
      </c>
      <c r="D38" s="44">
        <v>0</v>
      </c>
      <c r="E38" s="44">
        <v>0</v>
      </c>
      <c r="F38" s="44">
        <f t="shared" si="0"/>
        <v>0</v>
      </c>
      <c r="G38" s="44">
        <f t="shared" si="48"/>
        <v>0</v>
      </c>
      <c r="H38" s="91">
        <v>0</v>
      </c>
      <c r="I38" s="91">
        <v>0</v>
      </c>
      <c r="J38" s="91">
        <v>0</v>
      </c>
      <c r="K38" s="91">
        <f t="shared" si="49"/>
        <v>0</v>
      </c>
      <c r="L38" s="91">
        <f t="shared" si="50"/>
        <v>0</v>
      </c>
      <c r="M38" s="92">
        <v>0</v>
      </c>
      <c r="N38" s="92">
        <v>0</v>
      </c>
      <c r="O38" s="92">
        <v>0</v>
      </c>
      <c r="P38" s="92">
        <f t="shared" si="51"/>
        <v>0</v>
      </c>
      <c r="Q38" s="92">
        <f t="shared" si="52"/>
        <v>0</v>
      </c>
      <c r="R38" s="93">
        <v>0</v>
      </c>
      <c r="S38" s="93">
        <v>0</v>
      </c>
      <c r="T38" s="93">
        <v>0</v>
      </c>
      <c r="U38" s="93">
        <f t="shared" si="53"/>
        <v>0</v>
      </c>
      <c r="V38" s="93">
        <f t="shared" si="54"/>
        <v>0</v>
      </c>
      <c r="W38" s="94">
        <v>0</v>
      </c>
      <c r="X38" s="94">
        <v>0</v>
      </c>
      <c r="Y38" s="94">
        <v>0</v>
      </c>
      <c r="Z38" s="94">
        <f t="shared" si="55"/>
        <v>0</v>
      </c>
      <c r="AA38" s="94">
        <f t="shared" si="56"/>
        <v>0</v>
      </c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5"/>
      <c r="BQ38" s="95"/>
      <c r="BR38" s="95"/>
      <c r="BS38" s="95"/>
      <c r="BT38" s="95"/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95"/>
      <c r="CF38" s="95"/>
      <c r="CG38" s="95"/>
      <c r="CH38" s="95"/>
      <c r="CI38" s="95"/>
      <c r="CJ38" s="95"/>
      <c r="CK38" s="95"/>
      <c r="CL38" s="95"/>
      <c r="CM38" s="95"/>
      <c r="CN38" s="95"/>
      <c r="CO38" s="95"/>
      <c r="CP38" s="95"/>
      <c r="CQ38" s="95"/>
      <c r="CR38" s="95"/>
      <c r="CS38" s="95"/>
      <c r="CT38" s="95"/>
      <c r="CU38" s="95"/>
      <c r="CV38" s="95"/>
      <c r="CW38" s="95"/>
      <c r="CX38" s="95"/>
      <c r="CY38" s="95"/>
      <c r="CZ38" s="95"/>
      <c r="DA38" s="95"/>
      <c r="DB38" s="95"/>
      <c r="DC38" s="95"/>
      <c r="DD38" s="95"/>
      <c r="DE38" s="95"/>
      <c r="DF38" s="95"/>
    </row>
    <row r="39" spans="1:110" ht="14.25" hidden="1" customHeight="1">
      <c r="A39" s="90"/>
      <c r="B39" s="44"/>
      <c r="C39" s="44">
        <v>0</v>
      </c>
      <c r="D39" s="44">
        <v>0</v>
      </c>
      <c r="E39" s="44">
        <v>0</v>
      </c>
      <c r="F39" s="44">
        <f t="shared" si="0"/>
        <v>0</v>
      </c>
      <c r="G39" s="44">
        <f t="shared" si="48"/>
        <v>0</v>
      </c>
      <c r="H39" s="91">
        <v>0</v>
      </c>
      <c r="I39" s="91">
        <v>0</v>
      </c>
      <c r="J39" s="91">
        <v>0</v>
      </c>
      <c r="K39" s="91">
        <f t="shared" si="49"/>
        <v>0</v>
      </c>
      <c r="L39" s="91">
        <f t="shared" si="50"/>
        <v>0</v>
      </c>
      <c r="M39" s="92">
        <v>0</v>
      </c>
      <c r="N39" s="92">
        <v>0</v>
      </c>
      <c r="O39" s="92">
        <v>0</v>
      </c>
      <c r="P39" s="92">
        <f t="shared" si="51"/>
        <v>0</v>
      </c>
      <c r="Q39" s="92">
        <f t="shared" si="52"/>
        <v>0</v>
      </c>
      <c r="R39" s="93">
        <v>0</v>
      </c>
      <c r="S39" s="93">
        <v>0</v>
      </c>
      <c r="T39" s="93">
        <v>0</v>
      </c>
      <c r="U39" s="93">
        <f t="shared" si="53"/>
        <v>0</v>
      </c>
      <c r="V39" s="93">
        <f t="shared" si="54"/>
        <v>0</v>
      </c>
      <c r="W39" s="94">
        <v>0</v>
      </c>
      <c r="X39" s="94">
        <v>0</v>
      </c>
      <c r="Y39" s="94">
        <v>0</v>
      </c>
      <c r="Z39" s="94">
        <f t="shared" si="55"/>
        <v>0</v>
      </c>
      <c r="AA39" s="94">
        <f t="shared" si="56"/>
        <v>0</v>
      </c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5"/>
      <c r="AY39" s="95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5"/>
      <c r="BQ39" s="95"/>
      <c r="BR39" s="95"/>
      <c r="BS39" s="95"/>
      <c r="BT39" s="95"/>
      <c r="BU39" s="95"/>
      <c r="BV39" s="95"/>
      <c r="BW39" s="95"/>
      <c r="BX39" s="95"/>
      <c r="BY39" s="95"/>
      <c r="BZ39" s="95"/>
      <c r="CA39" s="95"/>
      <c r="CB39" s="95"/>
      <c r="CC39" s="95"/>
      <c r="CD39" s="95"/>
      <c r="CE39" s="95"/>
      <c r="CF39" s="95"/>
      <c r="CG39" s="95"/>
      <c r="CH39" s="95"/>
      <c r="CI39" s="95"/>
      <c r="CJ39" s="95"/>
      <c r="CK39" s="95"/>
      <c r="CL39" s="95"/>
      <c r="CM39" s="95"/>
      <c r="CN39" s="95"/>
      <c r="CO39" s="95"/>
      <c r="CP39" s="95"/>
      <c r="CQ39" s="95"/>
      <c r="CR39" s="95"/>
      <c r="CS39" s="95"/>
      <c r="CT39" s="95"/>
      <c r="CU39" s="95"/>
      <c r="CV39" s="95"/>
      <c r="CW39" s="95"/>
      <c r="CX39" s="95"/>
      <c r="CY39" s="95"/>
      <c r="CZ39" s="95"/>
      <c r="DA39" s="95"/>
      <c r="DB39" s="95"/>
      <c r="DC39" s="95"/>
      <c r="DD39" s="95"/>
      <c r="DE39" s="95"/>
      <c r="DF39" s="95"/>
    </row>
    <row r="40" spans="1:110" ht="14.25" hidden="1" customHeight="1">
      <c r="A40" s="90"/>
      <c r="B40" s="44"/>
      <c r="C40" s="44">
        <v>0</v>
      </c>
      <c r="D40" s="44">
        <v>0</v>
      </c>
      <c r="E40" s="44">
        <v>0</v>
      </c>
      <c r="F40" s="44">
        <f t="shared" si="0"/>
        <v>0</v>
      </c>
      <c r="G40" s="44">
        <f t="shared" si="48"/>
        <v>0</v>
      </c>
      <c r="H40" s="91">
        <v>0</v>
      </c>
      <c r="I40" s="91">
        <v>0</v>
      </c>
      <c r="J40" s="91">
        <v>0</v>
      </c>
      <c r="K40" s="91">
        <f t="shared" si="49"/>
        <v>0</v>
      </c>
      <c r="L40" s="91">
        <f t="shared" si="50"/>
        <v>0</v>
      </c>
      <c r="M40" s="92">
        <v>0</v>
      </c>
      <c r="N40" s="92">
        <v>0</v>
      </c>
      <c r="O40" s="92">
        <v>0</v>
      </c>
      <c r="P40" s="92">
        <f t="shared" si="51"/>
        <v>0</v>
      </c>
      <c r="Q40" s="92">
        <f t="shared" si="52"/>
        <v>0</v>
      </c>
      <c r="R40" s="93">
        <v>0</v>
      </c>
      <c r="S40" s="93">
        <v>0</v>
      </c>
      <c r="T40" s="93">
        <v>0</v>
      </c>
      <c r="U40" s="93">
        <f t="shared" si="53"/>
        <v>0</v>
      </c>
      <c r="V40" s="93">
        <f t="shared" si="54"/>
        <v>0</v>
      </c>
      <c r="W40" s="94">
        <v>0</v>
      </c>
      <c r="X40" s="94">
        <v>0</v>
      </c>
      <c r="Y40" s="94">
        <v>0</v>
      </c>
      <c r="Z40" s="94">
        <f t="shared" si="55"/>
        <v>0</v>
      </c>
      <c r="AA40" s="94">
        <f t="shared" si="56"/>
        <v>0</v>
      </c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5"/>
      <c r="AY40" s="95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5"/>
      <c r="BQ40" s="95"/>
      <c r="BR40" s="95"/>
      <c r="BS40" s="95"/>
      <c r="BT40" s="95"/>
      <c r="BU40" s="95"/>
      <c r="BV40" s="95"/>
      <c r="BW40" s="95"/>
      <c r="BX40" s="95"/>
      <c r="BY40" s="95"/>
      <c r="BZ40" s="95"/>
      <c r="CA40" s="95"/>
      <c r="CB40" s="95"/>
      <c r="CC40" s="95"/>
      <c r="CD40" s="95"/>
      <c r="CE40" s="95"/>
      <c r="CF40" s="95"/>
      <c r="CG40" s="95"/>
      <c r="CH40" s="95"/>
      <c r="CI40" s="95"/>
      <c r="CJ40" s="95"/>
      <c r="CK40" s="95"/>
      <c r="CL40" s="95"/>
      <c r="CM40" s="95"/>
      <c r="CN40" s="95"/>
      <c r="CO40" s="95"/>
      <c r="CP40" s="95"/>
      <c r="CQ40" s="95"/>
      <c r="CR40" s="95"/>
      <c r="CS40" s="95"/>
      <c r="CT40" s="95"/>
      <c r="CU40" s="95"/>
      <c r="CV40" s="95"/>
      <c r="CW40" s="95"/>
      <c r="CX40" s="95"/>
      <c r="CY40" s="95"/>
      <c r="CZ40" s="95"/>
      <c r="DA40" s="95"/>
      <c r="DB40" s="95"/>
      <c r="DC40" s="95"/>
      <c r="DD40" s="95"/>
      <c r="DE40" s="95"/>
      <c r="DF40" s="95"/>
    </row>
    <row r="41" spans="1:110" ht="14.25" hidden="1" customHeight="1">
      <c r="A41" s="90"/>
      <c r="B41" s="44"/>
      <c r="C41" s="44">
        <v>0</v>
      </c>
      <c r="D41" s="44">
        <v>0</v>
      </c>
      <c r="E41" s="44">
        <v>0</v>
      </c>
      <c r="F41" s="44">
        <f t="shared" si="0"/>
        <v>0</v>
      </c>
      <c r="G41" s="44">
        <f t="shared" si="48"/>
        <v>0</v>
      </c>
      <c r="H41" s="91">
        <v>0</v>
      </c>
      <c r="I41" s="91">
        <v>0</v>
      </c>
      <c r="J41" s="91">
        <v>0</v>
      </c>
      <c r="K41" s="91">
        <f t="shared" si="49"/>
        <v>0</v>
      </c>
      <c r="L41" s="91">
        <f t="shared" si="50"/>
        <v>0</v>
      </c>
      <c r="M41" s="92">
        <v>0</v>
      </c>
      <c r="N41" s="92">
        <v>0</v>
      </c>
      <c r="O41" s="92">
        <v>0</v>
      </c>
      <c r="P41" s="92">
        <f t="shared" si="51"/>
        <v>0</v>
      </c>
      <c r="Q41" s="92">
        <f t="shared" si="52"/>
        <v>0</v>
      </c>
      <c r="R41" s="93">
        <v>0</v>
      </c>
      <c r="S41" s="93">
        <v>0</v>
      </c>
      <c r="T41" s="93">
        <v>0</v>
      </c>
      <c r="U41" s="93">
        <f t="shared" si="53"/>
        <v>0</v>
      </c>
      <c r="V41" s="93">
        <f t="shared" si="54"/>
        <v>0</v>
      </c>
      <c r="W41" s="94">
        <v>0</v>
      </c>
      <c r="X41" s="94">
        <v>0</v>
      </c>
      <c r="Y41" s="94">
        <v>0</v>
      </c>
      <c r="Z41" s="94">
        <f t="shared" si="55"/>
        <v>0</v>
      </c>
      <c r="AA41" s="94">
        <f t="shared" si="56"/>
        <v>0</v>
      </c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5"/>
      <c r="BQ41" s="95"/>
      <c r="BR41" s="95"/>
      <c r="BS41" s="95"/>
      <c r="BT41" s="95"/>
      <c r="BU41" s="95"/>
      <c r="BV41" s="95"/>
      <c r="BW41" s="95"/>
      <c r="BX41" s="95"/>
      <c r="BY41" s="95"/>
      <c r="BZ41" s="95"/>
      <c r="CA41" s="95"/>
      <c r="CB41" s="95"/>
      <c r="CC41" s="95"/>
      <c r="CD41" s="95"/>
      <c r="CE41" s="95"/>
      <c r="CF41" s="95"/>
      <c r="CG41" s="95"/>
      <c r="CH41" s="95"/>
      <c r="CI41" s="95"/>
      <c r="CJ41" s="95"/>
      <c r="CK41" s="95"/>
      <c r="CL41" s="95"/>
      <c r="CM41" s="95"/>
      <c r="CN41" s="95"/>
      <c r="CO41" s="95"/>
      <c r="CP41" s="95"/>
      <c r="CQ41" s="95"/>
      <c r="CR41" s="95"/>
      <c r="CS41" s="95"/>
      <c r="CT41" s="95"/>
      <c r="CU41" s="95"/>
      <c r="CV41" s="95"/>
      <c r="CW41" s="95"/>
      <c r="CX41" s="95"/>
      <c r="CY41" s="95"/>
      <c r="CZ41" s="95"/>
      <c r="DA41" s="95"/>
      <c r="DB41" s="95"/>
      <c r="DC41" s="95"/>
      <c r="DD41" s="95"/>
      <c r="DE41" s="95"/>
      <c r="DF41" s="95"/>
    </row>
    <row r="42" spans="1:110" ht="14.25" hidden="1" customHeight="1">
      <c r="A42" s="90"/>
      <c r="B42" s="44"/>
      <c r="C42" s="44">
        <v>0</v>
      </c>
      <c r="D42" s="44">
        <v>0</v>
      </c>
      <c r="E42" s="44">
        <v>0</v>
      </c>
      <c r="F42" s="44">
        <f t="shared" si="0"/>
        <v>0</v>
      </c>
      <c r="G42" s="44">
        <f t="shared" si="48"/>
        <v>0</v>
      </c>
      <c r="H42" s="91">
        <v>0</v>
      </c>
      <c r="I42" s="91">
        <v>0</v>
      </c>
      <c r="J42" s="91">
        <v>0</v>
      </c>
      <c r="K42" s="91">
        <f t="shared" si="49"/>
        <v>0</v>
      </c>
      <c r="L42" s="91">
        <f t="shared" si="50"/>
        <v>0</v>
      </c>
      <c r="M42" s="92">
        <v>0</v>
      </c>
      <c r="N42" s="92">
        <v>0</v>
      </c>
      <c r="O42" s="92">
        <v>0</v>
      </c>
      <c r="P42" s="92">
        <f t="shared" si="51"/>
        <v>0</v>
      </c>
      <c r="Q42" s="92">
        <f t="shared" si="52"/>
        <v>0</v>
      </c>
      <c r="R42" s="93">
        <v>0</v>
      </c>
      <c r="S42" s="93">
        <v>0</v>
      </c>
      <c r="T42" s="93">
        <v>0</v>
      </c>
      <c r="U42" s="93">
        <f t="shared" si="53"/>
        <v>0</v>
      </c>
      <c r="V42" s="93">
        <f t="shared" si="54"/>
        <v>0</v>
      </c>
      <c r="W42" s="94">
        <v>0</v>
      </c>
      <c r="X42" s="94">
        <v>0</v>
      </c>
      <c r="Y42" s="94">
        <v>0</v>
      </c>
      <c r="Z42" s="94">
        <f t="shared" si="55"/>
        <v>0</v>
      </c>
      <c r="AA42" s="94">
        <f t="shared" si="56"/>
        <v>0</v>
      </c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95"/>
      <c r="CF42" s="95"/>
      <c r="CG42" s="95"/>
      <c r="CH42" s="95"/>
      <c r="CI42" s="95"/>
      <c r="CJ42" s="95"/>
      <c r="CK42" s="95"/>
      <c r="CL42" s="95"/>
      <c r="CM42" s="95"/>
      <c r="CN42" s="95"/>
      <c r="CO42" s="95"/>
      <c r="CP42" s="95"/>
      <c r="CQ42" s="95"/>
      <c r="CR42" s="95"/>
      <c r="CS42" s="95"/>
      <c r="CT42" s="95"/>
      <c r="CU42" s="95"/>
      <c r="CV42" s="95"/>
      <c r="CW42" s="95"/>
      <c r="CX42" s="95"/>
      <c r="CY42" s="95"/>
      <c r="CZ42" s="95"/>
      <c r="DA42" s="95"/>
      <c r="DB42" s="95"/>
      <c r="DC42" s="95"/>
      <c r="DD42" s="95"/>
      <c r="DE42" s="95"/>
      <c r="DF42" s="95"/>
    </row>
    <row r="43" spans="1:110" ht="14.25" hidden="1" customHeight="1">
      <c r="A43" s="90"/>
      <c r="B43" s="44"/>
      <c r="C43" s="44">
        <v>0</v>
      </c>
      <c r="D43" s="44">
        <v>0</v>
      </c>
      <c r="E43" s="44">
        <v>0</v>
      </c>
      <c r="F43" s="44">
        <f t="shared" si="0"/>
        <v>0</v>
      </c>
      <c r="G43" s="44">
        <f t="shared" si="48"/>
        <v>0</v>
      </c>
      <c r="H43" s="91">
        <v>0</v>
      </c>
      <c r="I43" s="91">
        <v>0</v>
      </c>
      <c r="J43" s="91">
        <v>0</v>
      </c>
      <c r="K43" s="91">
        <f t="shared" si="49"/>
        <v>0</v>
      </c>
      <c r="L43" s="91">
        <f t="shared" si="50"/>
        <v>0</v>
      </c>
      <c r="M43" s="92">
        <v>0</v>
      </c>
      <c r="N43" s="92">
        <v>0</v>
      </c>
      <c r="O43" s="92">
        <v>0</v>
      </c>
      <c r="P43" s="92">
        <f t="shared" si="51"/>
        <v>0</v>
      </c>
      <c r="Q43" s="92">
        <f t="shared" si="52"/>
        <v>0</v>
      </c>
      <c r="R43" s="93">
        <v>0</v>
      </c>
      <c r="S43" s="93">
        <v>0</v>
      </c>
      <c r="T43" s="93">
        <v>0</v>
      </c>
      <c r="U43" s="93">
        <f t="shared" si="53"/>
        <v>0</v>
      </c>
      <c r="V43" s="93">
        <f t="shared" si="54"/>
        <v>0</v>
      </c>
      <c r="W43" s="94">
        <v>0</v>
      </c>
      <c r="X43" s="94">
        <v>0</v>
      </c>
      <c r="Y43" s="94">
        <v>0</v>
      </c>
      <c r="Z43" s="94">
        <f t="shared" si="55"/>
        <v>0</v>
      </c>
      <c r="AA43" s="94">
        <f t="shared" si="56"/>
        <v>0</v>
      </c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5"/>
      <c r="CF43" s="95"/>
      <c r="CG43" s="95"/>
      <c r="CH43" s="95"/>
      <c r="CI43" s="95"/>
      <c r="CJ43" s="95"/>
      <c r="CK43" s="95"/>
      <c r="CL43" s="95"/>
      <c r="CM43" s="95"/>
      <c r="CN43" s="95"/>
      <c r="CO43" s="95"/>
      <c r="CP43" s="95"/>
      <c r="CQ43" s="95"/>
      <c r="CR43" s="95"/>
      <c r="CS43" s="95"/>
      <c r="CT43" s="95"/>
      <c r="CU43" s="95"/>
      <c r="CV43" s="95"/>
      <c r="CW43" s="95"/>
      <c r="CX43" s="95"/>
      <c r="CY43" s="95"/>
      <c r="CZ43" s="95"/>
      <c r="DA43" s="95"/>
      <c r="DB43" s="95"/>
      <c r="DC43" s="95"/>
      <c r="DD43" s="95"/>
      <c r="DE43" s="95"/>
      <c r="DF43" s="95"/>
    </row>
    <row r="44" spans="1:110" ht="14.25" hidden="1" customHeight="1">
      <c r="A44" s="90"/>
      <c r="B44" s="44"/>
      <c r="C44" s="44">
        <v>0</v>
      </c>
      <c r="D44" s="44">
        <v>0</v>
      </c>
      <c r="E44" s="44">
        <v>0</v>
      </c>
      <c r="F44" s="44">
        <f t="shared" si="0"/>
        <v>0</v>
      </c>
      <c r="G44" s="44">
        <f t="shared" si="48"/>
        <v>0</v>
      </c>
      <c r="H44" s="91">
        <v>0</v>
      </c>
      <c r="I44" s="91">
        <v>0</v>
      </c>
      <c r="J44" s="91">
        <v>0</v>
      </c>
      <c r="K44" s="91">
        <f t="shared" si="49"/>
        <v>0</v>
      </c>
      <c r="L44" s="91">
        <f t="shared" si="50"/>
        <v>0</v>
      </c>
      <c r="M44" s="92">
        <v>0</v>
      </c>
      <c r="N44" s="92">
        <v>0</v>
      </c>
      <c r="O44" s="92">
        <v>0</v>
      </c>
      <c r="P44" s="92">
        <f t="shared" si="51"/>
        <v>0</v>
      </c>
      <c r="Q44" s="92">
        <f t="shared" si="52"/>
        <v>0</v>
      </c>
      <c r="R44" s="93">
        <v>0</v>
      </c>
      <c r="S44" s="93">
        <v>0</v>
      </c>
      <c r="T44" s="93">
        <v>0</v>
      </c>
      <c r="U44" s="93">
        <f t="shared" si="53"/>
        <v>0</v>
      </c>
      <c r="V44" s="93">
        <f t="shared" si="54"/>
        <v>0</v>
      </c>
      <c r="W44" s="94">
        <v>0</v>
      </c>
      <c r="X44" s="94">
        <v>0</v>
      </c>
      <c r="Y44" s="94">
        <v>0</v>
      </c>
      <c r="Z44" s="94">
        <f t="shared" si="55"/>
        <v>0</v>
      </c>
      <c r="AA44" s="94">
        <f t="shared" si="56"/>
        <v>0</v>
      </c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5"/>
      <c r="BQ44" s="95"/>
      <c r="BR44" s="95"/>
      <c r="BS44" s="95"/>
      <c r="BT44" s="95"/>
      <c r="BU44" s="95"/>
      <c r="BV44" s="95"/>
      <c r="BW44" s="95"/>
      <c r="BX44" s="95"/>
      <c r="BY44" s="95"/>
      <c r="BZ44" s="95"/>
      <c r="CA44" s="95"/>
      <c r="CB44" s="95"/>
      <c r="CC44" s="95"/>
      <c r="CD44" s="95"/>
      <c r="CE44" s="95"/>
      <c r="CF44" s="95"/>
      <c r="CG44" s="95"/>
      <c r="CH44" s="95"/>
      <c r="CI44" s="95"/>
      <c r="CJ44" s="95"/>
      <c r="CK44" s="95"/>
      <c r="CL44" s="95"/>
      <c r="CM44" s="95"/>
      <c r="CN44" s="95"/>
      <c r="CO44" s="95"/>
      <c r="CP44" s="95"/>
      <c r="CQ44" s="95"/>
      <c r="CR44" s="95"/>
      <c r="CS44" s="95"/>
      <c r="CT44" s="95"/>
      <c r="CU44" s="95"/>
      <c r="CV44" s="95"/>
      <c r="CW44" s="95"/>
      <c r="CX44" s="95"/>
      <c r="CY44" s="95"/>
      <c r="CZ44" s="95"/>
      <c r="DA44" s="95"/>
      <c r="DB44" s="95"/>
      <c r="DC44" s="95"/>
      <c r="DD44" s="95"/>
      <c r="DE44" s="95"/>
      <c r="DF44" s="95"/>
    </row>
    <row r="45" spans="1:110" ht="14.25" hidden="1" customHeight="1">
      <c r="A45" s="90"/>
      <c r="B45" s="44"/>
      <c r="C45" s="44">
        <v>0</v>
      </c>
      <c r="D45" s="44">
        <v>0</v>
      </c>
      <c r="E45" s="44">
        <v>0</v>
      </c>
      <c r="F45" s="44">
        <f t="shared" si="0"/>
        <v>0</v>
      </c>
      <c r="G45" s="44">
        <f t="shared" si="48"/>
        <v>0</v>
      </c>
      <c r="H45" s="91">
        <v>0</v>
      </c>
      <c r="I45" s="91">
        <v>0</v>
      </c>
      <c r="J45" s="91">
        <v>0</v>
      </c>
      <c r="K45" s="91">
        <f t="shared" si="49"/>
        <v>0</v>
      </c>
      <c r="L45" s="91">
        <f t="shared" si="50"/>
        <v>0</v>
      </c>
      <c r="M45" s="92">
        <v>0</v>
      </c>
      <c r="N45" s="92">
        <v>0</v>
      </c>
      <c r="O45" s="92">
        <v>0</v>
      </c>
      <c r="P45" s="92">
        <f t="shared" si="51"/>
        <v>0</v>
      </c>
      <c r="Q45" s="92">
        <f t="shared" si="52"/>
        <v>0</v>
      </c>
      <c r="R45" s="93">
        <v>0</v>
      </c>
      <c r="S45" s="93">
        <v>0</v>
      </c>
      <c r="T45" s="93">
        <v>0</v>
      </c>
      <c r="U45" s="93">
        <f t="shared" si="53"/>
        <v>0</v>
      </c>
      <c r="V45" s="93">
        <f t="shared" si="54"/>
        <v>0</v>
      </c>
      <c r="W45" s="94">
        <v>0</v>
      </c>
      <c r="X45" s="94">
        <v>0</v>
      </c>
      <c r="Y45" s="94">
        <v>0</v>
      </c>
      <c r="Z45" s="94">
        <f t="shared" si="55"/>
        <v>0</v>
      </c>
      <c r="AA45" s="94">
        <f t="shared" si="56"/>
        <v>0</v>
      </c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5"/>
      <c r="BQ45" s="95"/>
      <c r="BR45" s="95"/>
      <c r="BS45" s="95"/>
      <c r="BT45" s="95"/>
      <c r="BU45" s="95"/>
      <c r="BV45" s="95"/>
      <c r="BW45" s="95"/>
      <c r="BX45" s="95"/>
      <c r="BY45" s="95"/>
      <c r="BZ45" s="95"/>
      <c r="CA45" s="95"/>
      <c r="CB45" s="95"/>
      <c r="CC45" s="95"/>
      <c r="CD45" s="95"/>
      <c r="CE45" s="95"/>
      <c r="CF45" s="95"/>
      <c r="CG45" s="95"/>
      <c r="CH45" s="95"/>
      <c r="CI45" s="95"/>
      <c r="CJ45" s="95"/>
      <c r="CK45" s="95"/>
      <c r="CL45" s="95"/>
      <c r="CM45" s="95"/>
      <c r="CN45" s="95"/>
      <c r="CO45" s="95"/>
      <c r="CP45" s="95"/>
      <c r="CQ45" s="95"/>
      <c r="CR45" s="95"/>
      <c r="CS45" s="95"/>
      <c r="CT45" s="95"/>
      <c r="CU45" s="95"/>
      <c r="CV45" s="95"/>
      <c r="CW45" s="95"/>
      <c r="CX45" s="95"/>
      <c r="CY45" s="95"/>
      <c r="CZ45" s="95"/>
      <c r="DA45" s="95"/>
      <c r="DB45" s="95"/>
      <c r="DC45" s="95"/>
      <c r="DD45" s="95"/>
      <c r="DE45" s="95"/>
      <c r="DF45" s="95"/>
    </row>
    <row r="46" spans="1:110" ht="14.25" hidden="1" customHeight="1">
      <c r="A46" s="90"/>
      <c r="B46" s="44"/>
      <c r="C46" s="44">
        <v>0</v>
      </c>
      <c r="D46" s="44">
        <v>0</v>
      </c>
      <c r="E46" s="44">
        <v>0</v>
      </c>
      <c r="F46" s="44">
        <f t="shared" si="0"/>
        <v>0</v>
      </c>
      <c r="G46" s="44">
        <f t="shared" si="48"/>
        <v>0</v>
      </c>
      <c r="H46" s="91">
        <v>0</v>
      </c>
      <c r="I46" s="91">
        <v>0</v>
      </c>
      <c r="J46" s="91">
        <v>0</v>
      </c>
      <c r="K46" s="91">
        <f t="shared" si="49"/>
        <v>0</v>
      </c>
      <c r="L46" s="91">
        <f t="shared" si="50"/>
        <v>0</v>
      </c>
      <c r="M46" s="92">
        <v>0</v>
      </c>
      <c r="N46" s="92">
        <v>0</v>
      </c>
      <c r="O46" s="92">
        <v>0</v>
      </c>
      <c r="P46" s="92">
        <f t="shared" si="51"/>
        <v>0</v>
      </c>
      <c r="Q46" s="92">
        <f t="shared" si="52"/>
        <v>0</v>
      </c>
      <c r="R46" s="93">
        <v>0</v>
      </c>
      <c r="S46" s="93">
        <v>0</v>
      </c>
      <c r="T46" s="93">
        <v>0</v>
      </c>
      <c r="U46" s="93">
        <f t="shared" si="53"/>
        <v>0</v>
      </c>
      <c r="V46" s="93">
        <f t="shared" si="54"/>
        <v>0</v>
      </c>
      <c r="W46" s="94">
        <v>0</v>
      </c>
      <c r="X46" s="94">
        <v>0</v>
      </c>
      <c r="Y46" s="94">
        <v>0</v>
      </c>
      <c r="Z46" s="94">
        <f t="shared" si="55"/>
        <v>0</v>
      </c>
      <c r="AA46" s="94">
        <f t="shared" si="56"/>
        <v>0</v>
      </c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5"/>
      <c r="BQ46" s="95"/>
      <c r="BR46" s="95"/>
      <c r="BS46" s="95"/>
      <c r="BT46" s="95"/>
      <c r="BU46" s="95"/>
      <c r="BV46" s="95"/>
      <c r="BW46" s="95"/>
      <c r="BX46" s="95"/>
      <c r="BY46" s="95"/>
      <c r="BZ46" s="95"/>
      <c r="CA46" s="95"/>
      <c r="CB46" s="95"/>
      <c r="CC46" s="95"/>
      <c r="CD46" s="95"/>
      <c r="CE46" s="95"/>
      <c r="CF46" s="95"/>
      <c r="CG46" s="95"/>
      <c r="CH46" s="95"/>
      <c r="CI46" s="95"/>
      <c r="CJ46" s="95"/>
      <c r="CK46" s="95"/>
      <c r="CL46" s="95"/>
      <c r="CM46" s="95"/>
      <c r="CN46" s="95"/>
      <c r="CO46" s="95"/>
      <c r="CP46" s="95"/>
      <c r="CQ46" s="95"/>
      <c r="CR46" s="95"/>
      <c r="CS46" s="95"/>
      <c r="CT46" s="95"/>
      <c r="CU46" s="95"/>
      <c r="CV46" s="95"/>
      <c r="CW46" s="95"/>
      <c r="CX46" s="95"/>
      <c r="CY46" s="95"/>
      <c r="CZ46" s="95"/>
      <c r="DA46" s="95"/>
      <c r="DB46" s="95"/>
      <c r="DC46" s="95"/>
      <c r="DD46" s="95"/>
      <c r="DE46" s="95"/>
      <c r="DF46" s="95"/>
    </row>
    <row r="47" spans="1:110" ht="14.25" hidden="1" customHeight="1">
      <c r="A47" s="90"/>
      <c r="B47" s="44"/>
      <c r="C47" s="44">
        <v>0</v>
      </c>
      <c r="D47" s="44">
        <v>0</v>
      </c>
      <c r="E47" s="44">
        <v>0</v>
      </c>
      <c r="F47" s="44">
        <f t="shared" si="0"/>
        <v>0</v>
      </c>
      <c r="G47" s="44">
        <f t="shared" si="48"/>
        <v>0</v>
      </c>
      <c r="H47" s="91">
        <v>0</v>
      </c>
      <c r="I47" s="91">
        <v>0</v>
      </c>
      <c r="J47" s="91">
        <v>0</v>
      </c>
      <c r="K47" s="91">
        <f t="shared" si="49"/>
        <v>0</v>
      </c>
      <c r="L47" s="91">
        <f t="shared" si="50"/>
        <v>0</v>
      </c>
      <c r="M47" s="92">
        <v>0</v>
      </c>
      <c r="N47" s="92">
        <v>0</v>
      </c>
      <c r="O47" s="92">
        <v>0</v>
      </c>
      <c r="P47" s="92">
        <f t="shared" si="51"/>
        <v>0</v>
      </c>
      <c r="Q47" s="92">
        <f t="shared" si="52"/>
        <v>0</v>
      </c>
      <c r="R47" s="93">
        <v>0</v>
      </c>
      <c r="S47" s="93">
        <v>0</v>
      </c>
      <c r="T47" s="93">
        <v>0</v>
      </c>
      <c r="U47" s="93">
        <f t="shared" si="53"/>
        <v>0</v>
      </c>
      <c r="V47" s="93">
        <f t="shared" si="54"/>
        <v>0</v>
      </c>
      <c r="W47" s="94">
        <v>0</v>
      </c>
      <c r="X47" s="94">
        <v>0</v>
      </c>
      <c r="Y47" s="94">
        <v>0</v>
      </c>
      <c r="Z47" s="94">
        <f t="shared" si="55"/>
        <v>0</v>
      </c>
      <c r="AA47" s="94">
        <f t="shared" si="56"/>
        <v>0</v>
      </c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5"/>
      <c r="BQ47" s="95"/>
      <c r="BR47" s="95"/>
      <c r="BS47" s="95"/>
      <c r="BT47" s="95"/>
      <c r="BU47" s="95"/>
      <c r="BV47" s="95"/>
      <c r="BW47" s="95"/>
      <c r="BX47" s="95"/>
      <c r="BY47" s="95"/>
      <c r="BZ47" s="95"/>
      <c r="CA47" s="95"/>
      <c r="CB47" s="95"/>
      <c r="CC47" s="95"/>
      <c r="CD47" s="95"/>
      <c r="CE47" s="95"/>
      <c r="CF47" s="95"/>
      <c r="CG47" s="95"/>
      <c r="CH47" s="95"/>
      <c r="CI47" s="95"/>
      <c r="CJ47" s="95"/>
      <c r="CK47" s="95"/>
      <c r="CL47" s="95"/>
      <c r="CM47" s="95"/>
      <c r="CN47" s="95"/>
      <c r="CO47" s="95"/>
      <c r="CP47" s="95"/>
      <c r="CQ47" s="95"/>
      <c r="CR47" s="95"/>
      <c r="CS47" s="95"/>
      <c r="CT47" s="95"/>
      <c r="CU47" s="95"/>
      <c r="CV47" s="95"/>
      <c r="CW47" s="95"/>
      <c r="CX47" s="95"/>
      <c r="CY47" s="95"/>
      <c r="CZ47" s="95"/>
      <c r="DA47" s="95"/>
      <c r="DB47" s="95"/>
      <c r="DC47" s="95"/>
      <c r="DD47" s="95"/>
      <c r="DE47" s="95"/>
      <c r="DF47" s="95"/>
    </row>
    <row r="48" spans="1:110" ht="14.25" hidden="1" customHeight="1">
      <c r="A48" s="90"/>
      <c r="B48" s="44"/>
      <c r="C48" s="44">
        <v>0</v>
      </c>
      <c r="D48" s="44">
        <v>0</v>
      </c>
      <c r="E48" s="44">
        <v>0</v>
      </c>
      <c r="F48" s="44">
        <f t="shared" si="0"/>
        <v>0</v>
      </c>
      <c r="G48" s="44">
        <f t="shared" si="48"/>
        <v>0</v>
      </c>
      <c r="H48" s="91">
        <v>0</v>
      </c>
      <c r="I48" s="91">
        <v>0</v>
      </c>
      <c r="J48" s="91">
        <v>0</v>
      </c>
      <c r="K48" s="91">
        <f t="shared" si="49"/>
        <v>0</v>
      </c>
      <c r="L48" s="91">
        <f t="shared" si="50"/>
        <v>0</v>
      </c>
      <c r="M48" s="92">
        <v>0</v>
      </c>
      <c r="N48" s="92">
        <v>0</v>
      </c>
      <c r="O48" s="92">
        <v>0</v>
      </c>
      <c r="P48" s="92">
        <f t="shared" si="51"/>
        <v>0</v>
      </c>
      <c r="Q48" s="92">
        <f t="shared" si="52"/>
        <v>0</v>
      </c>
      <c r="R48" s="93">
        <v>0</v>
      </c>
      <c r="S48" s="93">
        <v>0</v>
      </c>
      <c r="T48" s="93">
        <v>0</v>
      </c>
      <c r="U48" s="93">
        <f t="shared" si="53"/>
        <v>0</v>
      </c>
      <c r="V48" s="93">
        <f t="shared" si="54"/>
        <v>0</v>
      </c>
      <c r="W48" s="94">
        <v>0</v>
      </c>
      <c r="X48" s="94">
        <v>0</v>
      </c>
      <c r="Y48" s="94">
        <v>0</v>
      </c>
      <c r="Z48" s="94">
        <f t="shared" si="55"/>
        <v>0</v>
      </c>
      <c r="AA48" s="94">
        <f t="shared" si="56"/>
        <v>0</v>
      </c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5"/>
      <c r="BQ48" s="95"/>
      <c r="BR48" s="95"/>
      <c r="BS48" s="95"/>
      <c r="BT48" s="95"/>
      <c r="BU48" s="95"/>
      <c r="BV48" s="95"/>
      <c r="BW48" s="95"/>
      <c r="BX48" s="95"/>
      <c r="BY48" s="95"/>
      <c r="BZ48" s="95"/>
      <c r="CA48" s="95"/>
      <c r="CB48" s="95"/>
      <c r="CC48" s="95"/>
      <c r="CD48" s="95"/>
      <c r="CE48" s="95"/>
      <c r="CF48" s="95"/>
      <c r="CG48" s="95"/>
      <c r="CH48" s="95"/>
      <c r="CI48" s="95"/>
      <c r="CJ48" s="95"/>
      <c r="CK48" s="95"/>
      <c r="CL48" s="95"/>
      <c r="CM48" s="95"/>
      <c r="CN48" s="95"/>
      <c r="CO48" s="95"/>
      <c r="CP48" s="95"/>
      <c r="CQ48" s="95"/>
      <c r="CR48" s="95"/>
      <c r="CS48" s="95"/>
      <c r="CT48" s="95"/>
      <c r="CU48" s="95"/>
      <c r="CV48" s="95"/>
      <c r="CW48" s="95"/>
      <c r="CX48" s="95"/>
      <c r="CY48" s="95"/>
      <c r="CZ48" s="95"/>
      <c r="DA48" s="95"/>
      <c r="DB48" s="95"/>
      <c r="DC48" s="95"/>
      <c r="DD48" s="95"/>
      <c r="DE48" s="95"/>
      <c r="DF48" s="95"/>
    </row>
    <row r="49" spans="1:110" ht="14.25" hidden="1" customHeight="1">
      <c r="A49" s="90"/>
      <c r="B49" s="44"/>
      <c r="C49" s="44">
        <v>0</v>
      </c>
      <c r="D49" s="44">
        <v>0</v>
      </c>
      <c r="E49" s="44">
        <v>0</v>
      </c>
      <c r="F49" s="44">
        <f t="shared" si="0"/>
        <v>0</v>
      </c>
      <c r="G49" s="44">
        <f t="shared" si="48"/>
        <v>0</v>
      </c>
      <c r="H49" s="91">
        <v>0</v>
      </c>
      <c r="I49" s="91">
        <v>0</v>
      </c>
      <c r="J49" s="91">
        <v>0</v>
      </c>
      <c r="K49" s="91">
        <f t="shared" si="49"/>
        <v>0</v>
      </c>
      <c r="L49" s="91">
        <f t="shared" si="50"/>
        <v>0</v>
      </c>
      <c r="M49" s="92">
        <v>0</v>
      </c>
      <c r="N49" s="92">
        <v>0</v>
      </c>
      <c r="O49" s="92">
        <v>0</v>
      </c>
      <c r="P49" s="92">
        <f t="shared" si="51"/>
        <v>0</v>
      </c>
      <c r="Q49" s="92">
        <f t="shared" si="52"/>
        <v>0</v>
      </c>
      <c r="R49" s="93">
        <v>0</v>
      </c>
      <c r="S49" s="93">
        <v>0</v>
      </c>
      <c r="T49" s="93">
        <v>0</v>
      </c>
      <c r="U49" s="93">
        <f t="shared" si="53"/>
        <v>0</v>
      </c>
      <c r="V49" s="93">
        <f t="shared" si="54"/>
        <v>0</v>
      </c>
      <c r="W49" s="94">
        <v>0</v>
      </c>
      <c r="X49" s="94">
        <v>0</v>
      </c>
      <c r="Y49" s="94">
        <v>0</v>
      </c>
      <c r="Z49" s="94">
        <f t="shared" si="55"/>
        <v>0</v>
      </c>
      <c r="AA49" s="94">
        <f t="shared" si="56"/>
        <v>0</v>
      </c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U49" s="95"/>
      <c r="BV49" s="95"/>
      <c r="BW49" s="95"/>
      <c r="BX49" s="95"/>
      <c r="BY49" s="95"/>
      <c r="BZ49" s="95"/>
      <c r="CA49" s="95"/>
      <c r="CB49" s="95"/>
      <c r="CC49" s="95"/>
      <c r="CD49" s="95"/>
      <c r="CE49" s="95"/>
      <c r="CF49" s="95"/>
      <c r="CG49" s="95"/>
      <c r="CH49" s="95"/>
      <c r="CI49" s="95"/>
      <c r="CJ49" s="95"/>
      <c r="CK49" s="95"/>
      <c r="CL49" s="95"/>
      <c r="CM49" s="95"/>
      <c r="CN49" s="95"/>
      <c r="CO49" s="95"/>
      <c r="CP49" s="95"/>
      <c r="CQ49" s="95"/>
      <c r="CR49" s="95"/>
      <c r="CS49" s="95"/>
      <c r="CT49" s="95"/>
      <c r="CU49" s="95"/>
      <c r="CV49" s="95"/>
      <c r="CW49" s="95"/>
      <c r="CX49" s="95"/>
      <c r="CY49" s="95"/>
      <c r="CZ49" s="95"/>
      <c r="DA49" s="95"/>
      <c r="DB49" s="95"/>
      <c r="DC49" s="95"/>
      <c r="DD49" s="95"/>
      <c r="DE49" s="95"/>
      <c r="DF49" s="95"/>
    </row>
    <row r="50" spans="1:110" ht="14.25" hidden="1" customHeight="1">
      <c r="A50" s="90"/>
      <c r="B50" s="44"/>
      <c r="C50" s="44">
        <v>900</v>
      </c>
      <c r="D50" s="44">
        <v>90</v>
      </c>
      <c r="E50" s="44">
        <v>8</v>
      </c>
      <c r="F50" s="44">
        <f t="shared" si="0"/>
        <v>82</v>
      </c>
      <c r="G50" s="44">
        <f t="shared" si="48"/>
        <v>73800</v>
      </c>
      <c r="H50" s="91">
        <v>900</v>
      </c>
      <c r="I50" s="91">
        <v>90</v>
      </c>
      <c r="J50" s="91">
        <v>8</v>
      </c>
      <c r="K50" s="91">
        <f t="shared" si="49"/>
        <v>82</v>
      </c>
      <c r="L50" s="91">
        <f t="shared" si="50"/>
        <v>73800</v>
      </c>
      <c r="M50" s="92">
        <v>900</v>
      </c>
      <c r="N50" s="92">
        <v>90</v>
      </c>
      <c r="O50" s="92">
        <v>8</v>
      </c>
      <c r="P50" s="92">
        <f t="shared" si="51"/>
        <v>82</v>
      </c>
      <c r="Q50" s="92">
        <f t="shared" si="52"/>
        <v>73800</v>
      </c>
      <c r="R50" s="93">
        <v>900</v>
      </c>
      <c r="S50" s="93">
        <v>90</v>
      </c>
      <c r="T50" s="93">
        <v>8</v>
      </c>
      <c r="U50" s="93">
        <f t="shared" si="53"/>
        <v>82</v>
      </c>
      <c r="V50" s="93">
        <f t="shared" si="54"/>
        <v>73800</v>
      </c>
      <c r="W50" s="94">
        <v>900</v>
      </c>
      <c r="X50" s="94">
        <v>90</v>
      </c>
      <c r="Y50" s="94">
        <v>8</v>
      </c>
      <c r="Z50" s="94">
        <f t="shared" si="55"/>
        <v>82</v>
      </c>
      <c r="AA50" s="94">
        <f t="shared" si="56"/>
        <v>73800</v>
      </c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5"/>
      <c r="BQ50" s="95"/>
      <c r="BR50" s="95"/>
      <c r="BS50" s="95"/>
      <c r="BT50" s="95"/>
      <c r="BU50" s="95"/>
      <c r="BV50" s="95"/>
      <c r="BW50" s="95"/>
      <c r="BX50" s="95"/>
      <c r="BY50" s="95"/>
      <c r="BZ50" s="95"/>
      <c r="CA50" s="95"/>
      <c r="CB50" s="95"/>
      <c r="CC50" s="95"/>
      <c r="CD50" s="95"/>
      <c r="CE50" s="95"/>
      <c r="CF50" s="95"/>
      <c r="CG50" s="95"/>
      <c r="CH50" s="95"/>
      <c r="CI50" s="95"/>
      <c r="CJ50" s="95"/>
      <c r="CK50" s="95"/>
      <c r="CL50" s="95"/>
      <c r="CM50" s="95"/>
      <c r="CN50" s="95"/>
      <c r="CO50" s="95"/>
      <c r="CP50" s="95"/>
      <c r="CQ50" s="95"/>
      <c r="CR50" s="95"/>
      <c r="CS50" s="95"/>
      <c r="CT50" s="95"/>
      <c r="CU50" s="95"/>
      <c r="CV50" s="95"/>
      <c r="CW50" s="95"/>
      <c r="CX50" s="95"/>
      <c r="CY50" s="95"/>
      <c r="CZ50" s="95"/>
      <c r="DA50" s="95"/>
      <c r="DB50" s="95"/>
      <c r="DC50" s="95"/>
      <c r="DD50" s="95"/>
      <c r="DE50" s="95"/>
      <c r="DF50" s="95"/>
    </row>
    <row r="51" spans="1:110" ht="14.25" hidden="1" customHeight="1">
      <c r="A51" s="90"/>
      <c r="B51" s="44"/>
      <c r="C51" s="44">
        <v>0</v>
      </c>
      <c r="D51" s="44">
        <v>0</v>
      </c>
      <c r="E51" s="44">
        <v>0</v>
      </c>
      <c r="F51" s="44">
        <f t="shared" si="0"/>
        <v>0</v>
      </c>
      <c r="G51" s="44">
        <f t="shared" si="48"/>
        <v>0</v>
      </c>
      <c r="H51" s="91">
        <v>0</v>
      </c>
      <c r="I51" s="91">
        <v>0</v>
      </c>
      <c r="J51" s="91">
        <v>0</v>
      </c>
      <c r="K51" s="91">
        <f t="shared" si="49"/>
        <v>0</v>
      </c>
      <c r="L51" s="91">
        <f t="shared" si="50"/>
        <v>0</v>
      </c>
      <c r="M51" s="92">
        <v>0</v>
      </c>
      <c r="N51" s="92">
        <v>0</v>
      </c>
      <c r="O51" s="92">
        <v>0</v>
      </c>
      <c r="P51" s="92">
        <f t="shared" si="51"/>
        <v>0</v>
      </c>
      <c r="Q51" s="92">
        <f t="shared" si="52"/>
        <v>0</v>
      </c>
      <c r="R51" s="93">
        <v>0</v>
      </c>
      <c r="S51" s="93">
        <v>0</v>
      </c>
      <c r="T51" s="93">
        <v>0</v>
      </c>
      <c r="U51" s="93">
        <f t="shared" si="53"/>
        <v>0</v>
      </c>
      <c r="V51" s="93">
        <f t="shared" si="54"/>
        <v>0</v>
      </c>
      <c r="W51" s="94">
        <v>0</v>
      </c>
      <c r="X51" s="94">
        <v>0</v>
      </c>
      <c r="Y51" s="94">
        <v>0</v>
      </c>
      <c r="Z51" s="94">
        <f t="shared" si="55"/>
        <v>0</v>
      </c>
      <c r="AA51" s="94">
        <f t="shared" si="56"/>
        <v>0</v>
      </c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5"/>
      <c r="BQ51" s="95"/>
      <c r="BR51" s="95"/>
      <c r="BS51" s="95"/>
      <c r="BT51" s="95"/>
      <c r="BU51" s="95"/>
      <c r="BV51" s="95"/>
      <c r="BW51" s="95"/>
      <c r="BX51" s="95"/>
      <c r="BY51" s="95"/>
      <c r="BZ51" s="95"/>
      <c r="CA51" s="95"/>
      <c r="CB51" s="95"/>
      <c r="CC51" s="95"/>
      <c r="CD51" s="95"/>
      <c r="CE51" s="95"/>
      <c r="CF51" s="95"/>
      <c r="CG51" s="95"/>
      <c r="CH51" s="95"/>
      <c r="CI51" s="95"/>
      <c r="CJ51" s="95"/>
      <c r="CK51" s="95"/>
      <c r="CL51" s="95"/>
      <c r="CM51" s="95"/>
      <c r="CN51" s="95"/>
      <c r="CO51" s="95"/>
      <c r="CP51" s="95"/>
      <c r="CQ51" s="95"/>
      <c r="CR51" s="95"/>
      <c r="CS51" s="95"/>
      <c r="CT51" s="95"/>
      <c r="CU51" s="95"/>
      <c r="CV51" s="95"/>
      <c r="CW51" s="95"/>
      <c r="CX51" s="95"/>
      <c r="CY51" s="95"/>
      <c r="CZ51" s="95"/>
      <c r="DA51" s="95"/>
      <c r="DB51" s="95"/>
      <c r="DC51" s="95"/>
      <c r="DD51" s="95"/>
      <c r="DE51" s="95"/>
      <c r="DF51" s="95"/>
    </row>
    <row r="52" spans="1:110" ht="14.25" hidden="1" customHeight="1">
      <c r="A52" s="90"/>
      <c r="B52" s="44"/>
      <c r="C52" s="44">
        <v>0</v>
      </c>
      <c r="D52" s="44">
        <v>0</v>
      </c>
      <c r="E52" s="44">
        <v>0</v>
      </c>
      <c r="F52" s="44">
        <f t="shared" si="0"/>
        <v>0</v>
      </c>
      <c r="G52" s="44">
        <f t="shared" si="48"/>
        <v>0</v>
      </c>
      <c r="H52" s="91">
        <v>0</v>
      </c>
      <c r="I52" s="91">
        <v>0</v>
      </c>
      <c r="J52" s="91">
        <v>0</v>
      </c>
      <c r="K52" s="91">
        <f t="shared" si="49"/>
        <v>0</v>
      </c>
      <c r="L52" s="91">
        <f t="shared" si="50"/>
        <v>0</v>
      </c>
      <c r="M52" s="92">
        <v>0</v>
      </c>
      <c r="N52" s="92">
        <v>0</v>
      </c>
      <c r="O52" s="92">
        <v>0</v>
      </c>
      <c r="P52" s="92">
        <f t="shared" si="51"/>
        <v>0</v>
      </c>
      <c r="Q52" s="92">
        <f t="shared" si="52"/>
        <v>0</v>
      </c>
      <c r="R52" s="93">
        <v>0</v>
      </c>
      <c r="S52" s="93">
        <v>0</v>
      </c>
      <c r="T52" s="93">
        <v>0</v>
      </c>
      <c r="U52" s="93">
        <f t="shared" si="53"/>
        <v>0</v>
      </c>
      <c r="V52" s="93">
        <f t="shared" si="54"/>
        <v>0</v>
      </c>
      <c r="W52" s="94">
        <v>0</v>
      </c>
      <c r="X52" s="94">
        <v>0</v>
      </c>
      <c r="Y52" s="94">
        <v>0</v>
      </c>
      <c r="Z52" s="94">
        <f t="shared" si="55"/>
        <v>0</v>
      </c>
      <c r="AA52" s="94">
        <f t="shared" si="56"/>
        <v>0</v>
      </c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5"/>
      <c r="AX52" s="95"/>
      <c r="AY52" s="95"/>
      <c r="AZ52" s="95"/>
      <c r="BA52" s="95"/>
      <c r="BB52" s="95"/>
      <c r="BC52" s="95"/>
      <c r="BD52" s="95"/>
      <c r="BE52" s="95"/>
      <c r="BF52" s="95"/>
      <c r="BG52" s="95"/>
      <c r="BH52" s="95"/>
      <c r="BI52" s="95"/>
      <c r="BJ52" s="95"/>
      <c r="BK52" s="95"/>
      <c r="BL52" s="95"/>
      <c r="BM52" s="95"/>
      <c r="BN52" s="95"/>
      <c r="BO52" s="95"/>
      <c r="BP52" s="95"/>
      <c r="BQ52" s="95"/>
      <c r="BR52" s="95"/>
      <c r="BS52" s="95"/>
      <c r="BT52" s="95"/>
      <c r="BU52" s="95"/>
      <c r="BV52" s="95"/>
      <c r="BW52" s="95"/>
      <c r="BX52" s="95"/>
      <c r="BY52" s="95"/>
      <c r="BZ52" s="95"/>
      <c r="CA52" s="95"/>
      <c r="CB52" s="95"/>
      <c r="CC52" s="95"/>
      <c r="CD52" s="95"/>
      <c r="CE52" s="95"/>
      <c r="CF52" s="95"/>
      <c r="CG52" s="95"/>
      <c r="CH52" s="95"/>
      <c r="CI52" s="95"/>
      <c r="CJ52" s="95"/>
      <c r="CK52" s="95"/>
      <c r="CL52" s="95"/>
      <c r="CM52" s="95"/>
      <c r="CN52" s="95"/>
      <c r="CO52" s="95"/>
      <c r="CP52" s="95"/>
      <c r="CQ52" s="95"/>
      <c r="CR52" s="95"/>
      <c r="CS52" s="95"/>
      <c r="CT52" s="95"/>
      <c r="CU52" s="95"/>
      <c r="CV52" s="95"/>
      <c r="CW52" s="95"/>
      <c r="CX52" s="95"/>
      <c r="CY52" s="95"/>
      <c r="CZ52" s="95"/>
      <c r="DA52" s="95"/>
      <c r="DB52" s="95"/>
      <c r="DC52" s="95"/>
      <c r="DD52" s="95"/>
      <c r="DE52" s="95"/>
      <c r="DF52" s="95"/>
    </row>
    <row r="53" spans="1:110" ht="14.25" hidden="1" customHeight="1">
      <c r="A53" s="90"/>
      <c r="B53" s="44"/>
      <c r="C53" s="44">
        <v>0</v>
      </c>
      <c r="D53" s="44">
        <v>0</v>
      </c>
      <c r="E53" s="44">
        <v>0</v>
      </c>
      <c r="F53" s="44">
        <f t="shared" si="0"/>
        <v>0</v>
      </c>
      <c r="G53" s="44">
        <f t="shared" si="48"/>
        <v>0</v>
      </c>
      <c r="H53" s="91">
        <v>0</v>
      </c>
      <c r="I53" s="91">
        <v>0</v>
      </c>
      <c r="J53" s="91">
        <v>0</v>
      </c>
      <c r="K53" s="91">
        <f t="shared" si="49"/>
        <v>0</v>
      </c>
      <c r="L53" s="91">
        <f t="shared" si="50"/>
        <v>0</v>
      </c>
      <c r="M53" s="92">
        <v>0</v>
      </c>
      <c r="N53" s="92">
        <v>0</v>
      </c>
      <c r="O53" s="92">
        <v>0</v>
      </c>
      <c r="P53" s="92">
        <f t="shared" si="51"/>
        <v>0</v>
      </c>
      <c r="Q53" s="92">
        <f t="shared" si="52"/>
        <v>0</v>
      </c>
      <c r="R53" s="93">
        <v>0</v>
      </c>
      <c r="S53" s="93">
        <v>0</v>
      </c>
      <c r="T53" s="93">
        <v>0</v>
      </c>
      <c r="U53" s="93">
        <f t="shared" si="53"/>
        <v>0</v>
      </c>
      <c r="V53" s="93">
        <f t="shared" si="54"/>
        <v>0</v>
      </c>
      <c r="W53" s="94">
        <v>0</v>
      </c>
      <c r="X53" s="94">
        <v>0</v>
      </c>
      <c r="Y53" s="94">
        <v>0</v>
      </c>
      <c r="Z53" s="94">
        <f t="shared" si="55"/>
        <v>0</v>
      </c>
      <c r="AA53" s="94">
        <f t="shared" si="56"/>
        <v>0</v>
      </c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5"/>
      <c r="AS53" s="95"/>
      <c r="AT53" s="95"/>
      <c r="AU53" s="95"/>
      <c r="AV53" s="95"/>
      <c r="AW53" s="95"/>
      <c r="AX53" s="95"/>
      <c r="AY53" s="95"/>
      <c r="AZ53" s="95"/>
      <c r="BA53" s="95"/>
      <c r="BB53" s="95"/>
      <c r="BC53" s="95"/>
      <c r="BD53" s="95"/>
      <c r="BE53" s="95"/>
      <c r="BF53" s="95"/>
      <c r="BG53" s="95"/>
      <c r="BH53" s="95"/>
      <c r="BI53" s="95"/>
      <c r="BJ53" s="95"/>
      <c r="BK53" s="95"/>
      <c r="BL53" s="95"/>
      <c r="BM53" s="95"/>
      <c r="BN53" s="95"/>
      <c r="BO53" s="95"/>
      <c r="BP53" s="95"/>
      <c r="BQ53" s="95"/>
      <c r="BR53" s="95"/>
      <c r="BS53" s="95"/>
      <c r="BT53" s="95"/>
      <c r="BU53" s="95"/>
      <c r="BV53" s="95"/>
      <c r="BW53" s="95"/>
      <c r="BX53" s="95"/>
      <c r="BY53" s="95"/>
      <c r="BZ53" s="95"/>
      <c r="CA53" s="95"/>
      <c r="CB53" s="95"/>
      <c r="CC53" s="95"/>
      <c r="CD53" s="95"/>
      <c r="CE53" s="95"/>
      <c r="CF53" s="95"/>
      <c r="CG53" s="95"/>
      <c r="CH53" s="95"/>
      <c r="CI53" s="95"/>
      <c r="CJ53" s="95"/>
      <c r="CK53" s="95"/>
      <c r="CL53" s="95"/>
      <c r="CM53" s="95"/>
      <c r="CN53" s="95"/>
      <c r="CO53" s="95"/>
      <c r="CP53" s="95"/>
      <c r="CQ53" s="95"/>
      <c r="CR53" s="95"/>
      <c r="CS53" s="95"/>
      <c r="CT53" s="95"/>
      <c r="CU53" s="95"/>
      <c r="CV53" s="95"/>
      <c r="CW53" s="95"/>
      <c r="CX53" s="95"/>
      <c r="CY53" s="95"/>
      <c r="CZ53" s="95"/>
      <c r="DA53" s="95"/>
      <c r="DB53" s="95"/>
      <c r="DC53" s="95"/>
      <c r="DD53" s="95"/>
      <c r="DE53" s="95"/>
      <c r="DF53" s="95"/>
    </row>
    <row r="54" spans="1:110" ht="14.25" hidden="1" customHeight="1">
      <c r="A54" s="90"/>
      <c r="B54" s="44"/>
      <c r="C54" s="44">
        <v>0</v>
      </c>
      <c r="D54" s="44">
        <v>0</v>
      </c>
      <c r="E54" s="44">
        <v>0</v>
      </c>
      <c r="F54" s="44">
        <f t="shared" si="0"/>
        <v>0</v>
      </c>
      <c r="G54" s="44">
        <f t="shared" si="48"/>
        <v>0</v>
      </c>
      <c r="H54" s="91">
        <v>0</v>
      </c>
      <c r="I54" s="91">
        <v>0</v>
      </c>
      <c r="J54" s="91">
        <v>0</v>
      </c>
      <c r="K54" s="91">
        <f t="shared" si="49"/>
        <v>0</v>
      </c>
      <c r="L54" s="91">
        <f t="shared" si="50"/>
        <v>0</v>
      </c>
      <c r="M54" s="92">
        <v>0</v>
      </c>
      <c r="N54" s="92">
        <v>0</v>
      </c>
      <c r="O54" s="92">
        <v>0</v>
      </c>
      <c r="P54" s="92">
        <f t="shared" si="51"/>
        <v>0</v>
      </c>
      <c r="Q54" s="92">
        <f t="shared" si="52"/>
        <v>0</v>
      </c>
      <c r="R54" s="93">
        <v>0</v>
      </c>
      <c r="S54" s="93">
        <v>0</v>
      </c>
      <c r="T54" s="93">
        <v>0</v>
      </c>
      <c r="U54" s="93">
        <f t="shared" si="53"/>
        <v>0</v>
      </c>
      <c r="V54" s="93">
        <f t="shared" si="54"/>
        <v>0</v>
      </c>
      <c r="W54" s="94">
        <v>0</v>
      </c>
      <c r="X54" s="94">
        <v>0</v>
      </c>
      <c r="Y54" s="94">
        <v>0</v>
      </c>
      <c r="Z54" s="94">
        <f t="shared" si="55"/>
        <v>0</v>
      </c>
      <c r="AA54" s="94">
        <f t="shared" si="56"/>
        <v>0</v>
      </c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5"/>
      <c r="BC54" s="95"/>
      <c r="BD54" s="95"/>
      <c r="BE54" s="95"/>
      <c r="BF54" s="95"/>
      <c r="BG54" s="95"/>
      <c r="BH54" s="95"/>
      <c r="BI54" s="95"/>
      <c r="BJ54" s="95"/>
      <c r="BK54" s="95"/>
      <c r="BL54" s="95"/>
      <c r="BM54" s="95"/>
      <c r="BN54" s="95"/>
      <c r="BO54" s="95"/>
      <c r="BP54" s="95"/>
      <c r="BQ54" s="95"/>
      <c r="BR54" s="95"/>
      <c r="BS54" s="95"/>
      <c r="BT54" s="95"/>
      <c r="BU54" s="95"/>
      <c r="BV54" s="95"/>
      <c r="BW54" s="95"/>
      <c r="BX54" s="95"/>
      <c r="BY54" s="95"/>
      <c r="BZ54" s="95"/>
      <c r="CA54" s="95"/>
      <c r="CB54" s="95"/>
      <c r="CC54" s="95"/>
      <c r="CD54" s="95"/>
      <c r="CE54" s="95"/>
      <c r="CF54" s="95"/>
      <c r="CG54" s="95"/>
      <c r="CH54" s="95"/>
      <c r="CI54" s="95"/>
      <c r="CJ54" s="95"/>
      <c r="CK54" s="95"/>
      <c r="CL54" s="95"/>
      <c r="CM54" s="95"/>
      <c r="CN54" s="95"/>
      <c r="CO54" s="95"/>
      <c r="CP54" s="95"/>
      <c r="CQ54" s="95"/>
      <c r="CR54" s="95"/>
      <c r="CS54" s="95"/>
      <c r="CT54" s="95"/>
      <c r="CU54" s="95"/>
      <c r="CV54" s="95"/>
      <c r="CW54" s="95"/>
      <c r="CX54" s="95"/>
      <c r="CY54" s="95"/>
      <c r="CZ54" s="95"/>
      <c r="DA54" s="95"/>
      <c r="DB54" s="95"/>
      <c r="DC54" s="95"/>
      <c r="DD54" s="95"/>
      <c r="DE54" s="95"/>
      <c r="DF54" s="95"/>
    </row>
    <row r="55" spans="1:110" ht="14.25" hidden="1" customHeight="1">
      <c r="A55" s="90"/>
      <c r="B55" s="44"/>
      <c r="C55" s="44">
        <v>0</v>
      </c>
      <c r="D55" s="44">
        <v>0</v>
      </c>
      <c r="E55" s="44">
        <v>0</v>
      </c>
      <c r="F55" s="44">
        <f t="shared" si="0"/>
        <v>0</v>
      </c>
      <c r="G55" s="44">
        <f t="shared" si="48"/>
        <v>0</v>
      </c>
      <c r="H55" s="91">
        <v>0</v>
      </c>
      <c r="I55" s="91">
        <v>0</v>
      </c>
      <c r="J55" s="91">
        <v>0</v>
      </c>
      <c r="K55" s="91">
        <f t="shared" si="49"/>
        <v>0</v>
      </c>
      <c r="L55" s="91">
        <f t="shared" si="50"/>
        <v>0</v>
      </c>
      <c r="M55" s="92">
        <v>0</v>
      </c>
      <c r="N55" s="92">
        <v>0</v>
      </c>
      <c r="O55" s="92">
        <v>0</v>
      </c>
      <c r="P55" s="92">
        <f t="shared" si="51"/>
        <v>0</v>
      </c>
      <c r="Q55" s="92">
        <f t="shared" si="52"/>
        <v>0</v>
      </c>
      <c r="R55" s="93">
        <v>0</v>
      </c>
      <c r="S55" s="93">
        <v>0</v>
      </c>
      <c r="T55" s="93">
        <v>0</v>
      </c>
      <c r="U55" s="93">
        <f t="shared" si="53"/>
        <v>0</v>
      </c>
      <c r="V55" s="93">
        <f t="shared" si="54"/>
        <v>0</v>
      </c>
      <c r="W55" s="94">
        <v>0</v>
      </c>
      <c r="X55" s="94">
        <v>0</v>
      </c>
      <c r="Y55" s="94">
        <v>0</v>
      </c>
      <c r="Z55" s="94">
        <f t="shared" si="55"/>
        <v>0</v>
      </c>
      <c r="AA55" s="94">
        <f t="shared" si="56"/>
        <v>0</v>
      </c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  <c r="CJ55" s="95"/>
      <c r="CK55" s="95"/>
      <c r="CL55" s="95"/>
      <c r="CM55" s="95"/>
      <c r="CN55" s="95"/>
      <c r="CO55" s="95"/>
      <c r="CP55" s="95"/>
      <c r="CQ55" s="95"/>
      <c r="CR55" s="95"/>
      <c r="CS55" s="95"/>
      <c r="CT55" s="95"/>
      <c r="CU55" s="95"/>
      <c r="CV55" s="95"/>
      <c r="CW55" s="95"/>
      <c r="CX55" s="95"/>
      <c r="CY55" s="95"/>
      <c r="CZ55" s="95"/>
      <c r="DA55" s="95"/>
      <c r="DB55" s="95"/>
      <c r="DC55" s="95"/>
      <c r="DD55" s="95"/>
      <c r="DE55" s="95"/>
      <c r="DF55" s="95"/>
    </row>
    <row r="56" spans="1:110" ht="14.25" hidden="1" customHeight="1">
      <c r="A56" s="90"/>
      <c r="B56" s="44"/>
      <c r="C56" s="44">
        <v>0</v>
      </c>
      <c r="D56" s="44">
        <v>0</v>
      </c>
      <c r="E56" s="44">
        <v>0</v>
      </c>
      <c r="F56" s="44">
        <f t="shared" si="0"/>
        <v>0</v>
      </c>
      <c r="G56" s="44">
        <f t="shared" si="48"/>
        <v>0</v>
      </c>
      <c r="H56" s="91">
        <v>0</v>
      </c>
      <c r="I56" s="91">
        <v>0</v>
      </c>
      <c r="J56" s="91">
        <v>0</v>
      </c>
      <c r="K56" s="91">
        <f t="shared" si="49"/>
        <v>0</v>
      </c>
      <c r="L56" s="91">
        <f t="shared" si="50"/>
        <v>0</v>
      </c>
      <c r="M56" s="92">
        <v>0</v>
      </c>
      <c r="N56" s="92">
        <v>0</v>
      </c>
      <c r="O56" s="92">
        <v>0</v>
      </c>
      <c r="P56" s="92">
        <f t="shared" si="51"/>
        <v>0</v>
      </c>
      <c r="Q56" s="92">
        <f t="shared" si="52"/>
        <v>0</v>
      </c>
      <c r="R56" s="93">
        <v>0</v>
      </c>
      <c r="S56" s="93">
        <v>0</v>
      </c>
      <c r="T56" s="93">
        <v>0</v>
      </c>
      <c r="U56" s="93">
        <f t="shared" si="53"/>
        <v>0</v>
      </c>
      <c r="V56" s="93">
        <f t="shared" si="54"/>
        <v>0</v>
      </c>
      <c r="W56" s="94">
        <v>0</v>
      </c>
      <c r="X56" s="94">
        <v>0</v>
      </c>
      <c r="Y56" s="94">
        <v>0</v>
      </c>
      <c r="Z56" s="94">
        <f t="shared" si="55"/>
        <v>0</v>
      </c>
      <c r="AA56" s="94">
        <f t="shared" si="56"/>
        <v>0</v>
      </c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5"/>
      <c r="BL56" s="95"/>
      <c r="BM56" s="95"/>
      <c r="BN56" s="95"/>
      <c r="BO56" s="95"/>
      <c r="BP56" s="95"/>
      <c r="BQ56" s="95"/>
      <c r="BR56" s="95"/>
      <c r="BS56" s="95"/>
      <c r="BT56" s="95"/>
      <c r="BU56" s="95"/>
      <c r="BV56" s="95"/>
      <c r="BW56" s="95"/>
      <c r="BX56" s="95"/>
      <c r="BY56" s="95"/>
      <c r="BZ56" s="95"/>
      <c r="CA56" s="95"/>
      <c r="CB56" s="95"/>
      <c r="CC56" s="95"/>
      <c r="CD56" s="95"/>
      <c r="CE56" s="95"/>
      <c r="CF56" s="95"/>
      <c r="CG56" s="95"/>
      <c r="CH56" s="95"/>
      <c r="CI56" s="95"/>
      <c r="CJ56" s="95"/>
      <c r="CK56" s="95"/>
      <c r="CL56" s="95"/>
      <c r="CM56" s="95"/>
      <c r="CN56" s="95"/>
      <c r="CO56" s="95"/>
      <c r="CP56" s="95"/>
      <c r="CQ56" s="95"/>
      <c r="CR56" s="95"/>
      <c r="CS56" s="95"/>
      <c r="CT56" s="95"/>
      <c r="CU56" s="95"/>
      <c r="CV56" s="95"/>
      <c r="CW56" s="95"/>
      <c r="CX56" s="95"/>
      <c r="CY56" s="95"/>
      <c r="CZ56" s="95"/>
      <c r="DA56" s="95"/>
      <c r="DB56" s="95"/>
      <c r="DC56" s="95"/>
      <c r="DD56" s="95"/>
      <c r="DE56" s="95"/>
      <c r="DF56" s="95"/>
    </row>
    <row r="57" spans="1:110" ht="14.25" hidden="1" customHeight="1">
      <c r="A57" s="90"/>
      <c r="B57" s="44"/>
      <c r="C57" s="44">
        <v>0</v>
      </c>
      <c r="D57" s="44">
        <v>0</v>
      </c>
      <c r="E57" s="44">
        <v>0</v>
      </c>
      <c r="F57" s="44">
        <f t="shared" si="0"/>
        <v>0</v>
      </c>
      <c r="G57" s="44">
        <f t="shared" si="48"/>
        <v>0</v>
      </c>
      <c r="H57" s="91">
        <v>0</v>
      </c>
      <c r="I57" s="91">
        <v>0</v>
      </c>
      <c r="J57" s="91">
        <v>0</v>
      </c>
      <c r="K57" s="91">
        <f t="shared" si="49"/>
        <v>0</v>
      </c>
      <c r="L57" s="91">
        <f t="shared" si="50"/>
        <v>0</v>
      </c>
      <c r="M57" s="92">
        <v>0</v>
      </c>
      <c r="N57" s="92">
        <v>0</v>
      </c>
      <c r="O57" s="92">
        <v>0</v>
      </c>
      <c r="P57" s="92">
        <f t="shared" si="51"/>
        <v>0</v>
      </c>
      <c r="Q57" s="92">
        <f t="shared" si="52"/>
        <v>0</v>
      </c>
      <c r="R57" s="93">
        <v>0</v>
      </c>
      <c r="S57" s="93">
        <v>0</v>
      </c>
      <c r="T57" s="93">
        <v>0</v>
      </c>
      <c r="U57" s="93">
        <f t="shared" si="53"/>
        <v>0</v>
      </c>
      <c r="V57" s="93">
        <f t="shared" si="54"/>
        <v>0</v>
      </c>
      <c r="W57" s="94">
        <v>0</v>
      </c>
      <c r="X57" s="94">
        <v>0</v>
      </c>
      <c r="Y57" s="94">
        <v>0</v>
      </c>
      <c r="Z57" s="94">
        <f t="shared" si="55"/>
        <v>0</v>
      </c>
      <c r="AA57" s="94">
        <f t="shared" si="56"/>
        <v>0</v>
      </c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95"/>
      <c r="CJ57" s="95"/>
      <c r="CK57" s="95"/>
      <c r="CL57" s="95"/>
      <c r="CM57" s="95"/>
      <c r="CN57" s="95"/>
      <c r="CO57" s="95"/>
      <c r="CP57" s="95"/>
      <c r="CQ57" s="95"/>
      <c r="CR57" s="95"/>
      <c r="CS57" s="95"/>
      <c r="CT57" s="95"/>
      <c r="CU57" s="95"/>
      <c r="CV57" s="95"/>
      <c r="CW57" s="95"/>
      <c r="CX57" s="95"/>
      <c r="CY57" s="95"/>
      <c r="CZ57" s="95"/>
      <c r="DA57" s="95"/>
      <c r="DB57" s="95"/>
      <c r="DC57" s="95"/>
      <c r="DD57" s="95"/>
      <c r="DE57" s="95"/>
      <c r="DF57" s="95"/>
    </row>
    <row r="58" spans="1:110" ht="14.25" hidden="1" customHeight="1">
      <c r="A58" s="90"/>
      <c r="B58" s="44"/>
      <c r="C58" s="44">
        <v>0</v>
      </c>
      <c r="D58" s="44">
        <v>0</v>
      </c>
      <c r="E58" s="44">
        <v>0</v>
      </c>
      <c r="F58" s="44">
        <f t="shared" si="0"/>
        <v>0</v>
      </c>
      <c r="G58" s="44">
        <f t="shared" si="48"/>
        <v>0</v>
      </c>
      <c r="H58" s="91">
        <v>0</v>
      </c>
      <c r="I58" s="91">
        <v>0</v>
      </c>
      <c r="J58" s="91">
        <v>0</v>
      </c>
      <c r="K58" s="91">
        <f t="shared" si="49"/>
        <v>0</v>
      </c>
      <c r="L58" s="91">
        <f t="shared" si="50"/>
        <v>0</v>
      </c>
      <c r="M58" s="92">
        <v>0</v>
      </c>
      <c r="N58" s="92">
        <v>0</v>
      </c>
      <c r="O58" s="92">
        <v>0</v>
      </c>
      <c r="P58" s="92">
        <f t="shared" si="51"/>
        <v>0</v>
      </c>
      <c r="Q58" s="92">
        <f t="shared" si="52"/>
        <v>0</v>
      </c>
      <c r="R58" s="93">
        <v>0</v>
      </c>
      <c r="S58" s="93">
        <v>0</v>
      </c>
      <c r="T58" s="93">
        <v>0</v>
      </c>
      <c r="U58" s="93">
        <f t="shared" si="53"/>
        <v>0</v>
      </c>
      <c r="V58" s="93">
        <f t="shared" si="54"/>
        <v>0</v>
      </c>
      <c r="W58" s="94">
        <v>0</v>
      </c>
      <c r="X58" s="94">
        <v>0</v>
      </c>
      <c r="Y58" s="94">
        <v>0</v>
      </c>
      <c r="Z58" s="94">
        <f t="shared" si="55"/>
        <v>0</v>
      </c>
      <c r="AA58" s="94">
        <f t="shared" si="56"/>
        <v>0</v>
      </c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N58" s="95"/>
      <c r="BO58" s="95"/>
      <c r="BP58" s="95"/>
      <c r="BQ58" s="95"/>
      <c r="BR58" s="95"/>
      <c r="BS58" s="95"/>
      <c r="BT58" s="95"/>
      <c r="BU58" s="95"/>
      <c r="BV58" s="95"/>
      <c r="BW58" s="95"/>
      <c r="BX58" s="95"/>
      <c r="BY58" s="95"/>
      <c r="BZ58" s="95"/>
      <c r="CA58" s="95"/>
      <c r="CB58" s="95"/>
      <c r="CC58" s="95"/>
      <c r="CD58" s="95"/>
      <c r="CE58" s="95"/>
      <c r="CF58" s="95"/>
      <c r="CG58" s="95"/>
      <c r="CH58" s="95"/>
      <c r="CI58" s="95"/>
      <c r="CJ58" s="95"/>
      <c r="CK58" s="95"/>
      <c r="CL58" s="95"/>
      <c r="CM58" s="95"/>
      <c r="CN58" s="95"/>
      <c r="CO58" s="95"/>
      <c r="CP58" s="95"/>
      <c r="CQ58" s="95"/>
      <c r="CR58" s="95"/>
      <c r="CS58" s="95"/>
      <c r="CT58" s="95"/>
      <c r="CU58" s="95"/>
      <c r="CV58" s="95"/>
      <c r="CW58" s="95"/>
      <c r="CX58" s="95"/>
      <c r="CY58" s="95"/>
      <c r="CZ58" s="95"/>
      <c r="DA58" s="95"/>
      <c r="DB58" s="95"/>
      <c r="DC58" s="95"/>
      <c r="DD58" s="95"/>
      <c r="DE58" s="95"/>
      <c r="DF58" s="95"/>
    </row>
    <row r="59" spans="1:110" ht="14.25" hidden="1" customHeight="1">
      <c r="A59" s="90"/>
      <c r="B59" s="44"/>
      <c r="C59" s="44">
        <v>0</v>
      </c>
      <c r="D59" s="44">
        <v>0</v>
      </c>
      <c r="E59" s="44">
        <v>0</v>
      </c>
      <c r="F59" s="44">
        <f t="shared" si="0"/>
        <v>0</v>
      </c>
      <c r="G59" s="44">
        <f t="shared" si="48"/>
        <v>0</v>
      </c>
      <c r="H59" s="91">
        <v>0</v>
      </c>
      <c r="I59" s="91">
        <v>0</v>
      </c>
      <c r="J59" s="91">
        <v>0</v>
      </c>
      <c r="K59" s="91">
        <f t="shared" si="49"/>
        <v>0</v>
      </c>
      <c r="L59" s="91">
        <f t="shared" si="50"/>
        <v>0</v>
      </c>
      <c r="M59" s="92">
        <v>0</v>
      </c>
      <c r="N59" s="92">
        <v>0</v>
      </c>
      <c r="O59" s="92">
        <v>0</v>
      </c>
      <c r="P59" s="92">
        <f t="shared" si="51"/>
        <v>0</v>
      </c>
      <c r="Q59" s="92">
        <f t="shared" si="52"/>
        <v>0</v>
      </c>
      <c r="R59" s="93">
        <v>0</v>
      </c>
      <c r="S59" s="93">
        <v>0</v>
      </c>
      <c r="T59" s="93">
        <v>0</v>
      </c>
      <c r="U59" s="93">
        <f t="shared" si="53"/>
        <v>0</v>
      </c>
      <c r="V59" s="93">
        <f t="shared" si="54"/>
        <v>0</v>
      </c>
      <c r="W59" s="94">
        <v>0</v>
      </c>
      <c r="X59" s="94">
        <v>0</v>
      </c>
      <c r="Y59" s="94">
        <v>0</v>
      </c>
      <c r="Z59" s="94">
        <f t="shared" si="55"/>
        <v>0</v>
      </c>
      <c r="AA59" s="94">
        <f t="shared" si="56"/>
        <v>0</v>
      </c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5"/>
      <c r="AO59" s="95"/>
      <c r="AP59" s="95"/>
      <c r="AQ59" s="95"/>
      <c r="AR59" s="95"/>
      <c r="AS59" s="95"/>
      <c r="AT59" s="95"/>
      <c r="AU59" s="95"/>
      <c r="AV59" s="95"/>
      <c r="AW59" s="95"/>
      <c r="AX59" s="95"/>
      <c r="AY59" s="95"/>
      <c r="AZ59" s="95"/>
      <c r="BA59" s="95"/>
      <c r="BB59" s="95"/>
      <c r="BC59" s="95"/>
      <c r="BD59" s="95"/>
      <c r="BE59" s="95"/>
      <c r="BF59" s="95"/>
      <c r="BG59" s="95"/>
      <c r="BH59" s="95"/>
      <c r="BI59" s="95"/>
      <c r="BJ59" s="95"/>
      <c r="BK59" s="95"/>
      <c r="BL59" s="95"/>
      <c r="BM59" s="95"/>
      <c r="BN59" s="95"/>
      <c r="BO59" s="95"/>
      <c r="BP59" s="95"/>
      <c r="BQ59" s="95"/>
      <c r="BR59" s="95"/>
      <c r="BS59" s="95"/>
      <c r="BT59" s="95"/>
      <c r="BU59" s="95"/>
      <c r="BV59" s="95"/>
      <c r="BW59" s="95"/>
      <c r="BX59" s="95"/>
      <c r="BY59" s="95"/>
      <c r="BZ59" s="95"/>
      <c r="CA59" s="95"/>
      <c r="CB59" s="95"/>
      <c r="CC59" s="95"/>
      <c r="CD59" s="95"/>
      <c r="CE59" s="95"/>
      <c r="CF59" s="95"/>
      <c r="CG59" s="95"/>
      <c r="CH59" s="95"/>
      <c r="CI59" s="95"/>
      <c r="CJ59" s="95"/>
      <c r="CK59" s="95"/>
      <c r="CL59" s="95"/>
      <c r="CM59" s="95"/>
      <c r="CN59" s="95"/>
      <c r="CO59" s="95"/>
      <c r="CP59" s="95"/>
      <c r="CQ59" s="95"/>
      <c r="CR59" s="95"/>
      <c r="CS59" s="95"/>
      <c r="CT59" s="95"/>
      <c r="CU59" s="95"/>
      <c r="CV59" s="95"/>
      <c r="CW59" s="95"/>
      <c r="CX59" s="95"/>
      <c r="CY59" s="95"/>
      <c r="CZ59" s="95"/>
      <c r="DA59" s="95"/>
      <c r="DB59" s="95"/>
      <c r="DC59" s="95"/>
      <c r="DD59" s="95"/>
      <c r="DE59" s="95"/>
      <c r="DF59" s="95"/>
    </row>
    <row r="60" spans="1:110" ht="14.25" hidden="1" customHeight="1">
      <c r="A60" s="90"/>
      <c r="B60" s="44"/>
      <c r="C60" s="44">
        <v>0</v>
      </c>
      <c r="D60" s="44">
        <v>0</v>
      </c>
      <c r="E60" s="44">
        <v>0</v>
      </c>
      <c r="F60" s="44">
        <f t="shared" si="0"/>
        <v>0</v>
      </c>
      <c r="G60" s="44">
        <f t="shared" si="48"/>
        <v>0</v>
      </c>
      <c r="H60" s="91">
        <v>0</v>
      </c>
      <c r="I60" s="91">
        <v>0</v>
      </c>
      <c r="J60" s="91">
        <v>0</v>
      </c>
      <c r="K60" s="91">
        <f t="shared" si="49"/>
        <v>0</v>
      </c>
      <c r="L60" s="91">
        <f t="shared" si="50"/>
        <v>0</v>
      </c>
      <c r="M60" s="92">
        <v>0</v>
      </c>
      <c r="N60" s="92">
        <v>0</v>
      </c>
      <c r="O60" s="92">
        <v>0</v>
      </c>
      <c r="P60" s="92">
        <f t="shared" si="51"/>
        <v>0</v>
      </c>
      <c r="Q60" s="92">
        <f t="shared" si="52"/>
        <v>0</v>
      </c>
      <c r="R60" s="93">
        <v>0</v>
      </c>
      <c r="S60" s="93">
        <v>0</v>
      </c>
      <c r="T60" s="93">
        <v>0</v>
      </c>
      <c r="U60" s="93">
        <f t="shared" si="53"/>
        <v>0</v>
      </c>
      <c r="V60" s="93">
        <f t="shared" si="54"/>
        <v>0</v>
      </c>
      <c r="W60" s="94">
        <v>0</v>
      </c>
      <c r="X60" s="94">
        <v>0</v>
      </c>
      <c r="Y60" s="94">
        <v>0</v>
      </c>
      <c r="Z60" s="94">
        <f t="shared" si="55"/>
        <v>0</v>
      </c>
      <c r="AA60" s="94">
        <f t="shared" si="56"/>
        <v>0</v>
      </c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95"/>
      <c r="AS60" s="95"/>
      <c r="AT60" s="95"/>
      <c r="AU60" s="95"/>
      <c r="AV60" s="95"/>
      <c r="AW60" s="95"/>
      <c r="AX60" s="95"/>
      <c r="AY60" s="95"/>
      <c r="AZ60" s="95"/>
      <c r="BA60" s="95"/>
      <c r="BB60" s="95"/>
      <c r="BC60" s="95"/>
      <c r="BD60" s="95"/>
      <c r="BE60" s="95"/>
      <c r="BF60" s="95"/>
      <c r="BG60" s="95"/>
      <c r="BH60" s="95"/>
      <c r="BI60" s="95"/>
      <c r="BJ60" s="95"/>
      <c r="BK60" s="95"/>
      <c r="BL60" s="95"/>
      <c r="BM60" s="95"/>
      <c r="BN60" s="95"/>
      <c r="BO60" s="95"/>
      <c r="BP60" s="95"/>
      <c r="BQ60" s="95"/>
      <c r="BR60" s="95"/>
      <c r="BS60" s="95"/>
      <c r="BT60" s="95"/>
      <c r="BU60" s="95"/>
      <c r="BV60" s="95"/>
      <c r="BW60" s="95"/>
      <c r="BX60" s="95"/>
      <c r="BY60" s="95"/>
      <c r="BZ60" s="95"/>
      <c r="CA60" s="95"/>
      <c r="CB60" s="95"/>
      <c r="CC60" s="95"/>
      <c r="CD60" s="95"/>
      <c r="CE60" s="95"/>
      <c r="CF60" s="95"/>
      <c r="CG60" s="95"/>
      <c r="CH60" s="95"/>
      <c r="CI60" s="95"/>
      <c r="CJ60" s="95"/>
      <c r="CK60" s="95"/>
      <c r="CL60" s="95"/>
      <c r="CM60" s="95"/>
      <c r="CN60" s="95"/>
      <c r="CO60" s="95"/>
      <c r="CP60" s="95"/>
      <c r="CQ60" s="95"/>
      <c r="CR60" s="95"/>
      <c r="CS60" s="95"/>
      <c r="CT60" s="95"/>
      <c r="CU60" s="95"/>
      <c r="CV60" s="95"/>
      <c r="CW60" s="95"/>
      <c r="CX60" s="95"/>
      <c r="CY60" s="95"/>
      <c r="CZ60" s="95"/>
      <c r="DA60" s="95"/>
      <c r="DB60" s="95"/>
      <c r="DC60" s="95"/>
      <c r="DD60" s="95"/>
      <c r="DE60" s="95"/>
      <c r="DF60" s="95"/>
    </row>
    <row r="61" spans="1:110" ht="14.25" hidden="1" customHeight="1">
      <c r="A61" s="90"/>
      <c r="B61" s="44"/>
      <c r="C61" s="44">
        <v>0</v>
      </c>
      <c r="D61" s="44">
        <v>0</v>
      </c>
      <c r="E61" s="44">
        <v>0</v>
      </c>
      <c r="F61" s="44">
        <f t="shared" si="0"/>
        <v>0</v>
      </c>
      <c r="G61" s="44">
        <f t="shared" si="48"/>
        <v>0</v>
      </c>
      <c r="H61" s="91">
        <v>0</v>
      </c>
      <c r="I61" s="91">
        <v>0</v>
      </c>
      <c r="J61" s="91">
        <v>0</v>
      </c>
      <c r="K61" s="91">
        <f t="shared" si="49"/>
        <v>0</v>
      </c>
      <c r="L61" s="91">
        <f t="shared" si="50"/>
        <v>0</v>
      </c>
      <c r="M61" s="92">
        <v>0</v>
      </c>
      <c r="N61" s="92">
        <v>0</v>
      </c>
      <c r="O61" s="92">
        <v>0</v>
      </c>
      <c r="P61" s="92">
        <f t="shared" si="51"/>
        <v>0</v>
      </c>
      <c r="Q61" s="92">
        <f t="shared" si="52"/>
        <v>0</v>
      </c>
      <c r="R61" s="93">
        <v>0</v>
      </c>
      <c r="S61" s="93">
        <v>0</v>
      </c>
      <c r="T61" s="93">
        <v>0</v>
      </c>
      <c r="U61" s="93">
        <f t="shared" si="53"/>
        <v>0</v>
      </c>
      <c r="V61" s="93">
        <f t="shared" si="54"/>
        <v>0</v>
      </c>
      <c r="W61" s="94">
        <v>0</v>
      </c>
      <c r="X61" s="94">
        <v>0</v>
      </c>
      <c r="Y61" s="94">
        <v>0</v>
      </c>
      <c r="Z61" s="94">
        <f t="shared" si="55"/>
        <v>0</v>
      </c>
      <c r="AA61" s="94">
        <f t="shared" si="56"/>
        <v>0</v>
      </c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95"/>
      <c r="AS61" s="95"/>
      <c r="AT61" s="95"/>
      <c r="AU61" s="95"/>
      <c r="AV61" s="95"/>
      <c r="AW61" s="95"/>
      <c r="AX61" s="95"/>
      <c r="AY61" s="95"/>
      <c r="AZ61" s="95"/>
      <c r="BA61" s="95"/>
      <c r="BB61" s="95"/>
      <c r="BC61" s="95"/>
      <c r="BD61" s="95"/>
      <c r="BE61" s="95"/>
      <c r="BF61" s="95"/>
      <c r="BG61" s="95"/>
      <c r="BH61" s="95"/>
      <c r="BI61" s="95"/>
      <c r="BJ61" s="95"/>
      <c r="BK61" s="95"/>
      <c r="BL61" s="95"/>
      <c r="BM61" s="95"/>
      <c r="BN61" s="95"/>
      <c r="BO61" s="95"/>
      <c r="BP61" s="95"/>
      <c r="BQ61" s="95"/>
      <c r="BR61" s="95"/>
      <c r="BS61" s="95"/>
      <c r="BT61" s="95"/>
      <c r="BU61" s="95"/>
      <c r="BV61" s="95"/>
      <c r="BW61" s="95"/>
      <c r="BX61" s="95"/>
      <c r="BY61" s="95"/>
      <c r="BZ61" s="95"/>
      <c r="CA61" s="95"/>
      <c r="CB61" s="95"/>
      <c r="CC61" s="95"/>
      <c r="CD61" s="95"/>
      <c r="CE61" s="95"/>
      <c r="CF61" s="95"/>
      <c r="CG61" s="95"/>
      <c r="CH61" s="95"/>
      <c r="CI61" s="95"/>
      <c r="CJ61" s="95"/>
      <c r="CK61" s="95"/>
      <c r="CL61" s="95"/>
      <c r="CM61" s="95"/>
      <c r="CN61" s="95"/>
      <c r="CO61" s="95"/>
      <c r="CP61" s="95"/>
      <c r="CQ61" s="95"/>
      <c r="CR61" s="95"/>
      <c r="CS61" s="95"/>
      <c r="CT61" s="95"/>
      <c r="CU61" s="95"/>
      <c r="CV61" s="95"/>
      <c r="CW61" s="95"/>
      <c r="CX61" s="95"/>
      <c r="CY61" s="95"/>
      <c r="CZ61" s="95"/>
      <c r="DA61" s="95"/>
      <c r="DB61" s="95"/>
      <c r="DC61" s="95"/>
      <c r="DD61" s="95"/>
      <c r="DE61" s="95"/>
      <c r="DF61" s="95"/>
    </row>
    <row r="62" spans="1:110" ht="14.25" hidden="1" customHeight="1">
      <c r="A62" s="90"/>
      <c r="B62" s="44"/>
      <c r="C62" s="44">
        <v>0</v>
      </c>
      <c r="D62" s="44">
        <v>0</v>
      </c>
      <c r="E62" s="44">
        <v>0</v>
      </c>
      <c r="F62" s="44">
        <f t="shared" si="0"/>
        <v>0</v>
      </c>
      <c r="G62" s="44">
        <f t="shared" si="48"/>
        <v>0</v>
      </c>
      <c r="H62" s="91">
        <v>0</v>
      </c>
      <c r="I62" s="91">
        <v>0</v>
      </c>
      <c r="J62" s="91">
        <v>0</v>
      </c>
      <c r="K62" s="91">
        <f t="shared" si="49"/>
        <v>0</v>
      </c>
      <c r="L62" s="91">
        <f t="shared" si="50"/>
        <v>0</v>
      </c>
      <c r="M62" s="92">
        <v>0</v>
      </c>
      <c r="N62" s="92">
        <v>0</v>
      </c>
      <c r="O62" s="92">
        <v>0</v>
      </c>
      <c r="P62" s="92">
        <f t="shared" si="51"/>
        <v>0</v>
      </c>
      <c r="Q62" s="92">
        <f t="shared" si="52"/>
        <v>0</v>
      </c>
      <c r="R62" s="93">
        <v>0</v>
      </c>
      <c r="S62" s="93">
        <v>0</v>
      </c>
      <c r="T62" s="93">
        <v>0</v>
      </c>
      <c r="U62" s="93">
        <f t="shared" si="53"/>
        <v>0</v>
      </c>
      <c r="V62" s="93">
        <f t="shared" si="54"/>
        <v>0</v>
      </c>
      <c r="W62" s="94">
        <v>0</v>
      </c>
      <c r="X62" s="94">
        <v>0</v>
      </c>
      <c r="Y62" s="94">
        <v>0</v>
      </c>
      <c r="Z62" s="94">
        <f t="shared" si="55"/>
        <v>0</v>
      </c>
      <c r="AA62" s="94">
        <f t="shared" si="56"/>
        <v>0</v>
      </c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95"/>
      <c r="AS62" s="95"/>
      <c r="AT62" s="95"/>
      <c r="AU62" s="95"/>
      <c r="AV62" s="95"/>
      <c r="AW62" s="95"/>
      <c r="AX62" s="95"/>
      <c r="AY62" s="95"/>
      <c r="AZ62" s="95"/>
      <c r="BA62" s="95"/>
      <c r="BB62" s="95"/>
      <c r="BC62" s="95"/>
      <c r="BD62" s="95"/>
      <c r="BE62" s="95"/>
      <c r="BF62" s="95"/>
      <c r="BG62" s="95"/>
      <c r="BH62" s="95"/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95"/>
      <c r="BU62" s="95"/>
      <c r="BV62" s="95"/>
      <c r="BW62" s="95"/>
      <c r="BX62" s="95"/>
      <c r="BY62" s="95"/>
      <c r="BZ62" s="95"/>
      <c r="CA62" s="95"/>
      <c r="CB62" s="95"/>
      <c r="CC62" s="95"/>
      <c r="CD62" s="95"/>
      <c r="CE62" s="95"/>
      <c r="CF62" s="95"/>
      <c r="CG62" s="95"/>
      <c r="CH62" s="95"/>
      <c r="CI62" s="95"/>
      <c r="CJ62" s="95"/>
      <c r="CK62" s="95"/>
      <c r="CL62" s="95"/>
      <c r="CM62" s="95"/>
      <c r="CN62" s="95"/>
      <c r="CO62" s="95"/>
      <c r="CP62" s="95"/>
      <c r="CQ62" s="95"/>
      <c r="CR62" s="95"/>
      <c r="CS62" s="95"/>
      <c r="CT62" s="95"/>
      <c r="CU62" s="95"/>
      <c r="CV62" s="95"/>
      <c r="CW62" s="95"/>
      <c r="CX62" s="95"/>
      <c r="CY62" s="95"/>
      <c r="CZ62" s="95"/>
      <c r="DA62" s="95"/>
      <c r="DB62" s="95"/>
      <c r="DC62" s="95"/>
      <c r="DD62" s="95"/>
      <c r="DE62" s="95"/>
      <c r="DF62" s="95"/>
    </row>
    <row r="63" spans="1:110" ht="14.25" hidden="1" customHeight="1">
      <c r="A63" s="90"/>
      <c r="B63" s="44"/>
      <c r="C63" s="44">
        <v>0</v>
      </c>
      <c r="D63" s="44">
        <v>0</v>
      </c>
      <c r="E63" s="44">
        <v>0</v>
      </c>
      <c r="F63" s="44">
        <f t="shared" si="0"/>
        <v>0</v>
      </c>
      <c r="G63" s="44">
        <f t="shared" si="48"/>
        <v>0</v>
      </c>
      <c r="H63" s="91">
        <v>0</v>
      </c>
      <c r="I63" s="91">
        <v>0</v>
      </c>
      <c r="J63" s="91">
        <v>0</v>
      </c>
      <c r="K63" s="91">
        <f t="shared" si="49"/>
        <v>0</v>
      </c>
      <c r="L63" s="91">
        <f t="shared" si="50"/>
        <v>0</v>
      </c>
      <c r="M63" s="92">
        <v>0</v>
      </c>
      <c r="N63" s="92">
        <v>0</v>
      </c>
      <c r="O63" s="92">
        <v>0</v>
      </c>
      <c r="P63" s="92">
        <f t="shared" si="51"/>
        <v>0</v>
      </c>
      <c r="Q63" s="92">
        <f t="shared" si="52"/>
        <v>0</v>
      </c>
      <c r="R63" s="93">
        <v>0</v>
      </c>
      <c r="S63" s="93">
        <v>0</v>
      </c>
      <c r="T63" s="93">
        <v>0</v>
      </c>
      <c r="U63" s="93">
        <f t="shared" si="53"/>
        <v>0</v>
      </c>
      <c r="V63" s="93">
        <f t="shared" si="54"/>
        <v>0</v>
      </c>
      <c r="W63" s="94">
        <v>0</v>
      </c>
      <c r="X63" s="94">
        <v>0</v>
      </c>
      <c r="Y63" s="94">
        <v>0</v>
      </c>
      <c r="Z63" s="94">
        <f t="shared" si="55"/>
        <v>0</v>
      </c>
      <c r="AA63" s="94">
        <f t="shared" si="56"/>
        <v>0</v>
      </c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95"/>
      <c r="AS63" s="95"/>
      <c r="AT63" s="95"/>
      <c r="AU63" s="95"/>
      <c r="AV63" s="95"/>
      <c r="AW63" s="95"/>
      <c r="AX63" s="95"/>
      <c r="AY63" s="95"/>
      <c r="AZ63" s="95"/>
      <c r="BA63" s="95"/>
      <c r="BB63" s="95"/>
      <c r="BC63" s="95"/>
      <c r="BD63" s="95"/>
      <c r="BE63" s="95"/>
      <c r="BF63" s="95"/>
      <c r="BG63" s="95"/>
      <c r="BH63" s="95"/>
      <c r="BI63" s="95"/>
      <c r="BJ63" s="95"/>
      <c r="BK63" s="95"/>
      <c r="BL63" s="95"/>
      <c r="BM63" s="95"/>
      <c r="BN63" s="95"/>
      <c r="BO63" s="95"/>
      <c r="BP63" s="95"/>
      <c r="BQ63" s="95"/>
      <c r="BR63" s="95"/>
      <c r="BS63" s="95"/>
      <c r="BT63" s="95"/>
      <c r="BU63" s="95"/>
      <c r="BV63" s="95"/>
      <c r="BW63" s="95"/>
      <c r="BX63" s="95"/>
      <c r="BY63" s="95"/>
      <c r="BZ63" s="95"/>
      <c r="CA63" s="95"/>
      <c r="CB63" s="95"/>
      <c r="CC63" s="95"/>
      <c r="CD63" s="95"/>
      <c r="CE63" s="95"/>
      <c r="CF63" s="95"/>
      <c r="CG63" s="95"/>
      <c r="CH63" s="95"/>
      <c r="CI63" s="95"/>
      <c r="CJ63" s="95"/>
      <c r="CK63" s="95"/>
      <c r="CL63" s="95"/>
      <c r="CM63" s="95"/>
      <c r="CN63" s="95"/>
      <c r="CO63" s="95"/>
      <c r="CP63" s="95"/>
      <c r="CQ63" s="95"/>
      <c r="CR63" s="95"/>
      <c r="CS63" s="95"/>
      <c r="CT63" s="95"/>
      <c r="CU63" s="95"/>
      <c r="CV63" s="95"/>
      <c r="CW63" s="95"/>
      <c r="CX63" s="95"/>
      <c r="CY63" s="95"/>
      <c r="CZ63" s="95"/>
      <c r="DA63" s="95"/>
      <c r="DB63" s="95"/>
      <c r="DC63" s="95"/>
      <c r="DD63" s="95"/>
      <c r="DE63" s="95"/>
      <c r="DF63" s="95"/>
    </row>
    <row r="64" spans="1:110" ht="14.25" hidden="1" customHeight="1">
      <c r="A64" s="90"/>
      <c r="B64" s="44"/>
      <c r="C64" s="44">
        <v>0</v>
      </c>
      <c r="D64" s="44">
        <v>0</v>
      </c>
      <c r="E64" s="44">
        <v>0</v>
      </c>
      <c r="F64" s="44">
        <f t="shared" si="0"/>
        <v>0</v>
      </c>
      <c r="G64" s="44">
        <f t="shared" si="48"/>
        <v>0</v>
      </c>
      <c r="H64" s="91">
        <v>0</v>
      </c>
      <c r="I64" s="91">
        <v>0</v>
      </c>
      <c r="J64" s="91">
        <v>0</v>
      </c>
      <c r="K64" s="91">
        <f t="shared" si="49"/>
        <v>0</v>
      </c>
      <c r="L64" s="91">
        <f t="shared" si="50"/>
        <v>0</v>
      </c>
      <c r="M64" s="92">
        <v>0</v>
      </c>
      <c r="N64" s="92">
        <v>0</v>
      </c>
      <c r="O64" s="92">
        <v>0</v>
      </c>
      <c r="P64" s="92">
        <f t="shared" si="51"/>
        <v>0</v>
      </c>
      <c r="Q64" s="92">
        <f t="shared" si="52"/>
        <v>0</v>
      </c>
      <c r="R64" s="93">
        <v>0</v>
      </c>
      <c r="S64" s="93">
        <v>0</v>
      </c>
      <c r="T64" s="93">
        <v>0</v>
      </c>
      <c r="U64" s="93">
        <f t="shared" si="53"/>
        <v>0</v>
      </c>
      <c r="V64" s="93">
        <f t="shared" si="54"/>
        <v>0</v>
      </c>
      <c r="W64" s="94">
        <v>0</v>
      </c>
      <c r="X64" s="94">
        <v>0</v>
      </c>
      <c r="Y64" s="94">
        <v>0</v>
      </c>
      <c r="Z64" s="94">
        <f t="shared" si="55"/>
        <v>0</v>
      </c>
      <c r="AA64" s="94">
        <f t="shared" si="56"/>
        <v>0</v>
      </c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  <c r="AN64" s="95"/>
      <c r="AO64" s="95"/>
      <c r="AP64" s="95"/>
      <c r="AQ64" s="95"/>
      <c r="AR64" s="95"/>
      <c r="AS64" s="95"/>
      <c r="AT64" s="95"/>
      <c r="AU64" s="95"/>
      <c r="AV64" s="95"/>
      <c r="AW64" s="95"/>
      <c r="AX64" s="95"/>
      <c r="AY64" s="95"/>
      <c r="AZ64" s="95"/>
      <c r="BA64" s="95"/>
      <c r="BB64" s="95"/>
      <c r="BC64" s="95"/>
      <c r="BD64" s="95"/>
      <c r="BE64" s="95"/>
      <c r="BF64" s="95"/>
      <c r="BG64" s="95"/>
      <c r="BH64" s="95"/>
      <c r="BI64" s="95"/>
      <c r="BJ64" s="95"/>
      <c r="BK64" s="95"/>
      <c r="BL64" s="95"/>
      <c r="BM64" s="95"/>
      <c r="BN64" s="95"/>
      <c r="BO64" s="95"/>
      <c r="BP64" s="95"/>
      <c r="BQ64" s="95"/>
      <c r="BR64" s="95"/>
      <c r="BS64" s="95"/>
      <c r="BT64" s="95"/>
      <c r="BU64" s="95"/>
      <c r="BV64" s="95"/>
      <c r="BW64" s="95"/>
      <c r="BX64" s="95"/>
      <c r="BY64" s="95"/>
      <c r="BZ64" s="95"/>
      <c r="CA64" s="95"/>
      <c r="CB64" s="95"/>
      <c r="CC64" s="95"/>
      <c r="CD64" s="95"/>
      <c r="CE64" s="95"/>
      <c r="CF64" s="95"/>
      <c r="CG64" s="95"/>
      <c r="CH64" s="95"/>
      <c r="CI64" s="95"/>
      <c r="CJ64" s="95"/>
      <c r="CK64" s="95"/>
      <c r="CL64" s="95"/>
      <c r="CM64" s="95"/>
      <c r="CN64" s="95"/>
      <c r="CO64" s="95"/>
      <c r="CP64" s="95"/>
      <c r="CQ64" s="95"/>
      <c r="CR64" s="95"/>
      <c r="CS64" s="95"/>
      <c r="CT64" s="95"/>
      <c r="CU64" s="95"/>
      <c r="CV64" s="95"/>
      <c r="CW64" s="95"/>
      <c r="CX64" s="95"/>
      <c r="CY64" s="95"/>
      <c r="CZ64" s="95"/>
      <c r="DA64" s="95"/>
      <c r="DB64" s="95"/>
      <c r="DC64" s="95"/>
      <c r="DD64" s="95"/>
      <c r="DE64" s="95"/>
      <c r="DF64" s="95"/>
    </row>
    <row r="65" spans="1:110" ht="14.25" hidden="1" customHeight="1">
      <c r="A65" s="90"/>
      <c r="B65" s="44"/>
      <c r="C65" s="44">
        <v>0</v>
      </c>
      <c r="D65" s="44">
        <v>0</v>
      </c>
      <c r="E65" s="44">
        <v>0</v>
      </c>
      <c r="F65" s="44">
        <f t="shared" si="0"/>
        <v>0</v>
      </c>
      <c r="G65" s="44">
        <f t="shared" si="48"/>
        <v>0</v>
      </c>
      <c r="H65" s="91">
        <v>0</v>
      </c>
      <c r="I65" s="91">
        <v>0</v>
      </c>
      <c r="J65" s="91">
        <v>0</v>
      </c>
      <c r="K65" s="91">
        <f t="shared" si="49"/>
        <v>0</v>
      </c>
      <c r="L65" s="91">
        <f t="shared" si="50"/>
        <v>0</v>
      </c>
      <c r="M65" s="92">
        <v>0</v>
      </c>
      <c r="N65" s="92">
        <v>0</v>
      </c>
      <c r="O65" s="92">
        <v>0</v>
      </c>
      <c r="P65" s="92">
        <f t="shared" si="51"/>
        <v>0</v>
      </c>
      <c r="Q65" s="92">
        <f t="shared" si="52"/>
        <v>0</v>
      </c>
      <c r="R65" s="93">
        <v>0</v>
      </c>
      <c r="S65" s="93">
        <v>0</v>
      </c>
      <c r="T65" s="93">
        <v>0</v>
      </c>
      <c r="U65" s="93">
        <f t="shared" si="53"/>
        <v>0</v>
      </c>
      <c r="V65" s="93">
        <f t="shared" si="54"/>
        <v>0</v>
      </c>
      <c r="W65" s="94">
        <v>0</v>
      </c>
      <c r="X65" s="94">
        <v>0</v>
      </c>
      <c r="Y65" s="94">
        <v>0</v>
      </c>
      <c r="Z65" s="94">
        <f t="shared" si="55"/>
        <v>0</v>
      </c>
      <c r="AA65" s="94">
        <f t="shared" si="56"/>
        <v>0</v>
      </c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95"/>
      <c r="BU65" s="95"/>
      <c r="BV65" s="95"/>
      <c r="BW65" s="95"/>
      <c r="BX65" s="95"/>
      <c r="BY65" s="95"/>
      <c r="BZ65" s="95"/>
      <c r="CA65" s="95"/>
      <c r="CB65" s="95"/>
      <c r="CC65" s="95"/>
      <c r="CD65" s="95"/>
      <c r="CE65" s="95"/>
      <c r="CF65" s="95"/>
      <c r="CG65" s="95"/>
      <c r="CH65" s="95"/>
      <c r="CI65" s="95"/>
      <c r="CJ65" s="95"/>
      <c r="CK65" s="95"/>
      <c r="CL65" s="95"/>
      <c r="CM65" s="95"/>
      <c r="CN65" s="95"/>
      <c r="CO65" s="95"/>
      <c r="CP65" s="95"/>
      <c r="CQ65" s="95"/>
      <c r="CR65" s="95"/>
      <c r="CS65" s="95"/>
      <c r="CT65" s="95"/>
      <c r="CU65" s="95"/>
      <c r="CV65" s="95"/>
      <c r="CW65" s="95"/>
      <c r="CX65" s="95"/>
      <c r="CY65" s="95"/>
      <c r="CZ65" s="95"/>
      <c r="DA65" s="95"/>
      <c r="DB65" s="95"/>
      <c r="DC65" s="95"/>
      <c r="DD65" s="95"/>
      <c r="DE65" s="95"/>
      <c r="DF65" s="95"/>
    </row>
    <row r="66" spans="1:110" ht="14.25" hidden="1" customHeight="1">
      <c r="A66" s="90"/>
      <c r="B66" s="44"/>
      <c r="C66" s="44">
        <v>0</v>
      </c>
      <c r="D66" s="44">
        <v>0</v>
      </c>
      <c r="E66" s="44">
        <v>0</v>
      </c>
      <c r="F66" s="44">
        <f t="shared" si="0"/>
        <v>0</v>
      </c>
      <c r="G66" s="44">
        <f t="shared" si="48"/>
        <v>0</v>
      </c>
      <c r="H66" s="91">
        <v>0</v>
      </c>
      <c r="I66" s="91">
        <v>0</v>
      </c>
      <c r="J66" s="91">
        <v>0</v>
      </c>
      <c r="K66" s="91">
        <f t="shared" si="49"/>
        <v>0</v>
      </c>
      <c r="L66" s="91">
        <f t="shared" si="50"/>
        <v>0</v>
      </c>
      <c r="M66" s="92">
        <v>0</v>
      </c>
      <c r="N66" s="92">
        <v>0</v>
      </c>
      <c r="O66" s="92">
        <v>0</v>
      </c>
      <c r="P66" s="92">
        <f t="shared" si="51"/>
        <v>0</v>
      </c>
      <c r="Q66" s="92">
        <f t="shared" si="52"/>
        <v>0</v>
      </c>
      <c r="R66" s="93">
        <v>0</v>
      </c>
      <c r="S66" s="93">
        <v>0</v>
      </c>
      <c r="T66" s="93">
        <v>0</v>
      </c>
      <c r="U66" s="93">
        <f t="shared" si="53"/>
        <v>0</v>
      </c>
      <c r="V66" s="93">
        <f t="shared" si="54"/>
        <v>0</v>
      </c>
      <c r="W66" s="94">
        <v>0</v>
      </c>
      <c r="X66" s="94">
        <v>0</v>
      </c>
      <c r="Y66" s="94">
        <v>0</v>
      </c>
      <c r="Z66" s="94">
        <f t="shared" si="55"/>
        <v>0</v>
      </c>
      <c r="AA66" s="94">
        <f t="shared" si="56"/>
        <v>0</v>
      </c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  <c r="AZ66" s="95"/>
      <c r="BA66" s="95"/>
      <c r="BB66" s="95"/>
      <c r="BC66" s="95"/>
      <c r="BD66" s="95"/>
      <c r="BE66" s="95"/>
      <c r="BF66" s="95"/>
      <c r="BG66" s="95"/>
      <c r="BH66" s="95"/>
      <c r="BI66" s="95"/>
      <c r="BJ66" s="95"/>
      <c r="BK66" s="95"/>
      <c r="BL66" s="95"/>
      <c r="BM66" s="95"/>
      <c r="BN66" s="95"/>
      <c r="BO66" s="95"/>
      <c r="BP66" s="95"/>
      <c r="BQ66" s="95"/>
      <c r="BR66" s="95"/>
      <c r="BS66" s="95"/>
      <c r="BT66" s="95"/>
      <c r="BU66" s="95"/>
      <c r="BV66" s="95"/>
      <c r="BW66" s="95"/>
      <c r="BX66" s="95"/>
      <c r="BY66" s="95"/>
      <c r="BZ66" s="95"/>
      <c r="CA66" s="95"/>
      <c r="CB66" s="95"/>
      <c r="CC66" s="95"/>
      <c r="CD66" s="95"/>
      <c r="CE66" s="95"/>
      <c r="CF66" s="95"/>
      <c r="CG66" s="95"/>
      <c r="CH66" s="95"/>
      <c r="CI66" s="95"/>
      <c r="CJ66" s="95"/>
      <c r="CK66" s="95"/>
      <c r="CL66" s="95"/>
      <c r="CM66" s="95"/>
      <c r="CN66" s="95"/>
      <c r="CO66" s="95"/>
      <c r="CP66" s="95"/>
      <c r="CQ66" s="95"/>
      <c r="CR66" s="95"/>
      <c r="CS66" s="95"/>
      <c r="CT66" s="95"/>
      <c r="CU66" s="95"/>
      <c r="CV66" s="95"/>
      <c r="CW66" s="95"/>
      <c r="CX66" s="95"/>
      <c r="CY66" s="95"/>
      <c r="CZ66" s="95"/>
      <c r="DA66" s="95"/>
      <c r="DB66" s="95"/>
      <c r="DC66" s="95"/>
      <c r="DD66" s="95"/>
      <c r="DE66" s="95"/>
      <c r="DF66" s="95"/>
    </row>
    <row r="67" spans="1:110" ht="14.25" hidden="1" customHeight="1">
      <c r="A67" s="90"/>
      <c r="B67" s="44"/>
      <c r="C67" s="44">
        <v>0</v>
      </c>
      <c r="D67" s="44">
        <v>0</v>
      </c>
      <c r="E67" s="44">
        <v>0</v>
      </c>
      <c r="F67" s="44">
        <f t="shared" si="0"/>
        <v>0</v>
      </c>
      <c r="G67" s="44">
        <f t="shared" si="48"/>
        <v>0</v>
      </c>
      <c r="H67" s="91">
        <v>0</v>
      </c>
      <c r="I67" s="91">
        <v>0</v>
      </c>
      <c r="J67" s="91">
        <v>0</v>
      </c>
      <c r="K67" s="91">
        <f t="shared" si="49"/>
        <v>0</v>
      </c>
      <c r="L67" s="91">
        <f t="shared" si="50"/>
        <v>0</v>
      </c>
      <c r="M67" s="92">
        <v>0</v>
      </c>
      <c r="N67" s="92">
        <v>0</v>
      </c>
      <c r="O67" s="92">
        <v>0</v>
      </c>
      <c r="P67" s="92">
        <f t="shared" si="51"/>
        <v>0</v>
      </c>
      <c r="Q67" s="92">
        <f t="shared" si="52"/>
        <v>0</v>
      </c>
      <c r="R67" s="93">
        <v>0</v>
      </c>
      <c r="S67" s="93">
        <v>0</v>
      </c>
      <c r="T67" s="93">
        <v>0</v>
      </c>
      <c r="U67" s="93">
        <f t="shared" si="53"/>
        <v>0</v>
      </c>
      <c r="V67" s="93">
        <f t="shared" si="54"/>
        <v>0</v>
      </c>
      <c r="W67" s="94">
        <v>0</v>
      </c>
      <c r="X67" s="94">
        <v>0</v>
      </c>
      <c r="Y67" s="94">
        <v>0</v>
      </c>
      <c r="Z67" s="94">
        <f t="shared" si="55"/>
        <v>0</v>
      </c>
      <c r="AA67" s="94">
        <f t="shared" si="56"/>
        <v>0</v>
      </c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5"/>
      <c r="AW67" s="95"/>
      <c r="AX67" s="95"/>
      <c r="AY67" s="95"/>
      <c r="AZ67" s="95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5"/>
      <c r="BL67" s="95"/>
      <c r="BM67" s="95"/>
      <c r="BN67" s="95"/>
      <c r="BO67" s="95"/>
      <c r="BP67" s="95"/>
      <c r="BQ67" s="95"/>
      <c r="BR67" s="95"/>
      <c r="BS67" s="95"/>
      <c r="BT67" s="95"/>
      <c r="BU67" s="95"/>
      <c r="BV67" s="95"/>
      <c r="BW67" s="95"/>
      <c r="BX67" s="95"/>
      <c r="BY67" s="95"/>
      <c r="BZ67" s="95"/>
      <c r="CA67" s="95"/>
      <c r="CB67" s="95"/>
      <c r="CC67" s="95"/>
      <c r="CD67" s="95"/>
      <c r="CE67" s="95"/>
      <c r="CF67" s="95"/>
      <c r="CG67" s="95"/>
      <c r="CH67" s="95"/>
      <c r="CI67" s="95"/>
      <c r="CJ67" s="95"/>
      <c r="CK67" s="95"/>
      <c r="CL67" s="95"/>
      <c r="CM67" s="95"/>
      <c r="CN67" s="95"/>
      <c r="CO67" s="95"/>
      <c r="CP67" s="95"/>
      <c r="CQ67" s="95"/>
      <c r="CR67" s="95"/>
      <c r="CS67" s="95"/>
      <c r="CT67" s="95"/>
      <c r="CU67" s="95"/>
      <c r="CV67" s="95"/>
      <c r="CW67" s="95"/>
      <c r="CX67" s="95"/>
      <c r="CY67" s="95"/>
      <c r="CZ67" s="95"/>
      <c r="DA67" s="95"/>
      <c r="DB67" s="95"/>
      <c r="DC67" s="95"/>
      <c r="DD67" s="95"/>
      <c r="DE67" s="95"/>
      <c r="DF67" s="95"/>
    </row>
    <row r="68" spans="1:110" ht="14.25" hidden="1" customHeight="1">
      <c r="A68" s="90"/>
      <c r="B68" s="44"/>
      <c r="C68" s="44">
        <v>0</v>
      </c>
      <c r="D68" s="44">
        <v>0</v>
      </c>
      <c r="E68" s="44">
        <v>0</v>
      </c>
      <c r="F68" s="44">
        <f t="shared" si="0"/>
        <v>0</v>
      </c>
      <c r="G68" s="44">
        <f t="shared" si="48"/>
        <v>0</v>
      </c>
      <c r="H68" s="91">
        <v>0</v>
      </c>
      <c r="I68" s="91">
        <v>0</v>
      </c>
      <c r="J68" s="91">
        <v>0</v>
      </c>
      <c r="K68" s="91">
        <f t="shared" si="49"/>
        <v>0</v>
      </c>
      <c r="L68" s="91">
        <f t="shared" si="50"/>
        <v>0</v>
      </c>
      <c r="M68" s="92">
        <v>0</v>
      </c>
      <c r="N68" s="92">
        <v>0</v>
      </c>
      <c r="O68" s="92">
        <v>0</v>
      </c>
      <c r="P68" s="92">
        <f t="shared" si="51"/>
        <v>0</v>
      </c>
      <c r="Q68" s="92">
        <f t="shared" si="52"/>
        <v>0</v>
      </c>
      <c r="R68" s="93">
        <v>0</v>
      </c>
      <c r="S68" s="93">
        <v>0</v>
      </c>
      <c r="T68" s="93">
        <v>0</v>
      </c>
      <c r="U68" s="93">
        <f t="shared" si="53"/>
        <v>0</v>
      </c>
      <c r="V68" s="93">
        <f t="shared" si="54"/>
        <v>0</v>
      </c>
      <c r="W68" s="94">
        <v>0</v>
      </c>
      <c r="X68" s="94">
        <v>0</v>
      </c>
      <c r="Y68" s="94">
        <v>0</v>
      </c>
      <c r="Z68" s="94">
        <f t="shared" si="55"/>
        <v>0</v>
      </c>
      <c r="AA68" s="94">
        <f t="shared" si="56"/>
        <v>0</v>
      </c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  <c r="AN68" s="95"/>
      <c r="AO68" s="95"/>
      <c r="AP68" s="95"/>
      <c r="AQ68" s="95"/>
      <c r="AR68" s="95"/>
      <c r="AS68" s="95"/>
      <c r="AT68" s="95"/>
      <c r="AU68" s="95"/>
      <c r="AV68" s="95"/>
      <c r="AW68" s="95"/>
      <c r="AX68" s="95"/>
      <c r="AY68" s="95"/>
      <c r="AZ68" s="95"/>
      <c r="BA68" s="95"/>
      <c r="BB68" s="95"/>
      <c r="BC68" s="95"/>
      <c r="BD68" s="95"/>
      <c r="BE68" s="95"/>
      <c r="BF68" s="95"/>
      <c r="BG68" s="95"/>
      <c r="BH68" s="95"/>
      <c r="BI68" s="95"/>
      <c r="BJ68" s="95"/>
      <c r="BK68" s="95"/>
      <c r="BL68" s="95"/>
      <c r="BM68" s="95"/>
      <c r="BN68" s="95"/>
      <c r="BO68" s="95"/>
      <c r="BP68" s="95"/>
      <c r="BQ68" s="95"/>
      <c r="BR68" s="95"/>
      <c r="BS68" s="95"/>
      <c r="BT68" s="95"/>
      <c r="BU68" s="95"/>
      <c r="BV68" s="95"/>
      <c r="BW68" s="95"/>
      <c r="BX68" s="95"/>
      <c r="BY68" s="95"/>
      <c r="BZ68" s="95"/>
      <c r="CA68" s="95"/>
      <c r="CB68" s="95"/>
      <c r="CC68" s="95"/>
      <c r="CD68" s="95"/>
      <c r="CE68" s="95"/>
      <c r="CF68" s="95"/>
      <c r="CG68" s="95"/>
      <c r="CH68" s="95"/>
      <c r="CI68" s="95"/>
      <c r="CJ68" s="95"/>
      <c r="CK68" s="95"/>
      <c r="CL68" s="95"/>
      <c r="CM68" s="95"/>
      <c r="CN68" s="95"/>
      <c r="CO68" s="95"/>
      <c r="CP68" s="95"/>
      <c r="CQ68" s="95"/>
      <c r="CR68" s="95"/>
      <c r="CS68" s="95"/>
      <c r="CT68" s="95"/>
      <c r="CU68" s="95"/>
      <c r="CV68" s="95"/>
      <c r="CW68" s="95"/>
      <c r="CX68" s="95"/>
      <c r="CY68" s="95"/>
      <c r="CZ68" s="95"/>
      <c r="DA68" s="95"/>
      <c r="DB68" s="95"/>
      <c r="DC68" s="95"/>
      <c r="DD68" s="95"/>
      <c r="DE68" s="95"/>
      <c r="DF68" s="95"/>
    </row>
    <row r="69" spans="1:110" ht="14.25" hidden="1" customHeight="1">
      <c r="A69" s="90"/>
      <c r="B69" s="44"/>
      <c r="C69" s="44">
        <v>0</v>
      </c>
      <c r="D69" s="44">
        <v>0</v>
      </c>
      <c r="E69" s="44">
        <v>0</v>
      </c>
      <c r="F69" s="44">
        <f t="shared" si="0"/>
        <v>0</v>
      </c>
      <c r="G69" s="44">
        <f t="shared" si="48"/>
        <v>0</v>
      </c>
      <c r="H69" s="91">
        <v>0</v>
      </c>
      <c r="I69" s="91">
        <v>0</v>
      </c>
      <c r="J69" s="91">
        <v>0</v>
      </c>
      <c r="K69" s="91">
        <f t="shared" si="49"/>
        <v>0</v>
      </c>
      <c r="L69" s="91">
        <f t="shared" si="50"/>
        <v>0</v>
      </c>
      <c r="M69" s="92">
        <v>0</v>
      </c>
      <c r="N69" s="92">
        <v>0</v>
      </c>
      <c r="O69" s="92">
        <v>0</v>
      </c>
      <c r="P69" s="92">
        <f t="shared" si="51"/>
        <v>0</v>
      </c>
      <c r="Q69" s="92">
        <f t="shared" si="52"/>
        <v>0</v>
      </c>
      <c r="R69" s="93">
        <v>0</v>
      </c>
      <c r="S69" s="93">
        <v>0</v>
      </c>
      <c r="T69" s="93">
        <v>0</v>
      </c>
      <c r="U69" s="93">
        <f t="shared" si="53"/>
        <v>0</v>
      </c>
      <c r="V69" s="93">
        <f t="shared" si="54"/>
        <v>0</v>
      </c>
      <c r="W69" s="94">
        <v>0</v>
      </c>
      <c r="X69" s="94">
        <v>0</v>
      </c>
      <c r="Y69" s="94">
        <v>0</v>
      </c>
      <c r="Z69" s="94">
        <f t="shared" si="55"/>
        <v>0</v>
      </c>
      <c r="AA69" s="94">
        <f t="shared" si="56"/>
        <v>0</v>
      </c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  <c r="AN69" s="95"/>
      <c r="AO69" s="95"/>
      <c r="AP69" s="95"/>
      <c r="AQ69" s="95"/>
      <c r="AR69" s="95"/>
      <c r="AS69" s="95"/>
      <c r="AT69" s="95"/>
      <c r="AU69" s="95"/>
      <c r="AV69" s="95"/>
      <c r="AW69" s="95"/>
      <c r="AX69" s="95"/>
      <c r="AY69" s="95"/>
      <c r="AZ69" s="95"/>
      <c r="BA69" s="95"/>
      <c r="BB69" s="95"/>
      <c r="BC69" s="95"/>
      <c r="BD69" s="95"/>
      <c r="BE69" s="95"/>
      <c r="BF69" s="95"/>
      <c r="BG69" s="95"/>
      <c r="BH69" s="95"/>
      <c r="BI69" s="95"/>
      <c r="BJ69" s="95"/>
      <c r="BK69" s="95"/>
      <c r="BL69" s="95"/>
      <c r="BM69" s="95"/>
      <c r="BN69" s="95"/>
      <c r="BO69" s="95"/>
      <c r="BP69" s="95"/>
      <c r="BQ69" s="95"/>
      <c r="BR69" s="95"/>
      <c r="BS69" s="95"/>
      <c r="BT69" s="95"/>
      <c r="BU69" s="95"/>
      <c r="BV69" s="95"/>
      <c r="BW69" s="95"/>
      <c r="BX69" s="95"/>
      <c r="BY69" s="95"/>
      <c r="BZ69" s="95"/>
      <c r="CA69" s="95"/>
      <c r="CB69" s="95"/>
      <c r="CC69" s="95"/>
      <c r="CD69" s="95"/>
      <c r="CE69" s="95"/>
      <c r="CF69" s="95"/>
      <c r="CG69" s="95"/>
      <c r="CH69" s="95"/>
      <c r="CI69" s="95"/>
      <c r="CJ69" s="95"/>
      <c r="CK69" s="95"/>
      <c r="CL69" s="95"/>
      <c r="CM69" s="95"/>
      <c r="CN69" s="95"/>
      <c r="CO69" s="95"/>
      <c r="CP69" s="95"/>
      <c r="CQ69" s="95"/>
      <c r="CR69" s="95"/>
      <c r="CS69" s="95"/>
      <c r="CT69" s="95"/>
      <c r="CU69" s="95"/>
      <c r="CV69" s="95"/>
      <c r="CW69" s="95"/>
      <c r="CX69" s="95"/>
      <c r="CY69" s="95"/>
      <c r="CZ69" s="95"/>
      <c r="DA69" s="95"/>
      <c r="DB69" s="95"/>
      <c r="DC69" s="95"/>
      <c r="DD69" s="95"/>
      <c r="DE69" s="95"/>
      <c r="DF69" s="95"/>
    </row>
    <row r="70" spans="1:110" ht="14.25" hidden="1" customHeight="1">
      <c r="A70" s="90"/>
      <c r="B70" s="44"/>
      <c r="C70" s="44">
        <v>0</v>
      </c>
      <c r="D70" s="44">
        <v>0</v>
      </c>
      <c r="E70" s="44">
        <v>0</v>
      </c>
      <c r="F70" s="44">
        <f t="shared" si="0"/>
        <v>0</v>
      </c>
      <c r="G70" s="44">
        <f t="shared" si="48"/>
        <v>0</v>
      </c>
      <c r="H70" s="91">
        <v>0</v>
      </c>
      <c r="I70" s="91">
        <v>0</v>
      </c>
      <c r="J70" s="91">
        <v>0</v>
      </c>
      <c r="K70" s="91">
        <f t="shared" si="49"/>
        <v>0</v>
      </c>
      <c r="L70" s="91">
        <f t="shared" si="50"/>
        <v>0</v>
      </c>
      <c r="M70" s="92">
        <v>0</v>
      </c>
      <c r="N70" s="92">
        <v>0</v>
      </c>
      <c r="O70" s="92">
        <v>0</v>
      </c>
      <c r="P70" s="92">
        <f t="shared" si="51"/>
        <v>0</v>
      </c>
      <c r="Q70" s="92">
        <f t="shared" si="52"/>
        <v>0</v>
      </c>
      <c r="R70" s="93">
        <v>0</v>
      </c>
      <c r="S70" s="93">
        <v>0</v>
      </c>
      <c r="T70" s="93">
        <v>0</v>
      </c>
      <c r="U70" s="93">
        <f t="shared" si="53"/>
        <v>0</v>
      </c>
      <c r="V70" s="93">
        <f t="shared" si="54"/>
        <v>0</v>
      </c>
      <c r="W70" s="94">
        <v>0</v>
      </c>
      <c r="X70" s="94">
        <v>0</v>
      </c>
      <c r="Y70" s="94">
        <v>0</v>
      </c>
      <c r="Z70" s="94">
        <f t="shared" si="55"/>
        <v>0</v>
      </c>
      <c r="AA70" s="94">
        <f t="shared" si="56"/>
        <v>0</v>
      </c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/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5"/>
      <c r="BP70" s="95"/>
      <c r="BQ70" s="95"/>
      <c r="BR70" s="95"/>
      <c r="BS70" s="95"/>
      <c r="BT70" s="95"/>
      <c r="BU70" s="95"/>
      <c r="BV70" s="95"/>
      <c r="BW70" s="95"/>
      <c r="BX70" s="95"/>
      <c r="BY70" s="95"/>
      <c r="BZ70" s="95"/>
      <c r="CA70" s="95"/>
      <c r="CB70" s="95"/>
      <c r="CC70" s="95"/>
      <c r="CD70" s="95"/>
      <c r="CE70" s="95"/>
      <c r="CF70" s="95"/>
      <c r="CG70" s="95"/>
      <c r="CH70" s="95"/>
      <c r="CI70" s="95"/>
      <c r="CJ70" s="95"/>
      <c r="CK70" s="95"/>
      <c r="CL70" s="95"/>
      <c r="CM70" s="95"/>
      <c r="CN70" s="95"/>
      <c r="CO70" s="95"/>
      <c r="CP70" s="95"/>
      <c r="CQ70" s="95"/>
      <c r="CR70" s="95"/>
      <c r="CS70" s="95"/>
      <c r="CT70" s="95"/>
      <c r="CU70" s="95"/>
      <c r="CV70" s="95"/>
      <c r="CW70" s="95"/>
      <c r="CX70" s="95"/>
      <c r="CY70" s="95"/>
      <c r="CZ70" s="95"/>
      <c r="DA70" s="95"/>
      <c r="DB70" s="95"/>
      <c r="DC70" s="95"/>
      <c r="DD70" s="95"/>
      <c r="DE70" s="95"/>
      <c r="DF70" s="95"/>
    </row>
    <row r="71" spans="1:110" ht="14.25" hidden="1" customHeight="1">
      <c r="A71" s="90"/>
      <c r="B71" s="44"/>
      <c r="C71" s="44">
        <v>0</v>
      </c>
      <c r="D71" s="44">
        <v>0</v>
      </c>
      <c r="E71" s="44">
        <v>0</v>
      </c>
      <c r="F71" s="44">
        <f t="shared" si="0"/>
        <v>0</v>
      </c>
      <c r="G71" s="44">
        <f t="shared" si="48"/>
        <v>0</v>
      </c>
      <c r="H71" s="91">
        <v>0</v>
      </c>
      <c r="I71" s="91">
        <v>0</v>
      </c>
      <c r="J71" s="91">
        <v>0</v>
      </c>
      <c r="K71" s="91">
        <f t="shared" si="49"/>
        <v>0</v>
      </c>
      <c r="L71" s="91">
        <f t="shared" si="50"/>
        <v>0</v>
      </c>
      <c r="M71" s="92">
        <v>0</v>
      </c>
      <c r="N71" s="92">
        <v>0</v>
      </c>
      <c r="O71" s="92">
        <v>0</v>
      </c>
      <c r="P71" s="92">
        <f t="shared" si="51"/>
        <v>0</v>
      </c>
      <c r="Q71" s="92">
        <f t="shared" si="52"/>
        <v>0</v>
      </c>
      <c r="R71" s="93">
        <v>0</v>
      </c>
      <c r="S71" s="93">
        <v>0</v>
      </c>
      <c r="T71" s="93">
        <v>0</v>
      </c>
      <c r="U71" s="93">
        <f t="shared" si="53"/>
        <v>0</v>
      </c>
      <c r="V71" s="93">
        <f t="shared" si="54"/>
        <v>0</v>
      </c>
      <c r="W71" s="94">
        <v>0</v>
      </c>
      <c r="X71" s="94">
        <v>0</v>
      </c>
      <c r="Y71" s="94">
        <v>0</v>
      </c>
      <c r="Z71" s="94">
        <f t="shared" si="55"/>
        <v>0</v>
      </c>
      <c r="AA71" s="94">
        <f t="shared" si="56"/>
        <v>0</v>
      </c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  <c r="BC71" s="95"/>
      <c r="BD71" s="95"/>
      <c r="BE71" s="95"/>
      <c r="BF71" s="95"/>
      <c r="BG71" s="95"/>
      <c r="BH71" s="95"/>
      <c r="BI71" s="95"/>
      <c r="BJ71" s="95"/>
      <c r="BK71" s="95"/>
      <c r="BL71" s="95"/>
      <c r="BM71" s="95"/>
      <c r="BN71" s="95"/>
      <c r="BO71" s="95"/>
      <c r="BP71" s="95"/>
      <c r="BQ71" s="95"/>
      <c r="BR71" s="95"/>
      <c r="BS71" s="95"/>
      <c r="BT71" s="95"/>
      <c r="BU71" s="95"/>
      <c r="BV71" s="95"/>
      <c r="BW71" s="95"/>
      <c r="BX71" s="95"/>
      <c r="BY71" s="95"/>
      <c r="BZ71" s="95"/>
      <c r="CA71" s="95"/>
      <c r="CB71" s="95"/>
      <c r="CC71" s="95"/>
      <c r="CD71" s="95"/>
      <c r="CE71" s="95"/>
      <c r="CF71" s="95"/>
      <c r="CG71" s="95"/>
      <c r="CH71" s="95"/>
      <c r="CI71" s="95"/>
      <c r="CJ71" s="95"/>
      <c r="CK71" s="95"/>
      <c r="CL71" s="95"/>
      <c r="CM71" s="95"/>
      <c r="CN71" s="95"/>
      <c r="CO71" s="95"/>
      <c r="CP71" s="95"/>
      <c r="CQ71" s="95"/>
      <c r="CR71" s="95"/>
      <c r="CS71" s="95"/>
      <c r="CT71" s="95"/>
      <c r="CU71" s="95"/>
      <c r="CV71" s="95"/>
      <c r="CW71" s="95"/>
      <c r="CX71" s="95"/>
      <c r="CY71" s="95"/>
      <c r="CZ71" s="95"/>
      <c r="DA71" s="95"/>
      <c r="DB71" s="95"/>
      <c r="DC71" s="95"/>
      <c r="DD71" s="95"/>
      <c r="DE71" s="95"/>
      <c r="DF71" s="95"/>
    </row>
    <row r="72" spans="1:110" ht="14.25" hidden="1" customHeight="1">
      <c r="A72" s="90"/>
      <c r="B72" s="44"/>
      <c r="C72" s="44">
        <v>0</v>
      </c>
      <c r="D72" s="44">
        <v>0</v>
      </c>
      <c r="E72" s="44">
        <v>0</v>
      </c>
      <c r="F72" s="44">
        <f t="shared" si="0"/>
        <v>0</v>
      </c>
      <c r="G72" s="44">
        <f t="shared" si="48"/>
        <v>0</v>
      </c>
      <c r="H72" s="91">
        <v>0</v>
      </c>
      <c r="I72" s="91">
        <v>0</v>
      </c>
      <c r="J72" s="91">
        <v>0</v>
      </c>
      <c r="K72" s="91">
        <f t="shared" si="49"/>
        <v>0</v>
      </c>
      <c r="L72" s="91">
        <f t="shared" si="50"/>
        <v>0</v>
      </c>
      <c r="M72" s="92">
        <v>0</v>
      </c>
      <c r="N72" s="92">
        <v>0</v>
      </c>
      <c r="O72" s="92">
        <v>0</v>
      </c>
      <c r="P72" s="92">
        <f t="shared" si="51"/>
        <v>0</v>
      </c>
      <c r="Q72" s="92">
        <f t="shared" si="52"/>
        <v>0</v>
      </c>
      <c r="R72" s="93">
        <v>0</v>
      </c>
      <c r="S72" s="93">
        <v>0</v>
      </c>
      <c r="T72" s="93">
        <v>0</v>
      </c>
      <c r="U72" s="93">
        <f t="shared" si="53"/>
        <v>0</v>
      </c>
      <c r="V72" s="93">
        <f t="shared" si="54"/>
        <v>0</v>
      </c>
      <c r="W72" s="94">
        <v>0</v>
      </c>
      <c r="X72" s="94">
        <v>0</v>
      </c>
      <c r="Y72" s="94">
        <v>0</v>
      </c>
      <c r="Z72" s="94">
        <f t="shared" si="55"/>
        <v>0</v>
      </c>
      <c r="AA72" s="94">
        <f t="shared" si="56"/>
        <v>0</v>
      </c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5"/>
      <c r="AO72" s="95"/>
      <c r="AP72" s="95"/>
      <c r="AQ72" s="95"/>
      <c r="AR72" s="95"/>
      <c r="AS72" s="95"/>
      <c r="AT72" s="95"/>
      <c r="AU72" s="95"/>
      <c r="AV72" s="95"/>
      <c r="AW72" s="95"/>
      <c r="AX72" s="95"/>
      <c r="AY72" s="95"/>
      <c r="AZ72" s="95"/>
      <c r="BA72" s="95"/>
      <c r="BB72" s="95"/>
      <c r="BC72" s="95"/>
      <c r="BD72" s="95"/>
      <c r="BE72" s="95"/>
      <c r="BF72" s="95"/>
      <c r="BG72" s="95"/>
      <c r="BH72" s="95"/>
      <c r="BI72" s="95"/>
      <c r="BJ72" s="95"/>
      <c r="BK72" s="95"/>
      <c r="BL72" s="95"/>
      <c r="BM72" s="95"/>
      <c r="BN72" s="95"/>
      <c r="BO72" s="95"/>
      <c r="BP72" s="95"/>
      <c r="BQ72" s="95"/>
      <c r="BR72" s="95"/>
      <c r="BS72" s="95"/>
      <c r="BT72" s="95"/>
      <c r="BU72" s="95"/>
      <c r="BV72" s="95"/>
      <c r="BW72" s="95"/>
      <c r="BX72" s="95"/>
      <c r="BY72" s="95"/>
      <c r="BZ72" s="95"/>
      <c r="CA72" s="95"/>
      <c r="CB72" s="95"/>
      <c r="CC72" s="95"/>
      <c r="CD72" s="95"/>
      <c r="CE72" s="95"/>
      <c r="CF72" s="95"/>
      <c r="CG72" s="95"/>
      <c r="CH72" s="95"/>
      <c r="CI72" s="95"/>
      <c r="CJ72" s="95"/>
      <c r="CK72" s="95"/>
      <c r="CL72" s="95"/>
      <c r="CM72" s="95"/>
      <c r="CN72" s="95"/>
      <c r="CO72" s="95"/>
      <c r="CP72" s="95"/>
      <c r="CQ72" s="95"/>
      <c r="CR72" s="95"/>
      <c r="CS72" s="95"/>
      <c r="CT72" s="95"/>
      <c r="CU72" s="95"/>
      <c r="CV72" s="95"/>
      <c r="CW72" s="95"/>
      <c r="CX72" s="95"/>
      <c r="CY72" s="95"/>
      <c r="CZ72" s="95"/>
      <c r="DA72" s="95"/>
      <c r="DB72" s="95"/>
      <c r="DC72" s="95"/>
      <c r="DD72" s="95"/>
      <c r="DE72" s="95"/>
      <c r="DF72" s="95"/>
    </row>
    <row r="73" spans="1:110" ht="14.25" hidden="1" customHeight="1">
      <c r="A73" s="90"/>
      <c r="B73" s="44"/>
      <c r="C73" s="44">
        <v>0</v>
      </c>
      <c r="D73" s="44">
        <v>0</v>
      </c>
      <c r="E73" s="44">
        <v>0</v>
      </c>
      <c r="F73" s="44">
        <f t="shared" si="0"/>
        <v>0</v>
      </c>
      <c r="G73" s="44">
        <f t="shared" si="48"/>
        <v>0</v>
      </c>
      <c r="H73" s="91">
        <v>0</v>
      </c>
      <c r="I73" s="91">
        <v>0</v>
      </c>
      <c r="J73" s="91">
        <v>0</v>
      </c>
      <c r="K73" s="91">
        <f t="shared" si="49"/>
        <v>0</v>
      </c>
      <c r="L73" s="91">
        <f t="shared" si="50"/>
        <v>0</v>
      </c>
      <c r="M73" s="92">
        <v>0</v>
      </c>
      <c r="N73" s="92">
        <v>0</v>
      </c>
      <c r="O73" s="92">
        <v>0</v>
      </c>
      <c r="P73" s="92">
        <f t="shared" si="51"/>
        <v>0</v>
      </c>
      <c r="Q73" s="92">
        <f t="shared" si="52"/>
        <v>0</v>
      </c>
      <c r="R73" s="93">
        <v>0</v>
      </c>
      <c r="S73" s="93">
        <v>0</v>
      </c>
      <c r="T73" s="93">
        <v>0</v>
      </c>
      <c r="U73" s="93">
        <f t="shared" si="53"/>
        <v>0</v>
      </c>
      <c r="V73" s="93">
        <f t="shared" si="54"/>
        <v>0</v>
      </c>
      <c r="W73" s="94">
        <v>0</v>
      </c>
      <c r="X73" s="94">
        <v>0</v>
      </c>
      <c r="Y73" s="94">
        <v>0</v>
      </c>
      <c r="Z73" s="94">
        <f t="shared" si="55"/>
        <v>0</v>
      </c>
      <c r="AA73" s="94">
        <f t="shared" si="56"/>
        <v>0</v>
      </c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BM73" s="95"/>
      <c r="BN73" s="95"/>
      <c r="BO73" s="95"/>
      <c r="BP73" s="95"/>
      <c r="BQ73" s="95"/>
      <c r="BR73" s="95"/>
      <c r="BS73" s="95"/>
      <c r="BT73" s="95"/>
      <c r="BU73" s="95"/>
      <c r="BV73" s="95"/>
      <c r="BW73" s="95"/>
      <c r="BX73" s="95"/>
      <c r="BY73" s="95"/>
      <c r="BZ73" s="95"/>
      <c r="CA73" s="95"/>
      <c r="CB73" s="95"/>
      <c r="CC73" s="95"/>
      <c r="CD73" s="95"/>
      <c r="CE73" s="95"/>
      <c r="CF73" s="95"/>
      <c r="CG73" s="95"/>
      <c r="CH73" s="95"/>
      <c r="CI73" s="95"/>
      <c r="CJ73" s="95"/>
      <c r="CK73" s="95"/>
      <c r="CL73" s="95"/>
      <c r="CM73" s="95"/>
      <c r="CN73" s="95"/>
      <c r="CO73" s="95"/>
      <c r="CP73" s="95"/>
      <c r="CQ73" s="95"/>
      <c r="CR73" s="95"/>
      <c r="CS73" s="95"/>
      <c r="CT73" s="95"/>
      <c r="CU73" s="95"/>
      <c r="CV73" s="95"/>
      <c r="CW73" s="95"/>
      <c r="CX73" s="95"/>
      <c r="CY73" s="95"/>
      <c r="CZ73" s="95"/>
      <c r="DA73" s="95"/>
      <c r="DB73" s="95"/>
      <c r="DC73" s="95"/>
      <c r="DD73" s="95"/>
      <c r="DE73" s="95"/>
      <c r="DF73" s="95"/>
    </row>
    <row r="74" spans="1:110" ht="14.25" hidden="1" customHeight="1">
      <c r="A74" s="90"/>
      <c r="B74" s="44"/>
      <c r="C74" s="44">
        <v>0</v>
      </c>
      <c r="D74" s="44">
        <v>0</v>
      </c>
      <c r="E74" s="44">
        <v>0</v>
      </c>
      <c r="F74" s="44">
        <f t="shared" si="0"/>
        <v>0</v>
      </c>
      <c r="G74" s="44">
        <f t="shared" si="48"/>
        <v>0</v>
      </c>
      <c r="H74" s="91">
        <v>0</v>
      </c>
      <c r="I74" s="91">
        <v>0</v>
      </c>
      <c r="J74" s="91">
        <v>0</v>
      </c>
      <c r="K74" s="91">
        <f t="shared" si="49"/>
        <v>0</v>
      </c>
      <c r="L74" s="91">
        <f t="shared" si="50"/>
        <v>0</v>
      </c>
      <c r="M74" s="92">
        <v>0</v>
      </c>
      <c r="N74" s="92">
        <v>0</v>
      </c>
      <c r="O74" s="92">
        <v>0</v>
      </c>
      <c r="P74" s="92">
        <f t="shared" si="51"/>
        <v>0</v>
      </c>
      <c r="Q74" s="92">
        <f t="shared" si="52"/>
        <v>0</v>
      </c>
      <c r="R74" s="93">
        <v>0</v>
      </c>
      <c r="S74" s="93">
        <v>0</v>
      </c>
      <c r="T74" s="93">
        <v>0</v>
      </c>
      <c r="U74" s="93">
        <f t="shared" si="53"/>
        <v>0</v>
      </c>
      <c r="V74" s="93">
        <f t="shared" si="54"/>
        <v>0</v>
      </c>
      <c r="W74" s="94">
        <v>0</v>
      </c>
      <c r="X74" s="94">
        <v>0</v>
      </c>
      <c r="Y74" s="94">
        <v>0</v>
      </c>
      <c r="Z74" s="94">
        <f t="shared" si="55"/>
        <v>0</v>
      </c>
      <c r="AA74" s="94">
        <f t="shared" si="56"/>
        <v>0</v>
      </c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  <c r="BH74" s="95"/>
      <c r="BI74" s="95"/>
      <c r="BJ74" s="95"/>
      <c r="BK74" s="95"/>
      <c r="BL74" s="95"/>
      <c r="BM74" s="95"/>
      <c r="BN74" s="95"/>
      <c r="BO74" s="95"/>
      <c r="BP74" s="95"/>
      <c r="BQ74" s="95"/>
      <c r="BR74" s="95"/>
      <c r="BS74" s="95"/>
      <c r="BT74" s="95"/>
      <c r="BU74" s="95"/>
      <c r="BV74" s="95"/>
      <c r="BW74" s="95"/>
      <c r="BX74" s="95"/>
      <c r="BY74" s="95"/>
      <c r="BZ74" s="95"/>
      <c r="CA74" s="95"/>
      <c r="CB74" s="95"/>
      <c r="CC74" s="95"/>
      <c r="CD74" s="95"/>
      <c r="CE74" s="95"/>
      <c r="CF74" s="95"/>
      <c r="CG74" s="95"/>
      <c r="CH74" s="95"/>
      <c r="CI74" s="95"/>
      <c r="CJ74" s="95"/>
      <c r="CK74" s="95"/>
      <c r="CL74" s="95"/>
      <c r="CM74" s="95"/>
      <c r="CN74" s="95"/>
      <c r="CO74" s="95"/>
      <c r="CP74" s="95"/>
      <c r="CQ74" s="95"/>
      <c r="CR74" s="95"/>
      <c r="CS74" s="95"/>
      <c r="CT74" s="95"/>
      <c r="CU74" s="95"/>
      <c r="CV74" s="95"/>
      <c r="CW74" s="95"/>
      <c r="CX74" s="95"/>
      <c r="CY74" s="95"/>
      <c r="CZ74" s="95"/>
      <c r="DA74" s="95"/>
      <c r="DB74" s="95"/>
      <c r="DC74" s="95"/>
      <c r="DD74" s="95"/>
      <c r="DE74" s="95"/>
      <c r="DF74" s="95"/>
    </row>
    <row r="75" spans="1:110" ht="14.25" hidden="1" customHeight="1">
      <c r="A75" s="90"/>
      <c r="B75" s="44"/>
      <c r="C75" s="44">
        <v>0</v>
      </c>
      <c r="D75" s="44">
        <v>0</v>
      </c>
      <c r="E75" s="44">
        <v>0</v>
      </c>
      <c r="F75" s="44">
        <f t="shared" si="0"/>
        <v>0</v>
      </c>
      <c r="G75" s="44">
        <f t="shared" si="48"/>
        <v>0</v>
      </c>
      <c r="H75" s="91">
        <v>0</v>
      </c>
      <c r="I75" s="91">
        <v>0</v>
      </c>
      <c r="J75" s="91">
        <v>0</v>
      </c>
      <c r="K75" s="91">
        <f t="shared" si="49"/>
        <v>0</v>
      </c>
      <c r="L75" s="91">
        <f t="shared" si="50"/>
        <v>0</v>
      </c>
      <c r="M75" s="92">
        <v>0</v>
      </c>
      <c r="N75" s="92">
        <v>0</v>
      </c>
      <c r="O75" s="92">
        <v>0</v>
      </c>
      <c r="P75" s="92">
        <f t="shared" si="51"/>
        <v>0</v>
      </c>
      <c r="Q75" s="92">
        <f t="shared" si="52"/>
        <v>0</v>
      </c>
      <c r="R75" s="93">
        <v>0</v>
      </c>
      <c r="S75" s="93">
        <v>0</v>
      </c>
      <c r="T75" s="93">
        <v>0</v>
      </c>
      <c r="U75" s="93">
        <f t="shared" si="53"/>
        <v>0</v>
      </c>
      <c r="V75" s="93">
        <f t="shared" si="54"/>
        <v>0</v>
      </c>
      <c r="W75" s="94">
        <v>0</v>
      </c>
      <c r="X75" s="94">
        <v>0</v>
      </c>
      <c r="Y75" s="94">
        <v>0</v>
      </c>
      <c r="Z75" s="94">
        <f t="shared" si="55"/>
        <v>0</v>
      </c>
      <c r="AA75" s="94">
        <f t="shared" si="56"/>
        <v>0</v>
      </c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5"/>
      <c r="AO75" s="95"/>
      <c r="AP75" s="95"/>
      <c r="AQ75" s="95"/>
      <c r="AR75" s="95"/>
      <c r="AS75" s="95"/>
      <c r="AT75" s="95"/>
      <c r="AU75" s="95"/>
      <c r="AV75" s="95"/>
      <c r="AW75" s="95"/>
      <c r="AX75" s="95"/>
      <c r="AY75" s="95"/>
      <c r="AZ75" s="95"/>
      <c r="BA75" s="95"/>
      <c r="BB75" s="95"/>
      <c r="BC75" s="95"/>
      <c r="BD75" s="95"/>
      <c r="BE75" s="95"/>
      <c r="BF75" s="95"/>
      <c r="BG75" s="95"/>
      <c r="BH75" s="95"/>
      <c r="BI75" s="95"/>
      <c r="BJ75" s="95"/>
      <c r="BK75" s="95"/>
      <c r="BL75" s="95"/>
      <c r="BM75" s="95"/>
      <c r="BN75" s="95"/>
      <c r="BO75" s="95"/>
      <c r="BP75" s="95"/>
      <c r="BQ75" s="95"/>
      <c r="BR75" s="95"/>
      <c r="BS75" s="95"/>
      <c r="BT75" s="95"/>
      <c r="BU75" s="95"/>
      <c r="BV75" s="95"/>
      <c r="BW75" s="95"/>
      <c r="BX75" s="95"/>
      <c r="BY75" s="95"/>
      <c r="BZ75" s="95"/>
      <c r="CA75" s="95"/>
      <c r="CB75" s="95"/>
      <c r="CC75" s="95"/>
      <c r="CD75" s="95"/>
      <c r="CE75" s="95"/>
      <c r="CF75" s="95"/>
      <c r="CG75" s="95"/>
      <c r="CH75" s="95"/>
      <c r="CI75" s="95"/>
      <c r="CJ75" s="95"/>
      <c r="CK75" s="95"/>
      <c r="CL75" s="95"/>
      <c r="CM75" s="95"/>
      <c r="CN75" s="95"/>
      <c r="CO75" s="95"/>
      <c r="CP75" s="95"/>
      <c r="CQ75" s="95"/>
      <c r="CR75" s="95"/>
      <c r="CS75" s="95"/>
      <c r="CT75" s="95"/>
      <c r="CU75" s="95"/>
      <c r="CV75" s="95"/>
      <c r="CW75" s="95"/>
      <c r="CX75" s="95"/>
      <c r="CY75" s="95"/>
      <c r="CZ75" s="95"/>
      <c r="DA75" s="95"/>
      <c r="DB75" s="95"/>
      <c r="DC75" s="95"/>
      <c r="DD75" s="95"/>
      <c r="DE75" s="95"/>
      <c r="DF75" s="95"/>
    </row>
    <row r="76" spans="1:110" ht="14.25" hidden="1" customHeight="1">
      <c r="A76" s="90"/>
      <c r="B76" s="44"/>
      <c r="C76" s="44">
        <v>0</v>
      </c>
      <c r="D76" s="44">
        <v>0</v>
      </c>
      <c r="E76" s="44">
        <v>0</v>
      </c>
      <c r="F76" s="44">
        <f t="shared" si="0"/>
        <v>0</v>
      </c>
      <c r="G76" s="44">
        <f t="shared" si="48"/>
        <v>0</v>
      </c>
      <c r="H76" s="91">
        <v>0</v>
      </c>
      <c r="I76" s="91">
        <v>0</v>
      </c>
      <c r="J76" s="91">
        <v>0</v>
      </c>
      <c r="K76" s="91">
        <f t="shared" si="49"/>
        <v>0</v>
      </c>
      <c r="L76" s="91">
        <f t="shared" si="50"/>
        <v>0</v>
      </c>
      <c r="M76" s="92">
        <v>0</v>
      </c>
      <c r="N76" s="92">
        <v>0</v>
      </c>
      <c r="O76" s="92">
        <v>0</v>
      </c>
      <c r="P76" s="92">
        <f t="shared" si="51"/>
        <v>0</v>
      </c>
      <c r="Q76" s="92">
        <f t="shared" si="52"/>
        <v>0</v>
      </c>
      <c r="R76" s="93">
        <v>0</v>
      </c>
      <c r="S76" s="93">
        <v>0</v>
      </c>
      <c r="T76" s="93">
        <v>0</v>
      </c>
      <c r="U76" s="93">
        <f t="shared" si="53"/>
        <v>0</v>
      </c>
      <c r="V76" s="93">
        <f t="shared" si="54"/>
        <v>0</v>
      </c>
      <c r="W76" s="94">
        <v>0</v>
      </c>
      <c r="X76" s="94">
        <v>0</v>
      </c>
      <c r="Y76" s="94">
        <v>0</v>
      </c>
      <c r="Z76" s="94">
        <f t="shared" si="55"/>
        <v>0</v>
      </c>
      <c r="AA76" s="94">
        <f t="shared" si="56"/>
        <v>0</v>
      </c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5"/>
      <c r="AO76" s="95"/>
      <c r="AP76" s="95"/>
      <c r="AQ76" s="95"/>
      <c r="AR76" s="95"/>
      <c r="AS76" s="95"/>
      <c r="AT76" s="95"/>
      <c r="AU76" s="95"/>
      <c r="AV76" s="95"/>
      <c r="AW76" s="95"/>
      <c r="AX76" s="95"/>
      <c r="AY76" s="95"/>
      <c r="AZ76" s="95"/>
      <c r="BA76" s="95"/>
      <c r="BB76" s="95"/>
      <c r="BC76" s="95"/>
      <c r="BD76" s="95"/>
      <c r="BE76" s="95"/>
      <c r="BF76" s="95"/>
      <c r="BG76" s="95"/>
      <c r="BH76" s="95"/>
      <c r="BI76" s="95"/>
      <c r="BJ76" s="95"/>
      <c r="BK76" s="95"/>
      <c r="BL76" s="95"/>
      <c r="BM76" s="95"/>
      <c r="BN76" s="95"/>
      <c r="BO76" s="95"/>
      <c r="BP76" s="95"/>
      <c r="BQ76" s="95"/>
      <c r="BR76" s="95"/>
      <c r="BS76" s="95"/>
      <c r="BT76" s="95"/>
      <c r="BU76" s="95"/>
      <c r="BV76" s="95"/>
      <c r="BW76" s="95"/>
      <c r="BX76" s="95"/>
      <c r="BY76" s="95"/>
      <c r="BZ76" s="95"/>
      <c r="CA76" s="95"/>
      <c r="CB76" s="95"/>
      <c r="CC76" s="95"/>
      <c r="CD76" s="95"/>
      <c r="CE76" s="95"/>
      <c r="CF76" s="95"/>
      <c r="CG76" s="95"/>
      <c r="CH76" s="95"/>
      <c r="CI76" s="95"/>
      <c r="CJ76" s="95"/>
      <c r="CK76" s="95"/>
      <c r="CL76" s="95"/>
      <c r="CM76" s="95"/>
      <c r="CN76" s="95"/>
      <c r="CO76" s="95"/>
      <c r="CP76" s="95"/>
      <c r="CQ76" s="95"/>
      <c r="CR76" s="95"/>
      <c r="CS76" s="95"/>
      <c r="CT76" s="95"/>
      <c r="CU76" s="95"/>
      <c r="CV76" s="95"/>
      <c r="CW76" s="95"/>
      <c r="CX76" s="95"/>
      <c r="CY76" s="95"/>
      <c r="CZ76" s="95"/>
      <c r="DA76" s="95"/>
      <c r="DB76" s="95"/>
      <c r="DC76" s="95"/>
      <c r="DD76" s="95"/>
      <c r="DE76" s="95"/>
      <c r="DF76" s="95"/>
    </row>
    <row r="77" spans="1:110" ht="14.25" hidden="1" customHeight="1">
      <c r="A77" s="90"/>
      <c r="B77" s="44"/>
      <c r="C77" s="44">
        <v>0</v>
      </c>
      <c r="D77" s="44">
        <v>0</v>
      </c>
      <c r="E77" s="44">
        <v>0</v>
      </c>
      <c r="F77" s="44">
        <f t="shared" si="0"/>
        <v>0</v>
      </c>
      <c r="G77" s="44">
        <f t="shared" si="48"/>
        <v>0</v>
      </c>
      <c r="H77" s="91">
        <v>0</v>
      </c>
      <c r="I77" s="91">
        <v>0</v>
      </c>
      <c r="J77" s="91">
        <v>0</v>
      </c>
      <c r="K77" s="91">
        <f t="shared" si="49"/>
        <v>0</v>
      </c>
      <c r="L77" s="91">
        <f t="shared" si="50"/>
        <v>0</v>
      </c>
      <c r="M77" s="92">
        <v>0</v>
      </c>
      <c r="N77" s="92">
        <v>0</v>
      </c>
      <c r="O77" s="92">
        <v>0</v>
      </c>
      <c r="P77" s="92">
        <f t="shared" si="51"/>
        <v>0</v>
      </c>
      <c r="Q77" s="92">
        <f t="shared" si="52"/>
        <v>0</v>
      </c>
      <c r="R77" s="93">
        <v>0</v>
      </c>
      <c r="S77" s="93">
        <v>0</v>
      </c>
      <c r="T77" s="93">
        <v>0</v>
      </c>
      <c r="U77" s="93">
        <f t="shared" si="53"/>
        <v>0</v>
      </c>
      <c r="V77" s="93">
        <f t="shared" si="54"/>
        <v>0</v>
      </c>
      <c r="W77" s="94">
        <v>0</v>
      </c>
      <c r="X77" s="94">
        <v>0</v>
      </c>
      <c r="Y77" s="94">
        <v>0</v>
      </c>
      <c r="Z77" s="94">
        <f t="shared" si="55"/>
        <v>0</v>
      </c>
      <c r="AA77" s="94">
        <f t="shared" si="56"/>
        <v>0</v>
      </c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  <c r="BH77" s="95"/>
      <c r="BI77" s="95"/>
      <c r="BJ77" s="95"/>
      <c r="BK77" s="95"/>
      <c r="BL77" s="95"/>
      <c r="BM77" s="95"/>
      <c r="BN77" s="95"/>
      <c r="BO77" s="95"/>
      <c r="BP77" s="95"/>
      <c r="BQ77" s="95"/>
      <c r="BR77" s="95"/>
      <c r="BS77" s="95"/>
      <c r="BT77" s="95"/>
      <c r="BU77" s="95"/>
      <c r="BV77" s="95"/>
      <c r="BW77" s="95"/>
      <c r="BX77" s="95"/>
      <c r="BY77" s="95"/>
      <c r="BZ77" s="95"/>
      <c r="CA77" s="95"/>
      <c r="CB77" s="95"/>
      <c r="CC77" s="95"/>
      <c r="CD77" s="95"/>
      <c r="CE77" s="95"/>
      <c r="CF77" s="95"/>
      <c r="CG77" s="95"/>
      <c r="CH77" s="95"/>
      <c r="CI77" s="95"/>
      <c r="CJ77" s="95"/>
      <c r="CK77" s="95"/>
      <c r="CL77" s="95"/>
      <c r="CM77" s="95"/>
      <c r="CN77" s="95"/>
      <c r="CO77" s="95"/>
      <c r="CP77" s="95"/>
      <c r="CQ77" s="95"/>
      <c r="CR77" s="95"/>
      <c r="CS77" s="95"/>
      <c r="CT77" s="95"/>
      <c r="CU77" s="95"/>
      <c r="CV77" s="95"/>
      <c r="CW77" s="95"/>
      <c r="CX77" s="95"/>
      <c r="CY77" s="95"/>
      <c r="CZ77" s="95"/>
      <c r="DA77" s="95"/>
      <c r="DB77" s="95"/>
      <c r="DC77" s="95"/>
      <c r="DD77" s="95"/>
      <c r="DE77" s="95"/>
      <c r="DF77" s="95"/>
    </row>
    <row r="78" spans="1:110" ht="14.25" hidden="1" customHeight="1">
      <c r="A78" s="90"/>
      <c r="B78" s="44"/>
      <c r="C78" s="44">
        <v>0</v>
      </c>
      <c r="D78" s="44">
        <v>0</v>
      </c>
      <c r="E78" s="44">
        <v>0</v>
      </c>
      <c r="F78" s="44">
        <f t="shared" si="0"/>
        <v>0</v>
      </c>
      <c r="G78" s="44">
        <f t="shared" si="48"/>
        <v>0</v>
      </c>
      <c r="H78" s="91">
        <v>0</v>
      </c>
      <c r="I78" s="91">
        <v>0</v>
      </c>
      <c r="J78" s="91">
        <v>0</v>
      </c>
      <c r="K78" s="91">
        <f t="shared" si="49"/>
        <v>0</v>
      </c>
      <c r="L78" s="91">
        <f t="shared" si="50"/>
        <v>0</v>
      </c>
      <c r="M78" s="92">
        <v>0</v>
      </c>
      <c r="N78" s="92">
        <v>0</v>
      </c>
      <c r="O78" s="92">
        <v>0</v>
      </c>
      <c r="P78" s="92">
        <f t="shared" si="51"/>
        <v>0</v>
      </c>
      <c r="Q78" s="92">
        <f t="shared" si="52"/>
        <v>0</v>
      </c>
      <c r="R78" s="93">
        <v>0</v>
      </c>
      <c r="S78" s="93">
        <v>0</v>
      </c>
      <c r="T78" s="93">
        <v>0</v>
      </c>
      <c r="U78" s="93">
        <f t="shared" si="53"/>
        <v>0</v>
      </c>
      <c r="V78" s="93">
        <f t="shared" si="54"/>
        <v>0</v>
      </c>
      <c r="W78" s="94">
        <v>0</v>
      </c>
      <c r="X78" s="94">
        <v>0</v>
      </c>
      <c r="Y78" s="94">
        <v>0</v>
      </c>
      <c r="Z78" s="94">
        <f t="shared" si="55"/>
        <v>0</v>
      </c>
      <c r="AA78" s="94">
        <f t="shared" si="56"/>
        <v>0</v>
      </c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  <c r="BM78" s="95"/>
      <c r="BN78" s="95"/>
      <c r="BO78" s="95"/>
      <c r="BP78" s="95"/>
      <c r="BQ78" s="95"/>
      <c r="BR78" s="95"/>
      <c r="BS78" s="95"/>
      <c r="BT78" s="95"/>
      <c r="BU78" s="95"/>
      <c r="BV78" s="95"/>
      <c r="BW78" s="95"/>
      <c r="BX78" s="95"/>
      <c r="BY78" s="95"/>
      <c r="BZ78" s="95"/>
      <c r="CA78" s="95"/>
      <c r="CB78" s="95"/>
      <c r="CC78" s="95"/>
      <c r="CD78" s="95"/>
      <c r="CE78" s="95"/>
      <c r="CF78" s="95"/>
      <c r="CG78" s="95"/>
      <c r="CH78" s="95"/>
      <c r="CI78" s="95"/>
      <c r="CJ78" s="95"/>
      <c r="CK78" s="95"/>
      <c r="CL78" s="95"/>
      <c r="CM78" s="95"/>
      <c r="CN78" s="95"/>
      <c r="CO78" s="95"/>
      <c r="CP78" s="95"/>
      <c r="CQ78" s="95"/>
      <c r="CR78" s="95"/>
      <c r="CS78" s="95"/>
      <c r="CT78" s="95"/>
      <c r="CU78" s="95"/>
      <c r="CV78" s="95"/>
      <c r="CW78" s="95"/>
      <c r="CX78" s="95"/>
      <c r="CY78" s="95"/>
      <c r="CZ78" s="95"/>
      <c r="DA78" s="95"/>
      <c r="DB78" s="95"/>
      <c r="DC78" s="95"/>
      <c r="DD78" s="95"/>
      <c r="DE78" s="95"/>
      <c r="DF78" s="95"/>
    </row>
    <row r="79" spans="1:110" ht="14.25" hidden="1" customHeight="1">
      <c r="A79" s="90"/>
      <c r="B79" s="44"/>
      <c r="C79" s="44">
        <v>0</v>
      </c>
      <c r="D79" s="44">
        <v>0</v>
      </c>
      <c r="E79" s="44">
        <v>0</v>
      </c>
      <c r="F79" s="44">
        <f t="shared" si="0"/>
        <v>0</v>
      </c>
      <c r="G79" s="44">
        <f t="shared" si="48"/>
        <v>0</v>
      </c>
      <c r="H79" s="91">
        <v>0</v>
      </c>
      <c r="I79" s="91">
        <v>0</v>
      </c>
      <c r="J79" s="91">
        <v>0</v>
      </c>
      <c r="K79" s="91">
        <f t="shared" si="49"/>
        <v>0</v>
      </c>
      <c r="L79" s="91">
        <f t="shared" si="50"/>
        <v>0</v>
      </c>
      <c r="M79" s="92">
        <v>0</v>
      </c>
      <c r="N79" s="92">
        <v>0</v>
      </c>
      <c r="O79" s="92">
        <v>0</v>
      </c>
      <c r="P79" s="92">
        <f t="shared" si="51"/>
        <v>0</v>
      </c>
      <c r="Q79" s="92">
        <f t="shared" si="52"/>
        <v>0</v>
      </c>
      <c r="R79" s="93">
        <v>0</v>
      </c>
      <c r="S79" s="93">
        <v>0</v>
      </c>
      <c r="T79" s="93">
        <v>0</v>
      </c>
      <c r="U79" s="93">
        <f t="shared" si="53"/>
        <v>0</v>
      </c>
      <c r="V79" s="93">
        <f t="shared" si="54"/>
        <v>0</v>
      </c>
      <c r="W79" s="94">
        <v>0</v>
      </c>
      <c r="X79" s="94">
        <v>0</v>
      </c>
      <c r="Y79" s="94">
        <v>0</v>
      </c>
      <c r="Z79" s="94">
        <f t="shared" si="55"/>
        <v>0</v>
      </c>
      <c r="AA79" s="94">
        <f t="shared" si="56"/>
        <v>0</v>
      </c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5"/>
      <c r="AO79" s="95"/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  <c r="BH79" s="95"/>
      <c r="BI79" s="95"/>
      <c r="BJ79" s="95"/>
      <c r="BK79" s="95"/>
      <c r="BL79" s="95"/>
      <c r="BM79" s="95"/>
      <c r="BN79" s="95"/>
      <c r="BO79" s="95"/>
      <c r="BP79" s="95"/>
      <c r="BQ79" s="95"/>
      <c r="BR79" s="95"/>
      <c r="BS79" s="95"/>
      <c r="BT79" s="95"/>
      <c r="BU79" s="95"/>
      <c r="BV79" s="95"/>
      <c r="BW79" s="95"/>
      <c r="BX79" s="95"/>
      <c r="BY79" s="95"/>
      <c r="BZ79" s="95"/>
      <c r="CA79" s="95"/>
      <c r="CB79" s="95"/>
      <c r="CC79" s="95"/>
      <c r="CD79" s="95"/>
      <c r="CE79" s="95"/>
      <c r="CF79" s="95"/>
      <c r="CG79" s="95"/>
      <c r="CH79" s="95"/>
      <c r="CI79" s="95"/>
      <c r="CJ79" s="95"/>
      <c r="CK79" s="95"/>
      <c r="CL79" s="95"/>
      <c r="CM79" s="95"/>
      <c r="CN79" s="95"/>
      <c r="CO79" s="95"/>
      <c r="CP79" s="95"/>
      <c r="CQ79" s="95"/>
      <c r="CR79" s="95"/>
      <c r="CS79" s="95"/>
      <c r="CT79" s="95"/>
      <c r="CU79" s="95"/>
      <c r="CV79" s="95"/>
      <c r="CW79" s="95"/>
      <c r="CX79" s="95"/>
      <c r="CY79" s="95"/>
      <c r="CZ79" s="95"/>
      <c r="DA79" s="95"/>
      <c r="DB79" s="95"/>
      <c r="DC79" s="95"/>
      <c r="DD79" s="95"/>
      <c r="DE79" s="95"/>
      <c r="DF79" s="95"/>
    </row>
    <row r="80" spans="1:110" ht="14.25" hidden="1" customHeight="1">
      <c r="A80" s="90"/>
      <c r="B80" s="44"/>
      <c r="C80" s="44">
        <v>0</v>
      </c>
      <c r="D80" s="44">
        <v>0</v>
      </c>
      <c r="E80" s="44">
        <v>0</v>
      </c>
      <c r="F80" s="44">
        <f t="shared" si="0"/>
        <v>0</v>
      </c>
      <c r="G80" s="44">
        <f t="shared" si="48"/>
        <v>0</v>
      </c>
      <c r="H80" s="91">
        <v>0</v>
      </c>
      <c r="I80" s="91">
        <v>0</v>
      </c>
      <c r="J80" s="91">
        <v>0</v>
      </c>
      <c r="K80" s="91">
        <f t="shared" si="49"/>
        <v>0</v>
      </c>
      <c r="L80" s="91">
        <f t="shared" si="50"/>
        <v>0</v>
      </c>
      <c r="M80" s="92">
        <v>0</v>
      </c>
      <c r="N80" s="92">
        <v>0</v>
      </c>
      <c r="O80" s="92">
        <v>0</v>
      </c>
      <c r="P80" s="92">
        <f t="shared" si="51"/>
        <v>0</v>
      </c>
      <c r="Q80" s="92">
        <f t="shared" si="52"/>
        <v>0</v>
      </c>
      <c r="R80" s="93">
        <v>0</v>
      </c>
      <c r="S80" s="93">
        <v>0</v>
      </c>
      <c r="T80" s="93">
        <v>0</v>
      </c>
      <c r="U80" s="93">
        <f t="shared" si="53"/>
        <v>0</v>
      </c>
      <c r="V80" s="93">
        <f t="shared" si="54"/>
        <v>0</v>
      </c>
      <c r="W80" s="94">
        <v>0</v>
      </c>
      <c r="X80" s="94">
        <v>0</v>
      </c>
      <c r="Y80" s="94">
        <v>0</v>
      </c>
      <c r="Z80" s="94">
        <f t="shared" si="55"/>
        <v>0</v>
      </c>
      <c r="AA80" s="94">
        <f t="shared" si="56"/>
        <v>0</v>
      </c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  <c r="BH80" s="95"/>
      <c r="BI80" s="95"/>
      <c r="BJ80" s="95"/>
      <c r="BK80" s="95"/>
      <c r="BL80" s="95"/>
      <c r="BM80" s="95"/>
      <c r="BN80" s="95"/>
      <c r="BO80" s="95"/>
      <c r="BP80" s="95"/>
      <c r="BQ80" s="95"/>
      <c r="BR80" s="95"/>
      <c r="BS80" s="95"/>
      <c r="BT80" s="95"/>
      <c r="BU80" s="95"/>
      <c r="BV80" s="95"/>
      <c r="BW80" s="95"/>
      <c r="BX80" s="95"/>
      <c r="BY80" s="95"/>
      <c r="BZ80" s="95"/>
      <c r="CA80" s="95"/>
      <c r="CB80" s="95"/>
      <c r="CC80" s="95"/>
      <c r="CD80" s="95"/>
      <c r="CE80" s="95"/>
      <c r="CF80" s="95"/>
      <c r="CG80" s="95"/>
      <c r="CH80" s="95"/>
      <c r="CI80" s="95"/>
      <c r="CJ80" s="95"/>
      <c r="CK80" s="95"/>
      <c r="CL80" s="95"/>
      <c r="CM80" s="95"/>
      <c r="CN80" s="95"/>
      <c r="CO80" s="95"/>
      <c r="CP80" s="95"/>
      <c r="CQ80" s="95"/>
      <c r="CR80" s="95"/>
      <c r="CS80" s="95"/>
      <c r="CT80" s="95"/>
      <c r="CU80" s="95"/>
      <c r="CV80" s="95"/>
      <c r="CW80" s="95"/>
      <c r="CX80" s="95"/>
      <c r="CY80" s="95"/>
      <c r="CZ80" s="95"/>
      <c r="DA80" s="95"/>
      <c r="DB80" s="95"/>
      <c r="DC80" s="95"/>
      <c r="DD80" s="95"/>
      <c r="DE80" s="95"/>
      <c r="DF80" s="95"/>
    </row>
    <row r="81" spans="1:110" ht="14.25" hidden="1" customHeight="1">
      <c r="A81" s="90"/>
      <c r="B81" s="44"/>
      <c r="C81" s="44">
        <v>0</v>
      </c>
      <c r="D81" s="44">
        <v>0</v>
      </c>
      <c r="E81" s="44">
        <v>0</v>
      </c>
      <c r="F81" s="44">
        <f t="shared" si="0"/>
        <v>0</v>
      </c>
      <c r="G81" s="44">
        <f t="shared" si="48"/>
        <v>0</v>
      </c>
      <c r="H81" s="91">
        <v>0</v>
      </c>
      <c r="I81" s="91">
        <v>0</v>
      </c>
      <c r="J81" s="91">
        <v>0</v>
      </c>
      <c r="K81" s="91">
        <f t="shared" si="49"/>
        <v>0</v>
      </c>
      <c r="L81" s="91">
        <f t="shared" si="50"/>
        <v>0</v>
      </c>
      <c r="M81" s="92">
        <v>0</v>
      </c>
      <c r="N81" s="92">
        <v>0</v>
      </c>
      <c r="O81" s="92">
        <v>0</v>
      </c>
      <c r="P81" s="92">
        <f t="shared" si="51"/>
        <v>0</v>
      </c>
      <c r="Q81" s="92">
        <f t="shared" si="52"/>
        <v>0</v>
      </c>
      <c r="R81" s="93">
        <v>0</v>
      </c>
      <c r="S81" s="93">
        <v>0</v>
      </c>
      <c r="T81" s="93">
        <v>0</v>
      </c>
      <c r="U81" s="93">
        <f t="shared" si="53"/>
        <v>0</v>
      </c>
      <c r="V81" s="93">
        <f t="shared" si="54"/>
        <v>0</v>
      </c>
      <c r="W81" s="94">
        <v>0</v>
      </c>
      <c r="X81" s="94">
        <v>0</v>
      </c>
      <c r="Y81" s="94">
        <v>0</v>
      </c>
      <c r="Z81" s="94">
        <f t="shared" si="55"/>
        <v>0</v>
      </c>
      <c r="AA81" s="94">
        <f t="shared" si="56"/>
        <v>0</v>
      </c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5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  <c r="BM81" s="95"/>
      <c r="BN81" s="95"/>
      <c r="BO81" s="95"/>
      <c r="BP81" s="95"/>
      <c r="BQ81" s="95"/>
      <c r="BR81" s="95"/>
      <c r="BS81" s="95"/>
      <c r="BT81" s="95"/>
      <c r="BU81" s="95"/>
      <c r="BV81" s="95"/>
      <c r="BW81" s="95"/>
      <c r="BX81" s="95"/>
      <c r="BY81" s="95"/>
      <c r="BZ81" s="95"/>
      <c r="CA81" s="95"/>
      <c r="CB81" s="95"/>
      <c r="CC81" s="95"/>
      <c r="CD81" s="95"/>
      <c r="CE81" s="95"/>
      <c r="CF81" s="95"/>
      <c r="CG81" s="95"/>
      <c r="CH81" s="95"/>
      <c r="CI81" s="95"/>
      <c r="CJ81" s="95"/>
      <c r="CK81" s="95"/>
      <c r="CL81" s="95"/>
      <c r="CM81" s="95"/>
      <c r="CN81" s="95"/>
      <c r="CO81" s="95"/>
      <c r="CP81" s="95"/>
      <c r="CQ81" s="95"/>
      <c r="CR81" s="95"/>
      <c r="CS81" s="95"/>
      <c r="CT81" s="95"/>
      <c r="CU81" s="95"/>
      <c r="CV81" s="95"/>
      <c r="CW81" s="95"/>
      <c r="CX81" s="95"/>
      <c r="CY81" s="95"/>
      <c r="CZ81" s="95"/>
      <c r="DA81" s="95"/>
      <c r="DB81" s="95"/>
      <c r="DC81" s="95"/>
      <c r="DD81" s="95"/>
      <c r="DE81" s="95"/>
      <c r="DF81" s="95"/>
    </row>
    <row r="82" spans="1:110" ht="14.25" hidden="1" customHeight="1">
      <c r="A82" s="90"/>
      <c r="B82" s="44"/>
      <c r="C82" s="44">
        <v>0</v>
      </c>
      <c r="D82" s="44">
        <v>0</v>
      </c>
      <c r="E82" s="44">
        <v>0</v>
      </c>
      <c r="F82" s="44">
        <f t="shared" si="0"/>
        <v>0</v>
      </c>
      <c r="G82" s="44">
        <f t="shared" si="48"/>
        <v>0</v>
      </c>
      <c r="H82" s="91">
        <v>0</v>
      </c>
      <c r="I82" s="91">
        <v>0</v>
      </c>
      <c r="J82" s="91">
        <v>0</v>
      </c>
      <c r="K82" s="91">
        <f t="shared" si="49"/>
        <v>0</v>
      </c>
      <c r="L82" s="91">
        <f t="shared" si="50"/>
        <v>0</v>
      </c>
      <c r="M82" s="92">
        <v>0</v>
      </c>
      <c r="N82" s="92">
        <v>0</v>
      </c>
      <c r="O82" s="92">
        <v>0</v>
      </c>
      <c r="P82" s="92">
        <f t="shared" si="51"/>
        <v>0</v>
      </c>
      <c r="Q82" s="92">
        <f t="shared" si="52"/>
        <v>0</v>
      </c>
      <c r="R82" s="93">
        <v>0</v>
      </c>
      <c r="S82" s="93">
        <v>0</v>
      </c>
      <c r="T82" s="93">
        <v>0</v>
      </c>
      <c r="U82" s="93">
        <f t="shared" si="53"/>
        <v>0</v>
      </c>
      <c r="V82" s="93">
        <f t="shared" si="54"/>
        <v>0</v>
      </c>
      <c r="W82" s="94">
        <v>0</v>
      </c>
      <c r="X82" s="94">
        <v>0</v>
      </c>
      <c r="Y82" s="94">
        <v>0</v>
      </c>
      <c r="Z82" s="94">
        <f t="shared" si="55"/>
        <v>0</v>
      </c>
      <c r="AA82" s="94">
        <f t="shared" si="56"/>
        <v>0</v>
      </c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5"/>
      <c r="AO82" s="95"/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  <c r="BH82" s="95"/>
      <c r="BI82" s="95"/>
      <c r="BJ82" s="95"/>
      <c r="BK82" s="95"/>
      <c r="BL82" s="95"/>
      <c r="BM82" s="95"/>
      <c r="BN82" s="95"/>
      <c r="BO82" s="95"/>
      <c r="BP82" s="95"/>
      <c r="BQ82" s="95"/>
      <c r="BR82" s="95"/>
      <c r="BS82" s="95"/>
      <c r="BT82" s="95"/>
      <c r="BU82" s="95"/>
      <c r="BV82" s="95"/>
      <c r="BW82" s="95"/>
      <c r="BX82" s="95"/>
      <c r="BY82" s="95"/>
      <c r="BZ82" s="95"/>
      <c r="CA82" s="95"/>
      <c r="CB82" s="95"/>
      <c r="CC82" s="95"/>
      <c r="CD82" s="95"/>
      <c r="CE82" s="95"/>
      <c r="CF82" s="95"/>
      <c r="CG82" s="95"/>
      <c r="CH82" s="95"/>
      <c r="CI82" s="95"/>
      <c r="CJ82" s="95"/>
      <c r="CK82" s="95"/>
      <c r="CL82" s="95"/>
      <c r="CM82" s="95"/>
      <c r="CN82" s="95"/>
      <c r="CO82" s="95"/>
      <c r="CP82" s="95"/>
      <c r="CQ82" s="95"/>
      <c r="CR82" s="95"/>
      <c r="CS82" s="95"/>
      <c r="CT82" s="95"/>
      <c r="CU82" s="95"/>
      <c r="CV82" s="95"/>
      <c r="CW82" s="95"/>
      <c r="CX82" s="95"/>
      <c r="CY82" s="95"/>
      <c r="CZ82" s="95"/>
      <c r="DA82" s="95"/>
      <c r="DB82" s="95"/>
      <c r="DC82" s="95"/>
      <c r="DD82" s="95"/>
      <c r="DE82" s="95"/>
      <c r="DF82" s="95"/>
    </row>
    <row r="83" spans="1:110" ht="14.25" hidden="1" customHeight="1">
      <c r="A83" s="90"/>
      <c r="B83" s="44"/>
      <c r="C83" s="44">
        <v>0</v>
      </c>
      <c r="D83" s="44">
        <v>0</v>
      </c>
      <c r="E83" s="44">
        <v>0</v>
      </c>
      <c r="F83" s="44">
        <f t="shared" si="0"/>
        <v>0</v>
      </c>
      <c r="G83" s="44">
        <f t="shared" si="48"/>
        <v>0</v>
      </c>
      <c r="H83" s="91">
        <v>0</v>
      </c>
      <c r="I83" s="91">
        <v>0</v>
      </c>
      <c r="J83" s="91">
        <v>0</v>
      </c>
      <c r="K83" s="91">
        <f t="shared" si="49"/>
        <v>0</v>
      </c>
      <c r="L83" s="91">
        <f t="shared" si="50"/>
        <v>0</v>
      </c>
      <c r="M83" s="92">
        <v>0</v>
      </c>
      <c r="N83" s="92">
        <v>0</v>
      </c>
      <c r="O83" s="92">
        <v>0</v>
      </c>
      <c r="P83" s="92">
        <f t="shared" si="51"/>
        <v>0</v>
      </c>
      <c r="Q83" s="92">
        <f t="shared" si="52"/>
        <v>0</v>
      </c>
      <c r="R83" s="93">
        <v>0</v>
      </c>
      <c r="S83" s="93">
        <v>0</v>
      </c>
      <c r="T83" s="93">
        <v>0</v>
      </c>
      <c r="U83" s="93">
        <f t="shared" si="53"/>
        <v>0</v>
      </c>
      <c r="V83" s="93">
        <f t="shared" si="54"/>
        <v>0</v>
      </c>
      <c r="W83" s="94">
        <v>0</v>
      </c>
      <c r="X83" s="94">
        <v>0</v>
      </c>
      <c r="Y83" s="94">
        <v>0</v>
      </c>
      <c r="Z83" s="94">
        <f t="shared" si="55"/>
        <v>0</v>
      </c>
      <c r="AA83" s="94">
        <f t="shared" si="56"/>
        <v>0</v>
      </c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  <c r="BH83" s="95"/>
      <c r="BI83" s="95"/>
      <c r="BJ83" s="95"/>
      <c r="BK83" s="95"/>
      <c r="BL83" s="95"/>
      <c r="BM83" s="95"/>
      <c r="BN83" s="95"/>
      <c r="BO83" s="95"/>
      <c r="BP83" s="95"/>
      <c r="BQ83" s="95"/>
      <c r="BR83" s="95"/>
      <c r="BS83" s="95"/>
      <c r="BT83" s="95"/>
      <c r="BU83" s="95"/>
      <c r="BV83" s="95"/>
      <c r="BW83" s="95"/>
      <c r="BX83" s="95"/>
      <c r="BY83" s="95"/>
      <c r="BZ83" s="95"/>
      <c r="CA83" s="95"/>
      <c r="CB83" s="95"/>
      <c r="CC83" s="95"/>
      <c r="CD83" s="95"/>
      <c r="CE83" s="95"/>
      <c r="CF83" s="95"/>
      <c r="CG83" s="95"/>
      <c r="CH83" s="95"/>
      <c r="CI83" s="95"/>
      <c r="CJ83" s="95"/>
      <c r="CK83" s="95"/>
      <c r="CL83" s="95"/>
      <c r="CM83" s="95"/>
      <c r="CN83" s="95"/>
      <c r="CO83" s="95"/>
      <c r="CP83" s="95"/>
      <c r="CQ83" s="95"/>
      <c r="CR83" s="95"/>
      <c r="CS83" s="95"/>
      <c r="CT83" s="95"/>
      <c r="CU83" s="95"/>
      <c r="CV83" s="95"/>
      <c r="CW83" s="95"/>
      <c r="CX83" s="95"/>
      <c r="CY83" s="95"/>
      <c r="CZ83" s="95"/>
      <c r="DA83" s="95"/>
      <c r="DB83" s="95"/>
      <c r="DC83" s="95"/>
      <c r="DD83" s="95"/>
      <c r="DE83" s="95"/>
      <c r="DF83" s="95"/>
    </row>
    <row r="84" spans="1:110" ht="14.25" hidden="1" customHeight="1">
      <c r="A84" s="90"/>
      <c r="B84" s="44"/>
      <c r="C84" s="44">
        <v>0</v>
      </c>
      <c r="D84" s="44">
        <v>0</v>
      </c>
      <c r="E84" s="44">
        <v>0</v>
      </c>
      <c r="F84" s="44">
        <f t="shared" si="0"/>
        <v>0</v>
      </c>
      <c r="G84" s="44">
        <f t="shared" si="48"/>
        <v>0</v>
      </c>
      <c r="H84" s="91">
        <v>0</v>
      </c>
      <c r="I84" s="91">
        <v>0</v>
      </c>
      <c r="J84" s="91">
        <v>0</v>
      </c>
      <c r="K84" s="91">
        <f t="shared" si="49"/>
        <v>0</v>
      </c>
      <c r="L84" s="91">
        <f t="shared" si="50"/>
        <v>0</v>
      </c>
      <c r="M84" s="92">
        <v>0</v>
      </c>
      <c r="N84" s="92">
        <v>0</v>
      </c>
      <c r="O84" s="92">
        <v>0</v>
      </c>
      <c r="P84" s="92">
        <f t="shared" si="51"/>
        <v>0</v>
      </c>
      <c r="Q84" s="92">
        <f t="shared" si="52"/>
        <v>0</v>
      </c>
      <c r="R84" s="93">
        <v>0</v>
      </c>
      <c r="S84" s="93">
        <v>0</v>
      </c>
      <c r="T84" s="93">
        <v>0</v>
      </c>
      <c r="U84" s="93">
        <f t="shared" si="53"/>
        <v>0</v>
      </c>
      <c r="V84" s="93">
        <f t="shared" si="54"/>
        <v>0</v>
      </c>
      <c r="W84" s="94">
        <v>0</v>
      </c>
      <c r="X84" s="94">
        <v>0</v>
      </c>
      <c r="Y84" s="94">
        <v>0</v>
      </c>
      <c r="Z84" s="94">
        <f t="shared" si="55"/>
        <v>0</v>
      </c>
      <c r="AA84" s="94">
        <f t="shared" si="56"/>
        <v>0</v>
      </c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95"/>
      <c r="AS84" s="95"/>
      <c r="AT84" s="95"/>
      <c r="AU84" s="95"/>
      <c r="AV84" s="95"/>
      <c r="AW84" s="95"/>
      <c r="AX84" s="95"/>
      <c r="AY84" s="95"/>
      <c r="AZ84" s="95"/>
      <c r="BA84" s="95"/>
      <c r="BB84" s="95"/>
      <c r="BC84" s="95"/>
      <c r="BD84" s="95"/>
      <c r="BE84" s="95"/>
      <c r="BF84" s="95"/>
      <c r="BG84" s="95"/>
      <c r="BH84" s="95"/>
      <c r="BI84" s="95"/>
      <c r="BJ84" s="95"/>
      <c r="BK84" s="95"/>
      <c r="BL84" s="95"/>
      <c r="BM84" s="95"/>
      <c r="BN84" s="95"/>
      <c r="BO84" s="95"/>
      <c r="BP84" s="95"/>
      <c r="BQ84" s="95"/>
      <c r="BR84" s="95"/>
      <c r="BS84" s="95"/>
      <c r="BT84" s="95"/>
      <c r="BU84" s="95"/>
      <c r="BV84" s="95"/>
      <c r="BW84" s="95"/>
      <c r="BX84" s="95"/>
      <c r="BY84" s="95"/>
      <c r="BZ84" s="95"/>
      <c r="CA84" s="95"/>
      <c r="CB84" s="95"/>
      <c r="CC84" s="95"/>
      <c r="CD84" s="95"/>
      <c r="CE84" s="95"/>
      <c r="CF84" s="95"/>
      <c r="CG84" s="95"/>
      <c r="CH84" s="95"/>
      <c r="CI84" s="95"/>
      <c r="CJ84" s="95"/>
      <c r="CK84" s="95"/>
      <c r="CL84" s="95"/>
      <c r="CM84" s="95"/>
      <c r="CN84" s="95"/>
      <c r="CO84" s="95"/>
      <c r="CP84" s="95"/>
      <c r="CQ84" s="95"/>
      <c r="CR84" s="95"/>
      <c r="CS84" s="95"/>
      <c r="CT84" s="95"/>
      <c r="CU84" s="95"/>
      <c r="CV84" s="95"/>
      <c r="CW84" s="95"/>
      <c r="CX84" s="95"/>
      <c r="CY84" s="95"/>
      <c r="CZ84" s="95"/>
      <c r="DA84" s="95"/>
      <c r="DB84" s="95"/>
      <c r="DC84" s="95"/>
      <c r="DD84" s="95"/>
      <c r="DE84" s="95"/>
      <c r="DF84" s="95"/>
    </row>
    <row r="85" spans="1:110" ht="14.25" hidden="1" customHeight="1">
      <c r="A85" s="90"/>
      <c r="B85" s="44"/>
      <c r="C85" s="44">
        <v>0</v>
      </c>
      <c r="D85" s="44">
        <v>0</v>
      </c>
      <c r="E85" s="44">
        <v>0</v>
      </c>
      <c r="F85" s="44">
        <f t="shared" si="0"/>
        <v>0</v>
      </c>
      <c r="G85" s="44">
        <f t="shared" si="48"/>
        <v>0</v>
      </c>
      <c r="H85" s="91">
        <v>0</v>
      </c>
      <c r="I85" s="91">
        <v>0</v>
      </c>
      <c r="J85" s="91">
        <v>0</v>
      </c>
      <c r="K85" s="91">
        <f t="shared" si="49"/>
        <v>0</v>
      </c>
      <c r="L85" s="91">
        <f t="shared" si="50"/>
        <v>0</v>
      </c>
      <c r="M85" s="92">
        <v>0</v>
      </c>
      <c r="N85" s="92">
        <v>0</v>
      </c>
      <c r="O85" s="92">
        <v>0</v>
      </c>
      <c r="P85" s="92">
        <f t="shared" si="51"/>
        <v>0</v>
      </c>
      <c r="Q85" s="92">
        <f t="shared" si="52"/>
        <v>0</v>
      </c>
      <c r="R85" s="93">
        <v>0</v>
      </c>
      <c r="S85" s="93">
        <v>0</v>
      </c>
      <c r="T85" s="93">
        <v>0</v>
      </c>
      <c r="U85" s="93">
        <f t="shared" si="53"/>
        <v>0</v>
      </c>
      <c r="V85" s="93">
        <f t="shared" si="54"/>
        <v>0</v>
      </c>
      <c r="W85" s="94">
        <v>0</v>
      </c>
      <c r="X85" s="94">
        <v>0</v>
      </c>
      <c r="Y85" s="94">
        <v>0</v>
      </c>
      <c r="Z85" s="94">
        <f t="shared" si="55"/>
        <v>0</v>
      </c>
      <c r="AA85" s="94">
        <f t="shared" si="56"/>
        <v>0</v>
      </c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  <c r="BM85" s="95"/>
      <c r="BN85" s="95"/>
      <c r="BO85" s="95"/>
      <c r="BP85" s="95"/>
      <c r="BQ85" s="95"/>
      <c r="BR85" s="95"/>
      <c r="BS85" s="95"/>
      <c r="BT85" s="95"/>
      <c r="BU85" s="95"/>
      <c r="BV85" s="95"/>
      <c r="BW85" s="95"/>
      <c r="BX85" s="95"/>
      <c r="BY85" s="95"/>
      <c r="BZ85" s="95"/>
      <c r="CA85" s="95"/>
      <c r="CB85" s="95"/>
      <c r="CC85" s="95"/>
      <c r="CD85" s="95"/>
      <c r="CE85" s="95"/>
      <c r="CF85" s="95"/>
      <c r="CG85" s="95"/>
      <c r="CH85" s="95"/>
      <c r="CI85" s="95"/>
      <c r="CJ85" s="95"/>
      <c r="CK85" s="95"/>
      <c r="CL85" s="95"/>
      <c r="CM85" s="95"/>
      <c r="CN85" s="95"/>
      <c r="CO85" s="95"/>
      <c r="CP85" s="95"/>
      <c r="CQ85" s="95"/>
      <c r="CR85" s="95"/>
      <c r="CS85" s="95"/>
      <c r="CT85" s="95"/>
      <c r="CU85" s="95"/>
      <c r="CV85" s="95"/>
      <c r="CW85" s="95"/>
      <c r="CX85" s="95"/>
      <c r="CY85" s="95"/>
      <c r="CZ85" s="95"/>
      <c r="DA85" s="95"/>
      <c r="DB85" s="95"/>
      <c r="DC85" s="95"/>
      <c r="DD85" s="95"/>
      <c r="DE85" s="95"/>
      <c r="DF85" s="95"/>
    </row>
    <row r="86" spans="1:110" ht="14.25" hidden="1" customHeight="1">
      <c r="A86" s="90"/>
      <c r="B86" s="44"/>
      <c r="C86" s="44">
        <v>0</v>
      </c>
      <c r="D86" s="44">
        <v>0</v>
      </c>
      <c r="E86" s="44">
        <v>0</v>
      </c>
      <c r="F86" s="44">
        <f t="shared" si="0"/>
        <v>0</v>
      </c>
      <c r="G86" s="44">
        <f t="shared" si="48"/>
        <v>0</v>
      </c>
      <c r="H86" s="91">
        <v>0</v>
      </c>
      <c r="I86" s="91">
        <v>0</v>
      </c>
      <c r="J86" s="91">
        <v>0</v>
      </c>
      <c r="K86" s="91">
        <f t="shared" si="49"/>
        <v>0</v>
      </c>
      <c r="L86" s="91">
        <f t="shared" si="50"/>
        <v>0</v>
      </c>
      <c r="M86" s="92">
        <v>0</v>
      </c>
      <c r="N86" s="92">
        <v>0</v>
      </c>
      <c r="O86" s="92">
        <v>0</v>
      </c>
      <c r="P86" s="92">
        <f t="shared" si="51"/>
        <v>0</v>
      </c>
      <c r="Q86" s="92">
        <f t="shared" si="52"/>
        <v>0</v>
      </c>
      <c r="R86" s="93">
        <v>0</v>
      </c>
      <c r="S86" s="93">
        <v>0</v>
      </c>
      <c r="T86" s="93">
        <v>0</v>
      </c>
      <c r="U86" s="93">
        <f t="shared" si="53"/>
        <v>0</v>
      </c>
      <c r="V86" s="93">
        <f t="shared" si="54"/>
        <v>0</v>
      </c>
      <c r="W86" s="94">
        <v>0</v>
      </c>
      <c r="X86" s="94">
        <v>0</v>
      </c>
      <c r="Y86" s="94">
        <v>0</v>
      </c>
      <c r="Z86" s="94">
        <f t="shared" si="55"/>
        <v>0</v>
      </c>
      <c r="AA86" s="94">
        <f t="shared" si="56"/>
        <v>0</v>
      </c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95"/>
      <c r="AS86" s="95"/>
      <c r="AT86" s="95"/>
      <c r="AU86" s="95"/>
      <c r="AV86" s="95"/>
      <c r="AW86" s="95"/>
      <c r="AX86" s="95"/>
      <c r="AY86" s="95"/>
      <c r="AZ86" s="95"/>
      <c r="BA86" s="95"/>
      <c r="BB86" s="95"/>
      <c r="BC86" s="95"/>
      <c r="BD86" s="95"/>
      <c r="BE86" s="95"/>
      <c r="BF86" s="95"/>
      <c r="BG86" s="95"/>
      <c r="BH86" s="95"/>
      <c r="BI86" s="95"/>
      <c r="BJ86" s="95"/>
      <c r="BK86" s="95"/>
      <c r="BL86" s="95"/>
      <c r="BM86" s="95"/>
      <c r="BN86" s="95"/>
      <c r="BO86" s="95"/>
      <c r="BP86" s="95"/>
      <c r="BQ86" s="95"/>
      <c r="BR86" s="95"/>
      <c r="BS86" s="95"/>
      <c r="BT86" s="95"/>
      <c r="BU86" s="95"/>
      <c r="BV86" s="95"/>
      <c r="BW86" s="95"/>
      <c r="BX86" s="95"/>
      <c r="BY86" s="95"/>
      <c r="BZ86" s="95"/>
      <c r="CA86" s="95"/>
      <c r="CB86" s="95"/>
      <c r="CC86" s="95"/>
      <c r="CD86" s="95"/>
      <c r="CE86" s="95"/>
      <c r="CF86" s="95"/>
      <c r="CG86" s="95"/>
      <c r="CH86" s="95"/>
      <c r="CI86" s="95"/>
      <c r="CJ86" s="95"/>
      <c r="CK86" s="95"/>
      <c r="CL86" s="95"/>
      <c r="CM86" s="95"/>
      <c r="CN86" s="95"/>
      <c r="CO86" s="95"/>
      <c r="CP86" s="95"/>
      <c r="CQ86" s="95"/>
      <c r="CR86" s="95"/>
      <c r="CS86" s="95"/>
      <c r="CT86" s="95"/>
      <c r="CU86" s="95"/>
      <c r="CV86" s="95"/>
      <c r="CW86" s="95"/>
      <c r="CX86" s="95"/>
      <c r="CY86" s="95"/>
      <c r="CZ86" s="95"/>
      <c r="DA86" s="95"/>
      <c r="DB86" s="95"/>
      <c r="DC86" s="95"/>
      <c r="DD86" s="95"/>
      <c r="DE86" s="95"/>
      <c r="DF86" s="95"/>
    </row>
    <row r="87" spans="1:110" ht="14.25" hidden="1" customHeight="1">
      <c r="A87" s="90"/>
      <c r="B87" s="44"/>
      <c r="C87" s="44">
        <v>0</v>
      </c>
      <c r="D87" s="44">
        <v>0</v>
      </c>
      <c r="E87" s="44">
        <v>0</v>
      </c>
      <c r="F87" s="44">
        <f t="shared" si="0"/>
        <v>0</v>
      </c>
      <c r="G87" s="44">
        <f t="shared" si="48"/>
        <v>0</v>
      </c>
      <c r="H87" s="91">
        <v>0</v>
      </c>
      <c r="I87" s="91">
        <v>0</v>
      </c>
      <c r="J87" s="91">
        <v>0</v>
      </c>
      <c r="K87" s="91">
        <f t="shared" si="49"/>
        <v>0</v>
      </c>
      <c r="L87" s="91">
        <f t="shared" si="50"/>
        <v>0</v>
      </c>
      <c r="M87" s="92">
        <v>0</v>
      </c>
      <c r="N87" s="92">
        <v>0</v>
      </c>
      <c r="O87" s="92">
        <v>0</v>
      </c>
      <c r="P87" s="92">
        <f t="shared" si="51"/>
        <v>0</v>
      </c>
      <c r="Q87" s="92">
        <f t="shared" si="52"/>
        <v>0</v>
      </c>
      <c r="R87" s="93">
        <v>0</v>
      </c>
      <c r="S87" s="93">
        <v>0</v>
      </c>
      <c r="T87" s="93">
        <v>0</v>
      </c>
      <c r="U87" s="93">
        <f t="shared" si="53"/>
        <v>0</v>
      </c>
      <c r="V87" s="93">
        <f t="shared" si="54"/>
        <v>0</v>
      </c>
      <c r="W87" s="94">
        <v>0</v>
      </c>
      <c r="X87" s="94">
        <v>0</v>
      </c>
      <c r="Y87" s="94">
        <v>0</v>
      </c>
      <c r="Z87" s="94">
        <f t="shared" si="55"/>
        <v>0</v>
      </c>
      <c r="AA87" s="94">
        <f t="shared" si="56"/>
        <v>0</v>
      </c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95"/>
      <c r="AS87" s="95"/>
      <c r="AT87" s="95"/>
      <c r="AU87" s="95"/>
      <c r="AV87" s="95"/>
      <c r="AW87" s="95"/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95"/>
      <c r="BK87" s="95"/>
      <c r="BL87" s="95"/>
      <c r="BM87" s="95"/>
      <c r="BN87" s="95"/>
      <c r="BO87" s="95"/>
      <c r="BP87" s="95"/>
      <c r="BQ87" s="95"/>
      <c r="BR87" s="95"/>
      <c r="BS87" s="95"/>
      <c r="BT87" s="95"/>
      <c r="BU87" s="95"/>
      <c r="BV87" s="95"/>
      <c r="BW87" s="95"/>
      <c r="BX87" s="95"/>
      <c r="BY87" s="95"/>
      <c r="BZ87" s="95"/>
      <c r="CA87" s="95"/>
      <c r="CB87" s="95"/>
      <c r="CC87" s="95"/>
      <c r="CD87" s="95"/>
      <c r="CE87" s="95"/>
      <c r="CF87" s="95"/>
      <c r="CG87" s="95"/>
      <c r="CH87" s="95"/>
      <c r="CI87" s="95"/>
      <c r="CJ87" s="95"/>
      <c r="CK87" s="95"/>
      <c r="CL87" s="95"/>
      <c r="CM87" s="95"/>
      <c r="CN87" s="95"/>
      <c r="CO87" s="95"/>
      <c r="CP87" s="95"/>
      <c r="CQ87" s="95"/>
      <c r="CR87" s="95"/>
      <c r="CS87" s="95"/>
      <c r="CT87" s="95"/>
      <c r="CU87" s="95"/>
      <c r="CV87" s="95"/>
      <c r="CW87" s="95"/>
      <c r="CX87" s="95"/>
      <c r="CY87" s="95"/>
      <c r="CZ87" s="95"/>
      <c r="DA87" s="95"/>
      <c r="DB87" s="95"/>
      <c r="DC87" s="95"/>
      <c r="DD87" s="95"/>
      <c r="DE87" s="95"/>
      <c r="DF87" s="95"/>
    </row>
    <row r="88" spans="1:110" ht="14.25" hidden="1" customHeight="1">
      <c r="A88" s="90"/>
      <c r="B88" s="44"/>
      <c r="C88" s="44">
        <v>0</v>
      </c>
      <c r="D88" s="44">
        <v>0</v>
      </c>
      <c r="E88" s="44">
        <v>0</v>
      </c>
      <c r="F88" s="44">
        <f t="shared" si="0"/>
        <v>0</v>
      </c>
      <c r="G88" s="44">
        <f t="shared" si="48"/>
        <v>0</v>
      </c>
      <c r="H88" s="91">
        <v>0</v>
      </c>
      <c r="I88" s="91">
        <v>0</v>
      </c>
      <c r="J88" s="91">
        <v>0</v>
      </c>
      <c r="K88" s="91">
        <f t="shared" si="49"/>
        <v>0</v>
      </c>
      <c r="L88" s="91">
        <f t="shared" si="50"/>
        <v>0</v>
      </c>
      <c r="M88" s="92">
        <v>0</v>
      </c>
      <c r="N88" s="92">
        <v>0</v>
      </c>
      <c r="O88" s="92">
        <v>0</v>
      </c>
      <c r="P88" s="92">
        <f t="shared" si="51"/>
        <v>0</v>
      </c>
      <c r="Q88" s="92">
        <f t="shared" si="52"/>
        <v>0</v>
      </c>
      <c r="R88" s="93">
        <v>0</v>
      </c>
      <c r="S88" s="93">
        <v>0</v>
      </c>
      <c r="T88" s="93">
        <v>0</v>
      </c>
      <c r="U88" s="93">
        <f t="shared" si="53"/>
        <v>0</v>
      </c>
      <c r="V88" s="93">
        <f t="shared" si="54"/>
        <v>0</v>
      </c>
      <c r="W88" s="94">
        <v>0</v>
      </c>
      <c r="X88" s="94">
        <v>0</v>
      </c>
      <c r="Y88" s="94">
        <v>0</v>
      </c>
      <c r="Z88" s="94">
        <f t="shared" si="55"/>
        <v>0</v>
      </c>
      <c r="AA88" s="94">
        <f t="shared" si="56"/>
        <v>0</v>
      </c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95"/>
      <c r="BK88" s="95"/>
      <c r="BL88" s="95"/>
      <c r="BM88" s="95"/>
      <c r="BN88" s="95"/>
      <c r="BO88" s="95"/>
      <c r="BP88" s="95"/>
      <c r="BQ88" s="95"/>
      <c r="BR88" s="95"/>
      <c r="BS88" s="95"/>
      <c r="BT88" s="95"/>
      <c r="BU88" s="95"/>
      <c r="BV88" s="95"/>
      <c r="BW88" s="95"/>
      <c r="BX88" s="95"/>
      <c r="BY88" s="95"/>
      <c r="BZ88" s="95"/>
      <c r="CA88" s="95"/>
      <c r="CB88" s="95"/>
      <c r="CC88" s="95"/>
      <c r="CD88" s="95"/>
      <c r="CE88" s="95"/>
      <c r="CF88" s="95"/>
      <c r="CG88" s="95"/>
      <c r="CH88" s="95"/>
      <c r="CI88" s="95"/>
      <c r="CJ88" s="95"/>
      <c r="CK88" s="95"/>
      <c r="CL88" s="95"/>
      <c r="CM88" s="95"/>
      <c r="CN88" s="95"/>
      <c r="CO88" s="95"/>
      <c r="CP88" s="95"/>
      <c r="CQ88" s="95"/>
      <c r="CR88" s="95"/>
      <c r="CS88" s="95"/>
      <c r="CT88" s="95"/>
      <c r="CU88" s="95"/>
      <c r="CV88" s="95"/>
      <c r="CW88" s="95"/>
      <c r="CX88" s="95"/>
      <c r="CY88" s="95"/>
      <c r="CZ88" s="95"/>
      <c r="DA88" s="95"/>
      <c r="DB88" s="95"/>
      <c r="DC88" s="95"/>
      <c r="DD88" s="95"/>
      <c r="DE88" s="95"/>
      <c r="DF88" s="95"/>
    </row>
    <row r="89" spans="1:110" ht="14.25" hidden="1" customHeight="1">
      <c r="A89" s="90"/>
      <c r="B89" s="44"/>
      <c r="C89" s="44">
        <v>0</v>
      </c>
      <c r="D89" s="44">
        <v>0</v>
      </c>
      <c r="E89" s="44">
        <v>0</v>
      </c>
      <c r="F89" s="44">
        <f t="shared" si="0"/>
        <v>0</v>
      </c>
      <c r="G89" s="44">
        <f t="shared" si="48"/>
        <v>0</v>
      </c>
      <c r="H89" s="91">
        <v>0</v>
      </c>
      <c r="I89" s="91">
        <v>0</v>
      </c>
      <c r="J89" s="91">
        <v>0</v>
      </c>
      <c r="K89" s="91">
        <f t="shared" si="49"/>
        <v>0</v>
      </c>
      <c r="L89" s="91">
        <f t="shared" si="50"/>
        <v>0</v>
      </c>
      <c r="M89" s="92">
        <v>0</v>
      </c>
      <c r="N89" s="92">
        <v>0</v>
      </c>
      <c r="O89" s="92">
        <v>0</v>
      </c>
      <c r="P89" s="92">
        <f t="shared" si="51"/>
        <v>0</v>
      </c>
      <c r="Q89" s="92">
        <f t="shared" si="52"/>
        <v>0</v>
      </c>
      <c r="R89" s="93">
        <v>0</v>
      </c>
      <c r="S89" s="93">
        <v>0</v>
      </c>
      <c r="T89" s="93">
        <v>0</v>
      </c>
      <c r="U89" s="93">
        <f t="shared" si="53"/>
        <v>0</v>
      </c>
      <c r="V89" s="93">
        <f t="shared" si="54"/>
        <v>0</v>
      </c>
      <c r="W89" s="94">
        <v>0</v>
      </c>
      <c r="X89" s="94">
        <v>0</v>
      </c>
      <c r="Y89" s="94">
        <v>0</v>
      </c>
      <c r="Z89" s="94">
        <f t="shared" si="55"/>
        <v>0</v>
      </c>
      <c r="AA89" s="94">
        <f t="shared" si="56"/>
        <v>0</v>
      </c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95"/>
      <c r="AS89" s="95"/>
      <c r="AT89" s="95"/>
      <c r="AU89" s="95"/>
      <c r="AV89" s="95"/>
      <c r="AW89" s="95"/>
      <c r="AX89" s="95"/>
      <c r="AY89" s="95"/>
      <c r="AZ89" s="95"/>
      <c r="BA89" s="95"/>
      <c r="BB89" s="95"/>
      <c r="BC89" s="95"/>
      <c r="BD89" s="95"/>
      <c r="BE89" s="95"/>
      <c r="BF89" s="95"/>
      <c r="BG89" s="95"/>
      <c r="BH89" s="95"/>
      <c r="BI89" s="95"/>
      <c r="BJ89" s="95"/>
      <c r="BK89" s="95"/>
      <c r="BL89" s="95"/>
      <c r="BM89" s="95"/>
      <c r="BN89" s="95"/>
      <c r="BO89" s="95"/>
      <c r="BP89" s="95"/>
      <c r="BQ89" s="95"/>
      <c r="BR89" s="95"/>
      <c r="BS89" s="95"/>
      <c r="BT89" s="95"/>
      <c r="BU89" s="95"/>
      <c r="BV89" s="95"/>
      <c r="BW89" s="95"/>
      <c r="BX89" s="95"/>
      <c r="BY89" s="95"/>
      <c r="BZ89" s="95"/>
      <c r="CA89" s="95"/>
      <c r="CB89" s="95"/>
      <c r="CC89" s="95"/>
      <c r="CD89" s="95"/>
      <c r="CE89" s="95"/>
      <c r="CF89" s="95"/>
      <c r="CG89" s="95"/>
      <c r="CH89" s="95"/>
      <c r="CI89" s="95"/>
      <c r="CJ89" s="95"/>
      <c r="CK89" s="95"/>
      <c r="CL89" s="95"/>
      <c r="CM89" s="95"/>
      <c r="CN89" s="95"/>
      <c r="CO89" s="95"/>
      <c r="CP89" s="95"/>
      <c r="CQ89" s="95"/>
      <c r="CR89" s="95"/>
      <c r="CS89" s="95"/>
      <c r="CT89" s="95"/>
      <c r="CU89" s="95"/>
      <c r="CV89" s="95"/>
      <c r="CW89" s="95"/>
      <c r="CX89" s="95"/>
      <c r="CY89" s="95"/>
      <c r="CZ89" s="95"/>
      <c r="DA89" s="95"/>
      <c r="DB89" s="95"/>
      <c r="DC89" s="95"/>
      <c r="DD89" s="95"/>
      <c r="DE89" s="95"/>
      <c r="DF89" s="95"/>
    </row>
    <row r="90" spans="1:110" ht="14.25" hidden="1" customHeight="1">
      <c r="A90" s="90"/>
      <c r="B90" s="44"/>
      <c r="C90" s="44">
        <v>0</v>
      </c>
      <c r="D90" s="44">
        <v>0</v>
      </c>
      <c r="E90" s="44">
        <v>0</v>
      </c>
      <c r="F90" s="44">
        <f t="shared" si="0"/>
        <v>0</v>
      </c>
      <c r="G90" s="44">
        <f t="shared" si="48"/>
        <v>0</v>
      </c>
      <c r="H90" s="91">
        <v>0</v>
      </c>
      <c r="I90" s="91">
        <v>0</v>
      </c>
      <c r="J90" s="91">
        <v>0</v>
      </c>
      <c r="K90" s="91">
        <f t="shared" si="49"/>
        <v>0</v>
      </c>
      <c r="L90" s="91">
        <f t="shared" si="50"/>
        <v>0</v>
      </c>
      <c r="M90" s="92">
        <v>0</v>
      </c>
      <c r="N90" s="92">
        <v>0</v>
      </c>
      <c r="O90" s="92">
        <v>0</v>
      </c>
      <c r="P90" s="92">
        <f t="shared" si="51"/>
        <v>0</v>
      </c>
      <c r="Q90" s="92">
        <f t="shared" si="52"/>
        <v>0</v>
      </c>
      <c r="R90" s="93">
        <v>0</v>
      </c>
      <c r="S90" s="93">
        <v>0</v>
      </c>
      <c r="T90" s="93">
        <v>0</v>
      </c>
      <c r="U90" s="93">
        <f t="shared" si="53"/>
        <v>0</v>
      </c>
      <c r="V90" s="93">
        <f t="shared" si="54"/>
        <v>0</v>
      </c>
      <c r="W90" s="94">
        <v>0</v>
      </c>
      <c r="X90" s="94">
        <v>0</v>
      </c>
      <c r="Y90" s="94">
        <v>0</v>
      </c>
      <c r="Z90" s="94">
        <f t="shared" si="55"/>
        <v>0</v>
      </c>
      <c r="AA90" s="94">
        <f t="shared" si="56"/>
        <v>0</v>
      </c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  <c r="BH90" s="95"/>
      <c r="BI90" s="95"/>
      <c r="BJ90" s="95"/>
      <c r="BK90" s="95"/>
      <c r="BL90" s="95"/>
      <c r="BM90" s="95"/>
      <c r="BN90" s="95"/>
      <c r="BO90" s="95"/>
      <c r="BP90" s="95"/>
      <c r="BQ90" s="95"/>
      <c r="BR90" s="95"/>
      <c r="BS90" s="95"/>
      <c r="BT90" s="95"/>
      <c r="BU90" s="95"/>
      <c r="BV90" s="95"/>
      <c r="BW90" s="95"/>
      <c r="BX90" s="95"/>
      <c r="BY90" s="95"/>
      <c r="BZ90" s="95"/>
      <c r="CA90" s="95"/>
      <c r="CB90" s="95"/>
      <c r="CC90" s="95"/>
      <c r="CD90" s="95"/>
      <c r="CE90" s="95"/>
      <c r="CF90" s="95"/>
      <c r="CG90" s="95"/>
      <c r="CH90" s="95"/>
      <c r="CI90" s="95"/>
      <c r="CJ90" s="95"/>
      <c r="CK90" s="95"/>
      <c r="CL90" s="95"/>
      <c r="CM90" s="95"/>
      <c r="CN90" s="95"/>
      <c r="CO90" s="95"/>
      <c r="CP90" s="95"/>
      <c r="CQ90" s="95"/>
      <c r="CR90" s="95"/>
      <c r="CS90" s="95"/>
      <c r="CT90" s="95"/>
      <c r="CU90" s="95"/>
      <c r="CV90" s="95"/>
      <c r="CW90" s="95"/>
      <c r="CX90" s="95"/>
      <c r="CY90" s="95"/>
      <c r="CZ90" s="95"/>
      <c r="DA90" s="95"/>
      <c r="DB90" s="95"/>
      <c r="DC90" s="95"/>
      <c r="DD90" s="95"/>
      <c r="DE90" s="95"/>
      <c r="DF90" s="95"/>
    </row>
    <row r="91" spans="1:110" ht="14.25" hidden="1" customHeight="1">
      <c r="A91" s="90"/>
      <c r="B91" s="44"/>
      <c r="C91" s="44">
        <v>0</v>
      </c>
      <c r="D91" s="44">
        <v>0</v>
      </c>
      <c r="E91" s="44">
        <v>0</v>
      </c>
      <c r="F91" s="44">
        <f t="shared" si="0"/>
        <v>0</v>
      </c>
      <c r="G91" s="44">
        <f t="shared" si="48"/>
        <v>0</v>
      </c>
      <c r="H91" s="91">
        <v>0</v>
      </c>
      <c r="I91" s="91">
        <v>0</v>
      </c>
      <c r="J91" s="91">
        <v>0</v>
      </c>
      <c r="K91" s="91">
        <f t="shared" si="49"/>
        <v>0</v>
      </c>
      <c r="L91" s="91">
        <f t="shared" si="50"/>
        <v>0</v>
      </c>
      <c r="M91" s="92">
        <v>0</v>
      </c>
      <c r="N91" s="92">
        <v>0</v>
      </c>
      <c r="O91" s="92">
        <v>0</v>
      </c>
      <c r="P91" s="92">
        <f t="shared" si="51"/>
        <v>0</v>
      </c>
      <c r="Q91" s="92">
        <f t="shared" si="52"/>
        <v>0</v>
      </c>
      <c r="R91" s="93">
        <v>0</v>
      </c>
      <c r="S91" s="93">
        <v>0</v>
      </c>
      <c r="T91" s="93">
        <v>0</v>
      </c>
      <c r="U91" s="93">
        <f t="shared" si="53"/>
        <v>0</v>
      </c>
      <c r="V91" s="93">
        <f t="shared" si="54"/>
        <v>0</v>
      </c>
      <c r="W91" s="94">
        <v>0</v>
      </c>
      <c r="X91" s="94">
        <v>0</v>
      </c>
      <c r="Y91" s="94">
        <v>0</v>
      </c>
      <c r="Z91" s="94">
        <f t="shared" si="55"/>
        <v>0</v>
      </c>
      <c r="AA91" s="94">
        <f t="shared" si="56"/>
        <v>0</v>
      </c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95"/>
      <c r="AS91" s="95"/>
      <c r="AT91" s="95"/>
      <c r="AU91" s="95"/>
      <c r="AV91" s="95"/>
      <c r="AW91" s="95"/>
      <c r="AX91" s="95"/>
      <c r="AY91" s="95"/>
      <c r="AZ91" s="95"/>
      <c r="BA91" s="95"/>
      <c r="BB91" s="95"/>
      <c r="BC91" s="95"/>
      <c r="BD91" s="95"/>
      <c r="BE91" s="95"/>
      <c r="BF91" s="95"/>
      <c r="BG91" s="95"/>
      <c r="BH91" s="95"/>
      <c r="BI91" s="95"/>
      <c r="BJ91" s="95"/>
      <c r="BK91" s="95"/>
      <c r="BL91" s="95"/>
      <c r="BM91" s="95"/>
      <c r="BN91" s="95"/>
      <c r="BO91" s="95"/>
      <c r="BP91" s="95"/>
      <c r="BQ91" s="95"/>
      <c r="BR91" s="95"/>
      <c r="BS91" s="95"/>
      <c r="BT91" s="95"/>
      <c r="BU91" s="95"/>
      <c r="BV91" s="95"/>
      <c r="BW91" s="95"/>
      <c r="BX91" s="95"/>
      <c r="BY91" s="95"/>
      <c r="BZ91" s="95"/>
      <c r="CA91" s="95"/>
      <c r="CB91" s="95"/>
      <c r="CC91" s="95"/>
      <c r="CD91" s="95"/>
      <c r="CE91" s="95"/>
      <c r="CF91" s="95"/>
      <c r="CG91" s="95"/>
      <c r="CH91" s="95"/>
      <c r="CI91" s="95"/>
      <c r="CJ91" s="95"/>
      <c r="CK91" s="95"/>
      <c r="CL91" s="95"/>
      <c r="CM91" s="95"/>
      <c r="CN91" s="95"/>
      <c r="CO91" s="95"/>
      <c r="CP91" s="95"/>
      <c r="CQ91" s="95"/>
      <c r="CR91" s="95"/>
      <c r="CS91" s="95"/>
      <c r="CT91" s="95"/>
      <c r="CU91" s="95"/>
      <c r="CV91" s="95"/>
      <c r="CW91" s="95"/>
      <c r="CX91" s="95"/>
      <c r="CY91" s="95"/>
      <c r="CZ91" s="95"/>
      <c r="DA91" s="95"/>
      <c r="DB91" s="95"/>
      <c r="DC91" s="95"/>
      <c r="DD91" s="95"/>
      <c r="DE91" s="95"/>
      <c r="DF91" s="95"/>
    </row>
    <row r="92" spans="1:110" ht="14.25" hidden="1" customHeight="1">
      <c r="A92" s="90"/>
      <c r="B92" s="44"/>
      <c r="C92" s="44">
        <v>0</v>
      </c>
      <c r="D92" s="44">
        <v>0</v>
      </c>
      <c r="E92" s="44">
        <v>0</v>
      </c>
      <c r="F92" s="44">
        <f t="shared" si="0"/>
        <v>0</v>
      </c>
      <c r="G92" s="44">
        <f t="shared" si="48"/>
        <v>0</v>
      </c>
      <c r="H92" s="91">
        <v>0</v>
      </c>
      <c r="I92" s="91">
        <v>0</v>
      </c>
      <c r="J92" s="91">
        <v>0</v>
      </c>
      <c r="K92" s="91">
        <f t="shared" si="49"/>
        <v>0</v>
      </c>
      <c r="L92" s="91">
        <f t="shared" si="50"/>
        <v>0</v>
      </c>
      <c r="M92" s="92">
        <v>0</v>
      </c>
      <c r="N92" s="92">
        <v>0</v>
      </c>
      <c r="O92" s="92">
        <v>0</v>
      </c>
      <c r="P92" s="92">
        <f t="shared" si="51"/>
        <v>0</v>
      </c>
      <c r="Q92" s="92">
        <f t="shared" si="52"/>
        <v>0</v>
      </c>
      <c r="R92" s="93">
        <v>0</v>
      </c>
      <c r="S92" s="93">
        <v>0</v>
      </c>
      <c r="T92" s="93">
        <v>0</v>
      </c>
      <c r="U92" s="93">
        <f t="shared" si="53"/>
        <v>0</v>
      </c>
      <c r="V92" s="93">
        <f t="shared" si="54"/>
        <v>0</v>
      </c>
      <c r="W92" s="94">
        <v>0</v>
      </c>
      <c r="X92" s="94">
        <v>0</v>
      </c>
      <c r="Y92" s="94">
        <v>0</v>
      </c>
      <c r="Z92" s="94">
        <f t="shared" si="55"/>
        <v>0</v>
      </c>
      <c r="AA92" s="94">
        <f t="shared" si="56"/>
        <v>0</v>
      </c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  <c r="BH92" s="95"/>
      <c r="BI92" s="95"/>
      <c r="BJ92" s="95"/>
      <c r="BK92" s="95"/>
      <c r="BL92" s="95"/>
      <c r="BM92" s="95"/>
      <c r="BN92" s="95"/>
      <c r="BO92" s="95"/>
      <c r="BP92" s="95"/>
      <c r="BQ92" s="95"/>
      <c r="BR92" s="95"/>
      <c r="BS92" s="95"/>
      <c r="BT92" s="95"/>
      <c r="BU92" s="95"/>
      <c r="BV92" s="95"/>
      <c r="BW92" s="95"/>
      <c r="BX92" s="95"/>
      <c r="BY92" s="95"/>
      <c r="BZ92" s="95"/>
      <c r="CA92" s="95"/>
      <c r="CB92" s="95"/>
      <c r="CC92" s="95"/>
      <c r="CD92" s="95"/>
      <c r="CE92" s="95"/>
      <c r="CF92" s="95"/>
      <c r="CG92" s="95"/>
      <c r="CH92" s="95"/>
      <c r="CI92" s="95"/>
      <c r="CJ92" s="95"/>
      <c r="CK92" s="95"/>
      <c r="CL92" s="95"/>
      <c r="CM92" s="95"/>
      <c r="CN92" s="95"/>
      <c r="CO92" s="95"/>
      <c r="CP92" s="95"/>
      <c r="CQ92" s="95"/>
      <c r="CR92" s="95"/>
      <c r="CS92" s="95"/>
      <c r="CT92" s="95"/>
      <c r="CU92" s="95"/>
      <c r="CV92" s="95"/>
      <c r="CW92" s="95"/>
      <c r="CX92" s="95"/>
      <c r="CY92" s="95"/>
      <c r="CZ92" s="95"/>
      <c r="DA92" s="95"/>
      <c r="DB92" s="95"/>
      <c r="DC92" s="95"/>
      <c r="DD92" s="95"/>
      <c r="DE92" s="95"/>
      <c r="DF92" s="95"/>
    </row>
    <row r="93" spans="1:110" ht="14.25" hidden="1" customHeight="1">
      <c r="A93" s="90"/>
      <c r="B93" s="44"/>
      <c r="C93" s="44">
        <v>0</v>
      </c>
      <c r="D93" s="44">
        <v>0</v>
      </c>
      <c r="E93" s="44">
        <v>0</v>
      </c>
      <c r="F93" s="44">
        <f t="shared" si="0"/>
        <v>0</v>
      </c>
      <c r="G93" s="44">
        <f t="shared" si="48"/>
        <v>0</v>
      </c>
      <c r="H93" s="91">
        <v>0</v>
      </c>
      <c r="I93" s="91">
        <v>0</v>
      </c>
      <c r="J93" s="91">
        <v>0</v>
      </c>
      <c r="K93" s="91">
        <f t="shared" si="49"/>
        <v>0</v>
      </c>
      <c r="L93" s="91">
        <f t="shared" si="50"/>
        <v>0</v>
      </c>
      <c r="M93" s="92">
        <v>0</v>
      </c>
      <c r="N93" s="92">
        <v>0</v>
      </c>
      <c r="O93" s="92">
        <v>0</v>
      </c>
      <c r="P93" s="92">
        <f t="shared" si="51"/>
        <v>0</v>
      </c>
      <c r="Q93" s="92">
        <f t="shared" si="52"/>
        <v>0</v>
      </c>
      <c r="R93" s="93">
        <v>0</v>
      </c>
      <c r="S93" s="93">
        <v>0</v>
      </c>
      <c r="T93" s="93">
        <v>0</v>
      </c>
      <c r="U93" s="93">
        <f t="shared" si="53"/>
        <v>0</v>
      </c>
      <c r="V93" s="93">
        <f t="shared" si="54"/>
        <v>0</v>
      </c>
      <c r="W93" s="94">
        <v>0</v>
      </c>
      <c r="X93" s="94">
        <v>0</v>
      </c>
      <c r="Y93" s="94">
        <v>0</v>
      </c>
      <c r="Z93" s="94">
        <f t="shared" si="55"/>
        <v>0</v>
      </c>
      <c r="AA93" s="94">
        <f t="shared" si="56"/>
        <v>0</v>
      </c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5"/>
      <c r="BP93" s="95"/>
      <c r="BQ93" s="95"/>
      <c r="BR93" s="95"/>
      <c r="BS93" s="95"/>
      <c r="BT93" s="95"/>
      <c r="BU93" s="95"/>
      <c r="BV93" s="95"/>
      <c r="BW93" s="95"/>
      <c r="BX93" s="95"/>
      <c r="BY93" s="95"/>
      <c r="BZ93" s="95"/>
      <c r="CA93" s="95"/>
      <c r="CB93" s="95"/>
      <c r="CC93" s="95"/>
      <c r="CD93" s="95"/>
      <c r="CE93" s="95"/>
      <c r="CF93" s="95"/>
      <c r="CG93" s="95"/>
      <c r="CH93" s="95"/>
      <c r="CI93" s="95"/>
      <c r="CJ93" s="95"/>
      <c r="CK93" s="95"/>
      <c r="CL93" s="95"/>
      <c r="CM93" s="95"/>
      <c r="CN93" s="95"/>
      <c r="CO93" s="95"/>
      <c r="CP93" s="95"/>
      <c r="CQ93" s="95"/>
      <c r="CR93" s="95"/>
      <c r="CS93" s="95"/>
      <c r="CT93" s="95"/>
      <c r="CU93" s="95"/>
      <c r="CV93" s="95"/>
      <c r="CW93" s="95"/>
      <c r="CX93" s="95"/>
      <c r="CY93" s="95"/>
      <c r="CZ93" s="95"/>
      <c r="DA93" s="95"/>
      <c r="DB93" s="95"/>
      <c r="DC93" s="95"/>
      <c r="DD93" s="95"/>
      <c r="DE93" s="95"/>
      <c r="DF93" s="95"/>
    </row>
    <row r="94" spans="1:110" ht="14.25" hidden="1" customHeight="1">
      <c r="A94" s="90"/>
      <c r="B94" s="44"/>
      <c r="C94" s="44">
        <v>0</v>
      </c>
      <c r="D94" s="44">
        <v>0</v>
      </c>
      <c r="E94" s="44">
        <v>0</v>
      </c>
      <c r="F94" s="44">
        <f t="shared" si="0"/>
        <v>0</v>
      </c>
      <c r="G94" s="44">
        <f t="shared" si="48"/>
        <v>0</v>
      </c>
      <c r="H94" s="91">
        <v>0</v>
      </c>
      <c r="I94" s="91">
        <v>0</v>
      </c>
      <c r="J94" s="91">
        <v>0</v>
      </c>
      <c r="K94" s="91">
        <f t="shared" si="49"/>
        <v>0</v>
      </c>
      <c r="L94" s="91">
        <f t="shared" si="50"/>
        <v>0</v>
      </c>
      <c r="M94" s="92">
        <v>0</v>
      </c>
      <c r="N94" s="92">
        <v>0</v>
      </c>
      <c r="O94" s="92">
        <v>0</v>
      </c>
      <c r="P94" s="92">
        <f t="shared" si="51"/>
        <v>0</v>
      </c>
      <c r="Q94" s="92">
        <f t="shared" si="52"/>
        <v>0</v>
      </c>
      <c r="R94" s="93">
        <v>0</v>
      </c>
      <c r="S94" s="93">
        <v>0</v>
      </c>
      <c r="T94" s="93">
        <v>0</v>
      </c>
      <c r="U94" s="93">
        <f t="shared" si="53"/>
        <v>0</v>
      </c>
      <c r="V94" s="93">
        <f t="shared" si="54"/>
        <v>0</v>
      </c>
      <c r="W94" s="94">
        <v>0</v>
      </c>
      <c r="X94" s="94">
        <v>0</v>
      </c>
      <c r="Y94" s="94">
        <v>0</v>
      </c>
      <c r="Z94" s="94">
        <f t="shared" si="55"/>
        <v>0</v>
      </c>
      <c r="AA94" s="94">
        <f t="shared" si="56"/>
        <v>0</v>
      </c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5"/>
      <c r="BP94" s="95"/>
      <c r="BQ94" s="95"/>
      <c r="BR94" s="95"/>
      <c r="BS94" s="95"/>
      <c r="BT94" s="95"/>
      <c r="BU94" s="95"/>
      <c r="BV94" s="95"/>
      <c r="BW94" s="95"/>
      <c r="BX94" s="95"/>
      <c r="BY94" s="95"/>
      <c r="BZ94" s="95"/>
      <c r="CA94" s="95"/>
      <c r="CB94" s="95"/>
      <c r="CC94" s="95"/>
      <c r="CD94" s="95"/>
      <c r="CE94" s="95"/>
      <c r="CF94" s="95"/>
      <c r="CG94" s="95"/>
      <c r="CH94" s="95"/>
      <c r="CI94" s="95"/>
      <c r="CJ94" s="95"/>
      <c r="CK94" s="95"/>
      <c r="CL94" s="95"/>
      <c r="CM94" s="95"/>
      <c r="CN94" s="95"/>
      <c r="CO94" s="95"/>
      <c r="CP94" s="95"/>
      <c r="CQ94" s="95"/>
      <c r="CR94" s="95"/>
      <c r="CS94" s="95"/>
      <c r="CT94" s="95"/>
      <c r="CU94" s="95"/>
      <c r="CV94" s="95"/>
      <c r="CW94" s="95"/>
      <c r="CX94" s="95"/>
      <c r="CY94" s="95"/>
      <c r="CZ94" s="95"/>
      <c r="DA94" s="95"/>
      <c r="DB94" s="95"/>
      <c r="DC94" s="95"/>
      <c r="DD94" s="95"/>
      <c r="DE94" s="95"/>
      <c r="DF94" s="95"/>
    </row>
    <row r="95" spans="1:110" ht="14.25" hidden="1" customHeight="1">
      <c r="A95" s="90"/>
      <c r="B95" s="44"/>
      <c r="C95" s="44">
        <v>0</v>
      </c>
      <c r="D95" s="44">
        <v>0</v>
      </c>
      <c r="E95" s="44">
        <v>0</v>
      </c>
      <c r="F95" s="44">
        <f t="shared" si="0"/>
        <v>0</v>
      </c>
      <c r="G95" s="44">
        <f t="shared" si="48"/>
        <v>0</v>
      </c>
      <c r="H95" s="91">
        <v>0</v>
      </c>
      <c r="I95" s="91">
        <v>0</v>
      </c>
      <c r="J95" s="91">
        <v>0</v>
      </c>
      <c r="K95" s="91">
        <f t="shared" si="49"/>
        <v>0</v>
      </c>
      <c r="L95" s="91">
        <f t="shared" si="50"/>
        <v>0</v>
      </c>
      <c r="M95" s="92">
        <v>0</v>
      </c>
      <c r="N95" s="92">
        <v>0</v>
      </c>
      <c r="O95" s="92">
        <v>0</v>
      </c>
      <c r="P95" s="92">
        <f t="shared" si="51"/>
        <v>0</v>
      </c>
      <c r="Q95" s="92">
        <f t="shared" si="52"/>
        <v>0</v>
      </c>
      <c r="R95" s="93">
        <v>0</v>
      </c>
      <c r="S95" s="93">
        <v>0</v>
      </c>
      <c r="T95" s="93">
        <v>0</v>
      </c>
      <c r="U95" s="93">
        <f t="shared" si="53"/>
        <v>0</v>
      </c>
      <c r="V95" s="93">
        <f t="shared" si="54"/>
        <v>0</v>
      </c>
      <c r="W95" s="94">
        <v>0</v>
      </c>
      <c r="X95" s="94">
        <v>0</v>
      </c>
      <c r="Y95" s="94">
        <v>0</v>
      </c>
      <c r="Z95" s="94">
        <f t="shared" si="55"/>
        <v>0</v>
      </c>
      <c r="AA95" s="94">
        <f t="shared" si="56"/>
        <v>0</v>
      </c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95"/>
      <c r="BI95" s="95"/>
      <c r="BJ95" s="95"/>
      <c r="BK95" s="95"/>
      <c r="BL95" s="95"/>
      <c r="BM95" s="95"/>
      <c r="BN95" s="95"/>
      <c r="BO95" s="95"/>
      <c r="BP95" s="95"/>
      <c r="BQ95" s="95"/>
      <c r="BR95" s="95"/>
      <c r="BS95" s="95"/>
      <c r="BT95" s="95"/>
      <c r="BU95" s="95"/>
      <c r="BV95" s="95"/>
      <c r="BW95" s="95"/>
      <c r="BX95" s="95"/>
      <c r="BY95" s="95"/>
      <c r="BZ95" s="95"/>
      <c r="CA95" s="95"/>
      <c r="CB95" s="95"/>
      <c r="CC95" s="95"/>
      <c r="CD95" s="95"/>
      <c r="CE95" s="95"/>
      <c r="CF95" s="95"/>
      <c r="CG95" s="95"/>
      <c r="CH95" s="95"/>
      <c r="CI95" s="95"/>
      <c r="CJ95" s="95"/>
      <c r="CK95" s="95"/>
      <c r="CL95" s="95"/>
      <c r="CM95" s="95"/>
      <c r="CN95" s="95"/>
      <c r="CO95" s="95"/>
      <c r="CP95" s="95"/>
      <c r="CQ95" s="95"/>
      <c r="CR95" s="95"/>
      <c r="CS95" s="95"/>
      <c r="CT95" s="95"/>
      <c r="CU95" s="95"/>
      <c r="CV95" s="95"/>
      <c r="CW95" s="95"/>
      <c r="CX95" s="95"/>
      <c r="CY95" s="95"/>
      <c r="CZ95" s="95"/>
      <c r="DA95" s="95"/>
      <c r="DB95" s="95"/>
      <c r="DC95" s="95"/>
      <c r="DD95" s="95"/>
      <c r="DE95" s="95"/>
      <c r="DF95" s="95"/>
    </row>
    <row r="96" spans="1:110" ht="14.25" hidden="1" customHeight="1">
      <c r="A96" s="90"/>
      <c r="B96" s="44"/>
      <c r="C96" s="44">
        <v>0</v>
      </c>
      <c r="D96" s="44">
        <v>0</v>
      </c>
      <c r="E96" s="44">
        <v>0</v>
      </c>
      <c r="F96" s="44">
        <f t="shared" si="0"/>
        <v>0</v>
      </c>
      <c r="G96" s="44">
        <f t="shared" si="48"/>
        <v>0</v>
      </c>
      <c r="H96" s="91">
        <v>0</v>
      </c>
      <c r="I96" s="91">
        <v>0</v>
      </c>
      <c r="J96" s="91">
        <v>0</v>
      </c>
      <c r="K96" s="91">
        <f t="shared" si="49"/>
        <v>0</v>
      </c>
      <c r="L96" s="91">
        <f t="shared" si="50"/>
        <v>0</v>
      </c>
      <c r="M96" s="92">
        <v>0</v>
      </c>
      <c r="N96" s="92">
        <v>0</v>
      </c>
      <c r="O96" s="92">
        <v>0</v>
      </c>
      <c r="P96" s="92">
        <f t="shared" si="51"/>
        <v>0</v>
      </c>
      <c r="Q96" s="92">
        <f t="shared" si="52"/>
        <v>0</v>
      </c>
      <c r="R96" s="93">
        <v>0</v>
      </c>
      <c r="S96" s="93">
        <v>0</v>
      </c>
      <c r="T96" s="93">
        <v>0</v>
      </c>
      <c r="U96" s="93">
        <f t="shared" si="53"/>
        <v>0</v>
      </c>
      <c r="V96" s="93">
        <f t="shared" si="54"/>
        <v>0</v>
      </c>
      <c r="W96" s="94">
        <v>0</v>
      </c>
      <c r="X96" s="94">
        <v>0</v>
      </c>
      <c r="Y96" s="94">
        <v>0</v>
      </c>
      <c r="Z96" s="94">
        <f t="shared" si="55"/>
        <v>0</v>
      </c>
      <c r="AA96" s="94">
        <f t="shared" si="56"/>
        <v>0</v>
      </c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95"/>
      <c r="AS96" s="95"/>
      <c r="AT96" s="95"/>
      <c r="AU96" s="95"/>
      <c r="AV96" s="95"/>
      <c r="AW96" s="95"/>
      <c r="AX96" s="95"/>
      <c r="AY96" s="95"/>
      <c r="AZ96" s="95"/>
      <c r="BA96" s="95"/>
      <c r="BB96" s="95"/>
      <c r="BC96" s="95"/>
      <c r="BD96" s="95"/>
      <c r="BE96" s="95"/>
      <c r="BF96" s="95"/>
      <c r="BG96" s="95"/>
      <c r="BH96" s="95"/>
      <c r="BI96" s="95"/>
      <c r="BJ96" s="95"/>
      <c r="BK96" s="95"/>
      <c r="BL96" s="95"/>
      <c r="BM96" s="95"/>
      <c r="BN96" s="95"/>
      <c r="BO96" s="95"/>
      <c r="BP96" s="95"/>
      <c r="BQ96" s="95"/>
      <c r="BR96" s="95"/>
      <c r="BS96" s="95"/>
      <c r="BT96" s="95"/>
      <c r="BU96" s="95"/>
      <c r="BV96" s="95"/>
      <c r="BW96" s="95"/>
      <c r="BX96" s="95"/>
      <c r="BY96" s="95"/>
      <c r="BZ96" s="95"/>
      <c r="CA96" s="95"/>
      <c r="CB96" s="95"/>
      <c r="CC96" s="95"/>
      <c r="CD96" s="95"/>
      <c r="CE96" s="95"/>
      <c r="CF96" s="95"/>
      <c r="CG96" s="95"/>
      <c r="CH96" s="95"/>
      <c r="CI96" s="95"/>
      <c r="CJ96" s="95"/>
      <c r="CK96" s="95"/>
      <c r="CL96" s="95"/>
      <c r="CM96" s="95"/>
      <c r="CN96" s="95"/>
      <c r="CO96" s="95"/>
      <c r="CP96" s="95"/>
      <c r="CQ96" s="95"/>
      <c r="CR96" s="95"/>
      <c r="CS96" s="95"/>
      <c r="CT96" s="95"/>
      <c r="CU96" s="95"/>
      <c r="CV96" s="95"/>
      <c r="CW96" s="95"/>
      <c r="CX96" s="95"/>
      <c r="CY96" s="95"/>
      <c r="CZ96" s="95"/>
      <c r="DA96" s="95"/>
      <c r="DB96" s="95"/>
      <c r="DC96" s="95"/>
      <c r="DD96" s="95"/>
      <c r="DE96" s="95"/>
      <c r="DF96" s="95"/>
    </row>
    <row r="97" spans="1:110" ht="14.25" hidden="1" customHeight="1">
      <c r="A97" s="90"/>
      <c r="B97" s="44"/>
      <c r="C97" s="44">
        <v>0</v>
      </c>
      <c r="D97" s="44">
        <v>0</v>
      </c>
      <c r="E97" s="44">
        <v>0</v>
      </c>
      <c r="F97" s="44">
        <f t="shared" si="0"/>
        <v>0</v>
      </c>
      <c r="G97" s="44">
        <f t="shared" si="48"/>
        <v>0</v>
      </c>
      <c r="H97" s="91">
        <v>0</v>
      </c>
      <c r="I97" s="91">
        <v>0</v>
      </c>
      <c r="J97" s="91">
        <v>0</v>
      </c>
      <c r="K97" s="91">
        <f t="shared" si="49"/>
        <v>0</v>
      </c>
      <c r="L97" s="91">
        <f t="shared" si="50"/>
        <v>0</v>
      </c>
      <c r="M97" s="92">
        <v>0</v>
      </c>
      <c r="N97" s="92">
        <v>0</v>
      </c>
      <c r="O97" s="92">
        <v>0</v>
      </c>
      <c r="P97" s="92">
        <f t="shared" si="51"/>
        <v>0</v>
      </c>
      <c r="Q97" s="92">
        <f t="shared" si="52"/>
        <v>0</v>
      </c>
      <c r="R97" s="93">
        <v>0</v>
      </c>
      <c r="S97" s="93">
        <v>0</v>
      </c>
      <c r="T97" s="93">
        <v>0</v>
      </c>
      <c r="U97" s="93">
        <f t="shared" si="53"/>
        <v>0</v>
      </c>
      <c r="V97" s="93">
        <f t="shared" si="54"/>
        <v>0</v>
      </c>
      <c r="W97" s="94">
        <v>0</v>
      </c>
      <c r="X97" s="94">
        <v>0</v>
      </c>
      <c r="Y97" s="94">
        <v>0</v>
      </c>
      <c r="Z97" s="94">
        <f t="shared" si="55"/>
        <v>0</v>
      </c>
      <c r="AA97" s="94">
        <f t="shared" si="56"/>
        <v>0</v>
      </c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  <c r="BH97" s="95"/>
      <c r="BI97" s="95"/>
      <c r="BJ97" s="95"/>
      <c r="BK97" s="95"/>
      <c r="BL97" s="95"/>
      <c r="BM97" s="95"/>
      <c r="BN97" s="95"/>
      <c r="BO97" s="95"/>
      <c r="BP97" s="95"/>
      <c r="BQ97" s="95"/>
      <c r="BR97" s="95"/>
      <c r="BS97" s="95"/>
      <c r="BT97" s="95"/>
      <c r="BU97" s="95"/>
      <c r="BV97" s="95"/>
      <c r="BW97" s="95"/>
      <c r="BX97" s="95"/>
      <c r="BY97" s="95"/>
      <c r="BZ97" s="95"/>
      <c r="CA97" s="95"/>
      <c r="CB97" s="95"/>
      <c r="CC97" s="95"/>
      <c r="CD97" s="95"/>
      <c r="CE97" s="95"/>
      <c r="CF97" s="95"/>
      <c r="CG97" s="95"/>
      <c r="CH97" s="95"/>
      <c r="CI97" s="95"/>
      <c r="CJ97" s="95"/>
      <c r="CK97" s="95"/>
      <c r="CL97" s="95"/>
      <c r="CM97" s="95"/>
      <c r="CN97" s="95"/>
      <c r="CO97" s="95"/>
      <c r="CP97" s="95"/>
      <c r="CQ97" s="95"/>
      <c r="CR97" s="95"/>
      <c r="CS97" s="95"/>
      <c r="CT97" s="95"/>
      <c r="CU97" s="95"/>
      <c r="CV97" s="95"/>
      <c r="CW97" s="95"/>
      <c r="CX97" s="95"/>
      <c r="CY97" s="95"/>
      <c r="CZ97" s="95"/>
      <c r="DA97" s="95"/>
      <c r="DB97" s="95"/>
      <c r="DC97" s="95"/>
      <c r="DD97" s="95"/>
      <c r="DE97" s="95"/>
      <c r="DF97" s="95"/>
    </row>
    <row r="98" spans="1:110" ht="14.25" hidden="1" customHeight="1">
      <c r="A98" s="90"/>
      <c r="B98" s="44"/>
      <c r="C98" s="44">
        <v>0</v>
      </c>
      <c r="D98" s="44">
        <v>0</v>
      </c>
      <c r="E98" s="44">
        <v>0</v>
      </c>
      <c r="F98" s="44">
        <f t="shared" si="0"/>
        <v>0</v>
      </c>
      <c r="G98" s="44">
        <f t="shared" si="48"/>
        <v>0</v>
      </c>
      <c r="H98" s="91">
        <v>0</v>
      </c>
      <c r="I98" s="91">
        <v>0</v>
      </c>
      <c r="J98" s="91">
        <v>0</v>
      </c>
      <c r="K98" s="91">
        <f t="shared" si="49"/>
        <v>0</v>
      </c>
      <c r="L98" s="91">
        <f t="shared" si="50"/>
        <v>0</v>
      </c>
      <c r="M98" s="92">
        <v>0</v>
      </c>
      <c r="N98" s="92">
        <v>0</v>
      </c>
      <c r="O98" s="92">
        <v>0</v>
      </c>
      <c r="P98" s="92">
        <f t="shared" si="51"/>
        <v>0</v>
      </c>
      <c r="Q98" s="92">
        <f t="shared" si="52"/>
        <v>0</v>
      </c>
      <c r="R98" s="93">
        <v>0</v>
      </c>
      <c r="S98" s="93">
        <v>0</v>
      </c>
      <c r="T98" s="93">
        <v>0</v>
      </c>
      <c r="U98" s="93">
        <f t="shared" si="53"/>
        <v>0</v>
      </c>
      <c r="V98" s="93">
        <f t="shared" si="54"/>
        <v>0</v>
      </c>
      <c r="W98" s="94">
        <v>0</v>
      </c>
      <c r="X98" s="94">
        <v>0</v>
      </c>
      <c r="Y98" s="94">
        <v>0</v>
      </c>
      <c r="Z98" s="94">
        <f t="shared" si="55"/>
        <v>0</v>
      </c>
      <c r="AA98" s="94">
        <f t="shared" si="56"/>
        <v>0</v>
      </c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95"/>
      <c r="AS98" s="95"/>
      <c r="AT98" s="95"/>
      <c r="AU98" s="95"/>
      <c r="AV98" s="95"/>
      <c r="AW98" s="95"/>
      <c r="AX98" s="95"/>
      <c r="AY98" s="95"/>
      <c r="AZ98" s="95"/>
      <c r="BA98" s="95"/>
      <c r="BB98" s="95"/>
      <c r="BC98" s="95"/>
      <c r="BD98" s="95"/>
      <c r="BE98" s="95"/>
      <c r="BF98" s="95"/>
      <c r="BG98" s="95"/>
      <c r="BH98" s="95"/>
      <c r="BI98" s="95"/>
      <c r="BJ98" s="95"/>
      <c r="BK98" s="95"/>
      <c r="BL98" s="95"/>
      <c r="BM98" s="95"/>
      <c r="BN98" s="95"/>
      <c r="BO98" s="95"/>
      <c r="BP98" s="95"/>
      <c r="BQ98" s="95"/>
      <c r="BR98" s="95"/>
      <c r="BS98" s="95"/>
      <c r="BT98" s="95"/>
      <c r="BU98" s="95"/>
      <c r="BV98" s="95"/>
      <c r="BW98" s="95"/>
      <c r="BX98" s="95"/>
      <c r="BY98" s="95"/>
      <c r="BZ98" s="95"/>
      <c r="CA98" s="95"/>
      <c r="CB98" s="95"/>
      <c r="CC98" s="95"/>
      <c r="CD98" s="95"/>
      <c r="CE98" s="95"/>
      <c r="CF98" s="95"/>
      <c r="CG98" s="95"/>
      <c r="CH98" s="95"/>
      <c r="CI98" s="95"/>
      <c r="CJ98" s="95"/>
      <c r="CK98" s="95"/>
      <c r="CL98" s="95"/>
      <c r="CM98" s="95"/>
      <c r="CN98" s="95"/>
      <c r="CO98" s="95"/>
      <c r="CP98" s="95"/>
      <c r="CQ98" s="95"/>
      <c r="CR98" s="95"/>
      <c r="CS98" s="95"/>
      <c r="CT98" s="95"/>
      <c r="CU98" s="95"/>
      <c r="CV98" s="95"/>
      <c r="CW98" s="95"/>
      <c r="CX98" s="95"/>
      <c r="CY98" s="95"/>
      <c r="CZ98" s="95"/>
      <c r="DA98" s="95"/>
      <c r="DB98" s="95"/>
      <c r="DC98" s="95"/>
      <c r="DD98" s="95"/>
      <c r="DE98" s="95"/>
      <c r="DF98" s="95"/>
    </row>
    <row r="99" spans="1:110" ht="14.25" hidden="1" customHeight="1">
      <c r="A99" s="90"/>
      <c r="B99" s="44"/>
      <c r="C99" s="44">
        <v>0</v>
      </c>
      <c r="D99" s="44">
        <v>0</v>
      </c>
      <c r="E99" s="44">
        <v>0</v>
      </c>
      <c r="F99" s="44">
        <f t="shared" si="0"/>
        <v>0</v>
      </c>
      <c r="G99" s="44">
        <f t="shared" si="48"/>
        <v>0</v>
      </c>
      <c r="H99" s="91">
        <v>0</v>
      </c>
      <c r="I99" s="91">
        <v>0</v>
      </c>
      <c r="J99" s="91">
        <v>0</v>
      </c>
      <c r="K99" s="91">
        <f t="shared" si="49"/>
        <v>0</v>
      </c>
      <c r="L99" s="91">
        <f t="shared" si="50"/>
        <v>0</v>
      </c>
      <c r="M99" s="92">
        <v>0</v>
      </c>
      <c r="N99" s="92">
        <v>0</v>
      </c>
      <c r="O99" s="92">
        <v>0</v>
      </c>
      <c r="P99" s="92">
        <f t="shared" si="51"/>
        <v>0</v>
      </c>
      <c r="Q99" s="92">
        <f t="shared" si="52"/>
        <v>0</v>
      </c>
      <c r="R99" s="93">
        <v>0</v>
      </c>
      <c r="S99" s="93">
        <v>0</v>
      </c>
      <c r="T99" s="93">
        <v>0</v>
      </c>
      <c r="U99" s="93">
        <f t="shared" si="53"/>
        <v>0</v>
      </c>
      <c r="V99" s="93">
        <f t="shared" si="54"/>
        <v>0</v>
      </c>
      <c r="W99" s="94">
        <v>0</v>
      </c>
      <c r="X99" s="94">
        <v>0</v>
      </c>
      <c r="Y99" s="94">
        <v>0</v>
      </c>
      <c r="Z99" s="94">
        <f t="shared" si="55"/>
        <v>0</v>
      </c>
      <c r="AA99" s="94">
        <f t="shared" si="56"/>
        <v>0</v>
      </c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95"/>
      <c r="AS99" s="95"/>
      <c r="AT99" s="95"/>
      <c r="AU99" s="95"/>
      <c r="AV99" s="95"/>
      <c r="AW99" s="95"/>
      <c r="AX99" s="95"/>
      <c r="AY99" s="95"/>
      <c r="AZ99" s="95"/>
      <c r="BA99" s="95"/>
      <c r="BB99" s="95"/>
      <c r="BC99" s="95"/>
      <c r="BD99" s="95"/>
      <c r="BE99" s="95"/>
      <c r="BF99" s="95"/>
      <c r="BG99" s="95"/>
      <c r="BH99" s="95"/>
      <c r="BI99" s="95"/>
      <c r="BJ99" s="95"/>
      <c r="BK99" s="95"/>
      <c r="BL99" s="95"/>
      <c r="BM99" s="95"/>
      <c r="BN99" s="95"/>
      <c r="BO99" s="95"/>
      <c r="BP99" s="95"/>
      <c r="BQ99" s="95"/>
      <c r="BR99" s="95"/>
      <c r="BS99" s="95"/>
      <c r="BT99" s="95"/>
      <c r="BU99" s="95"/>
      <c r="BV99" s="95"/>
      <c r="BW99" s="95"/>
      <c r="BX99" s="95"/>
      <c r="BY99" s="95"/>
      <c r="BZ99" s="95"/>
      <c r="CA99" s="95"/>
      <c r="CB99" s="95"/>
      <c r="CC99" s="95"/>
      <c r="CD99" s="95"/>
      <c r="CE99" s="95"/>
      <c r="CF99" s="95"/>
      <c r="CG99" s="95"/>
      <c r="CH99" s="95"/>
      <c r="CI99" s="95"/>
      <c r="CJ99" s="95"/>
      <c r="CK99" s="95"/>
      <c r="CL99" s="95"/>
      <c r="CM99" s="95"/>
      <c r="CN99" s="95"/>
      <c r="CO99" s="95"/>
      <c r="CP99" s="95"/>
      <c r="CQ99" s="95"/>
      <c r="CR99" s="95"/>
      <c r="CS99" s="95"/>
      <c r="CT99" s="95"/>
      <c r="CU99" s="95"/>
      <c r="CV99" s="95"/>
      <c r="CW99" s="95"/>
      <c r="CX99" s="95"/>
      <c r="CY99" s="95"/>
      <c r="CZ99" s="95"/>
      <c r="DA99" s="95"/>
      <c r="DB99" s="95"/>
      <c r="DC99" s="95"/>
      <c r="DD99" s="95"/>
      <c r="DE99" s="95"/>
      <c r="DF99" s="95"/>
    </row>
    <row r="100" spans="1:110" ht="14.25" hidden="1" customHeight="1">
      <c r="A100" s="90"/>
      <c r="B100" s="44"/>
      <c r="C100" s="44">
        <v>0</v>
      </c>
      <c r="D100" s="44">
        <v>0</v>
      </c>
      <c r="E100" s="44">
        <v>0</v>
      </c>
      <c r="F100" s="44">
        <f t="shared" si="0"/>
        <v>0</v>
      </c>
      <c r="G100" s="44">
        <f t="shared" si="48"/>
        <v>0</v>
      </c>
      <c r="H100" s="91">
        <v>0</v>
      </c>
      <c r="I100" s="91">
        <v>0</v>
      </c>
      <c r="J100" s="91">
        <v>0</v>
      </c>
      <c r="K100" s="91">
        <f t="shared" si="49"/>
        <v>0</v>
      </c>
      <c r="L100" s="91">
        <f t="shared" si="50"/>
        <v>0</v>
      </c>
      <c r="M100" s="92">
        <v>0</v>
      </c>
      <c r="N100" s="92">
        <v>0</v>
      </c>
      <c r="O100" s="92">
        <v>0</v>
      </c>
      <c r="P100" s="92">
        <f t="shared" si="51"/>
        <v>0</v>
      </c>
      <c r="Q100" s="92">
        <f t="shared" si="52"/>
        <v>0</v>
      </c>
      <c r="R100" s="93">
        <v>0</v>
      </c>
      <c r="S100" s="93">
        <v>0</v>
      </c>
      <c r="T100" s="93">
        <v>0</v>
      </c>
      <c r="U100" s="93">
        <f t="shared" si="53"/>
        <v>0</v>
      </c>
      <c r="V100" s="93">
        <f t="shared" si="54"/>
        <v>0</v>
      </c>
      <c r="W100" s="94">
        <v>0</v>
      </c>
      <c r="X100" s="94">
        <v>0</v>
      </c>
      <c r="Y100" s="94">
        <v>0</v>
      </c>
      <c r="Z100" s="94">
        <f t="shared" si="55"/>
        <v>0</v>
      </c>
      <c r="AA100" s="94">
        <f t="shared" si="56"/>
        <v>0</v>
      </c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95"/>
      <c r="AS100" s="95"/>
      <c r="AT100" s="95"/>
      <c r="AU100" s="95"/>
      <c r="AV100" s="95"/>
      <c r="AW100" s="95"/>
      <c r="AX100" s="95"/>
      <c r="AY100" s="95"/>
      <c r="AZ100" s="95"/>
      <c r="BA100" s="95"/>
      <c r="BB100" s="95"/>
      <c r="BC100" s="95"/>
      <c r="BD100" s="95"/>
      <c r="BE100" s="95"/>
      <c r="BF100" s="95"/>
      <c r="BG100" s="95"/>
      <c r="BH100" s="95"/>
      <c r="BI100" s="95"/>
      <c r="BJ100" s="95"/>
      <c r="BK100" s="95"/>
      <c r="BL100" s="95"/>
      <c r="BM100" s="95"/>
      <c r="BN100" s="95"/>
      <c r="BO100" s="95"/>
      <c r="BP100" s="95"/>
      <c r="BQ100" s="95"/>
      <c r="BR100" s="95"/>
      <c r="BS100" s="95"/>
      <c r="BT100" s="95"/>
      <c r="BU100" s="95"/>
      <c r="BV100" s="95"/>
      <c r="BW100" s="95"/>
      <c r="BX100" s="95"/>
      <c r="BY100" s="95"/>
      <c r="BZ100" s="95"/>
      <c r="CA100" s="95"/>
      <c r="CB100" s="95"/>
      <c r="CC100" s="95"/>
      <c r="CD100" s="95"/>
      <c r="CE100" s="95"/>
      <c r="CF100" s="95"/>
      <c r="CG100" s="95"/>
      <c r="CH100" s="95"/>
      <c r="CI100" s="95"/>
      <c r="CJ100" s="95"/>
      <c r="CK100" s="95"/>
      <c r="CL100" s="95"/>
      <c r="CM100" s="95"/>
      <c r="CN100" s="95"/>
      <c r="CO100" s="95"/>
      <c r="CP100" s="95"/>
      <c r="CQ100" s="95"/>
      <c r="CR100" s="95"/>
      <c r="CS100" s="95"/>
      <c r="CT100" s="95"/>
      <c r="CU100" s="95"/>
      <c r="CV100" s="95"/>
      <c r="CW100" s="95"/>
      <c r="CX100" s="95"/>
      <c r="CY100" s="95"/>
      <c r="CZ100" s="95"/>
      <c r="DA100" s="95"/>
      <c r="DB100" s="95"/>
      <c r="DC100" s="95"/>
      <c r="DD100" s="95"/>
      <c r="DE100" s="95"/>
      <c r="DF100" s="95"/>
    </row>
    <row r="101" spans="1:110" ht="14.25" hidden="1" customHeight="1">
      <c r="A101" s="90"/>
      <c r="B101" s="44"/>
      <c r="C101" s="44">
        <v>0</v>
      </c>
      <c r="D101" s="44">
        <v>0</v>
      </c>
      <c r="E101" s="44">
        <v>0</v>
      </c>
      <c r="F101" s="44">
        <f t="shared" si="0"/>
        <v>0</v>
      </c>
      <c r="G101" s="44">
        <f t="shared" si="48"/>
        <v>0</v>
      </c>
      <c r="H101" s="91">
        <v>0</v>
      </c>
      <c r="I101" s="91">
        <v>0</v>
      </c>
      <c r="J101" s="91">
        <v>0</v>
      </c>
      <c r="K101" s="91">
        <f t="shared" si="49"/>
        <v>0</v>
      </c>
      <c r="L101" s="91">
        <f t="shared" si="50"/>
        <v>0</v>
      </c>
      <c r="M101" s="92">
        <v>0</v>
      </c>
      <c r="N101" s="92">
        <v>0</v>
      </c>
      <c r="O101" s="92">
        <v>0</v>
      </c>
      <c r="P101" s="92">
        <f t="shared" si="51"/>
        <v>0</v>
      </c>
      <c r="Q101" s="92">
        <f t="shared" si="52"/>
        <v>0</v>
      </c>
      <c r="R101" s="93">
        <v>0</v>
      </c>
      <c r="S101" s="93">
        <v>0</v>
      </c>
      <c r="T101" s="93">
        <v>0</v>
      </c>
      <c r="U101" s="93">
        <f t="shared" si="53"/>
        <v>0</v>
      </c>
      <c r="V101" s="93">
        <f t="shared" si="54"/>
        <v>0</v>
      </c>
      <c r="W101" s="94">
        <v>0</v>
      </c>
      <c r="X101" s="94">
        <v>0</v>
      </c>
      <c r="Y101" s="94">
        <v>0</v>
      </c>
      <c r="Z101" s="94">
        <f t="shared" si="55"/>
        <v>0</v>
      </c>
      <c r="AA101" s="94">
        <f t="shared" si="56"/>
        <v>0</v>
      </c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95"/>
      <c r="AS101" s="95"/>
      <c r="AT101" s="95"/>
      <c r="AU101" s="95"/>
      <c r="AV101" s="95"/>
      <c r="AW101" s="95"/>
      <c r="AX101" s="95"/>
      <c r="AY101" s="95"/>
      <c r="AZ101" s="95"/>
      <c r="BA101" s="95"/>
      <c r="BB101" s="95"/>
      <c r="BC101" s="95"/>
      <c r="BD101" s="95"/>
      <c r="BE101" s="95"/>
      <c r="BF101" s="95"/>
      <c r="BG101" s="95"/>
      <c r="BH101" s="95"/>
      <c r="BI101" s="95"/>
      <c r="BJ101" s="95"/>
      <c r="BK101" s="95"/>
      <c r="BL101" s="95"/>
      <c r="BM101" s="95"/>
      <c r="BN101" s="95"/>
      <c r="BO101" s="95"/>
      <c r="BP101" s="95"/>
      <c r="BQ101" s="95"/>
      <c r="BR101" s="95"/>
      <c r="BS101" s="95"/>
      <c r="BT101" s="95"/>
      <c r="BU101" s="95"/>
      <c r="BV101" s="95"/>
      <c r="BW101" s="95"/>
      <c r="BX101" s="95"/>
      <c r="BY101" s="95"/>
      <c r="BZ101" s="95"/>
      <c r="CA101" s="95"/>
      <c r="CB101" s="95"/>
      <c r="CC101" s="95"/>
      <c r="CD101" s="95"/>
      <c r="CE101" s="95"/>
      <c r="CF101" s="95"/>
      <c r="CG101" s="95"/>
      <c r="CH101" s="95"/>
      <c r="CI101" s="95"/>
      <c r="CJ101" s="95"/>
      <c r="CK101" s="95"/>
      <c r="CL101" s="95"/>
      <c r="CM101" s="95"/>
      <c r="CN101" s="95"/>
      <c r="CO101" s="95"/>
      <c r="CP101" s="95"/>
      <c r="CQ101" s="95"/>
      <c r="CR101" s="95"/>
      <c r="CS101" s="95"/>
      <c r="CT101" s="95"/>
      <c r="CU101" s="95"/>
      <c r="CV101" s="95"/>
      <c r="CW101" s="95"/>
      <c r="CX101" s="95"/>
      <c r="CY101" s="95"/>
      <c r="CZ101" s="95"/>
      <c r="DA101" s="95"/>
      <c r="DB101" s="95"/>
      <c r="DC101" s="95"/>
      <c r="DD101" s="95"/>
      <c r="DE101" s="95"/>
      <c r="DF101" s="95"/>
    </row>
    <row r="102" spans="1:110" ht="14.25" hidden="1" customHeight="1">
      <c r="A102" s="90"/>
      <c r="B102" s="44"/>
      <c r="C102" s="44">
        <v>0</v>
      </c>
      <c r="D102" s="44">
        <v>0</v>
      </c>
      <c r="E102" s="44">
        <v>0</v>
      </c>
      <c r="F102" s="44">
        <f t="shared" si="0"/>
        <v>0</v>
      </c>
      <c r="G102" s="44">
        <f t="shared" si="48"/>
        <v>0</v>
      </c>
      <c r="H102" s="91">
        <v>0</v>
      </c>
      <c r="I102" s="91">
        <v>0</v>
      </c>
      <c r="J102" s="91">
        <v>0</v>
      </c>
      <c r="K102" s="91">
        <f t="shared" si="49"/>
        <v>0</v>
      </c>
      <c r="L102" s="91">
        <f t="shared" si="50"/>
        <v>0</v>
      </c>
      <c r="M102" s="92">
        <v>0</v>
      </c>
      <c r="N102" s="92">
        <v>0</v>
      </c>
      <c r="O102" s="92">
        <v>0</v>
      </c>
      <c r="P102" s="92">
        <f t="shared" si="51"/>
        <v>0</v>
      </c>
      <c r="Q102" s="92">
        <f t="shared" si="52"/>
        <v>0</v>
      </c>
      <c r="R102" s="93">
        <v>0</v>
      </c>
      <c r="S102" s="93">
        <v>0</v>
      </c>
      <c r="T102" s="93">
        <v>0</v>
      </c>
      <c r="U102" s="93">
        <f t="shared" si="53"/>
        <v>0</v>
      </c>
      <c r="V102" s="93">
        <f t="shared" si="54"/>
        <v>0</v>
      </c>
      <c r="W102" s="94">
        <v>0</v>
      </c>
      <c r="X102" s="94">
        <v>0</v>
      </c>
      <c r="Y102" s="94">
        <v>0</v>
      </c>
      <c r="Z102" s="94">
        <f t="shared" si="55"/>
        <v>0</v>
      </c>
      <c r="AA102" s="94">
        <f t="shared" si="56"/>
        <v>0</v>
      </c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  <c r="BH102" s="95"/>
      <c r="BI102" s="95"/>
      <c r="BJ102" s="95"/>
      <c r="BK102" s="95"/>
      <c r="BL102" s="95"/>
      <c r="BM102" s="95"/>
      <c r="BN102" s="95"/>
      <c r="BO102" s="95"/>
      <c r="BP102" s="95"/>
      <c r="BQ102" s="95"/>
      <c r="BR102" s="95"/>
      <c r="BS102" s="95"/>
      <c r="BT102" s="95"/>
      <c r="BU102" s="95"/>
      <c r="BV102" s="95"/>
      <c r="BW102" s="95"/>
      <c r="BX102" s="95"/>
      <c r="BY102" s="95"/>
      <c r="BZ102" s="95"/>
      <c r="CA102" s="95"/>
      <c r="CB102" s="95"/>
      <c r="CC102" s="95"/>
      <c r="CD102" s="95"/>
      <c r="CE102" s="95"/>
      <c r="CF102" s="95"/>
      <c r="CG102" s="95"/>
      <c r="CH102" s="95"/>
      <c r="CI102" s="95"/>
      <c r="CJ102" s="95"/>
      <c r="CK102" s="95"/>
      <c r="CL102" s="95"/>
      <c r="CM102" s="95"/>
      <c r="CN102" s="95"/>
      <c r="CO102" s="95"/>
      <c r="CP102" s="95"/>
      <c r="CQ102" s="95"/>
      <c r="CR102" s="95"/>
      <c r="CS102" s="95"/>
      <c r="CT102" s="95"/>
      <c r="CU102" s="95"/>
      <c r="CV102" s="95"/>
      <c r="CW102" s="95"/>
      <c r="CX102" s="95"/>
      <c r="CY102" s="95"/>
      <c r="CZ102" s="95"/>
      <c r="DA102" s="95"/>
      <c r="DB102" s="95"/>
      <c r="DC102" s="95"/>
      <c r="DD102" s="95"/>
      <c r="DE102" s="95"/>
      <c r="DF102" s="95"/>
    </row>
    <row r="103" spans="1:110" ht="14.25" hidden="1" customHeight="1">
      <c r="A103" s="90"/>
      <c r="B103" s="44"/>
      <c r="C103" s="44">
        <v>0</v>
      </c>
      <c r="D103" s="44">
        <v>0</v>
      </c>
      <c r="E103" s="44">
        <v>0</v>
      </c>
      <c r="F103" s="44">
        <f t="shared" si="0"/>
        <v>0</v>
      </c>
      <c r="G103" s="44">
        <f t="shared" si="48"/>
        <v>0</v>
      </c>
      <c r="H103" s="91">
        <v>0</v>
      </c>
      <c r="I103" s="91">
        <v>0</v>
      </c>
      <c r="J103" s="91">
        <v>0</v>
      </c>
      <c r="K103" s="91">
        <f t="shared" si="49"/>
        <v>0</v>
      </c>
      <c r="L103" s="91">
        <f t="shared" si="50"/>
        <v>0</v>
      </c>
      <c r="M103" s="92">
        <v>0</v>
      </c>
      <c r="N103" s="92">
        <v>0</v>
      </c>
      <c r="O103" s="92">
        <v>0</v>
      </c>
      <c r="P103" s="92">
        <f t="shared" si="51"/>
        <v>0</v>
      </c>
      <c r="Q103" s="92">
        <f t="shared" si="52"/>
        <v>0</v>
      </c>
      <c r="R103" s="93">
        <v>0</v>
      </c>
      <c r="S103" s="93">
        <v>0</v>
      </c>
      <c r="T103" s="93">
        <v>0</v>
      </c>
      <c r="U103" s="93">
        <f t="shared" si="53"/>
        <v>0</v>
      </c>
      <c r="V103" s="93">
        <f t="shared" si="54"/>
        <v>0</v>
      </c>
      <c r="W103" s="94">
        <v>0</v>
      </c>
      <c r="X103" s="94">
        <v>0</v>
      </c>
      <c r="Y103" s="94">
        <v>0</v>
      </c>
      <c r="Z103" s="94">
        <f t="shared" si="55"/>
        <v>0</v>
      </c>
      <c r="AA103" s="94">
        <f t="shared" si="56"/>
        <v>0</v>
      </c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  <c r="BH103" s="95"/>
      <c r="BI103" s="95"/>
      <c r="BJ103" s="95"/>
      <c r="BK103" s="95"/>
      <c r="BL103" s="95"/>
      <c r="BM103" s="95"/>
      <c r="BN103" s="95"/>
      <c r="BO103" s="95"/>
      <c r="BP103" s="95"/>
      <c r="BQ103" s="95"/>
      <c r="BR103" s="95"/>
      <c r="BS103" s="95"/>
      <c r="BT103" s="95"/>
      <c r="BU103" s="95"/>
      <c r="BV103" s="95"/>
      <c r="BW103" s="95"/>
      <c r="BX103" s="95"/>
      <c r="BY103" s="95"/>
      <c r="BZ103" s="95"/>
      <c r="CA103" s="95"/>
      <c r="CB103" s="95"/>
      <c r="CC103" s="95"/>
      <c r="CD103" s="95"/>
      <c r="CE103" s="95"/>
      <c r="CF103" s="95"/>
      <c r="CG103" s="95"/>
      <c r="CH103" s="95"/>
      <c r="CI103" s="95"/>
      <c r="CJ103" s="95"/>
      <c r="CK103" s="95"/>
      <c r="CL103" s="95"/>
      <c r="CM103" s="95"/>
      <c r="CN103" s="95"/>
      <c r="CO103" s="95"/>
      <c r="CP103" s="95"/>
      <c r="CQ103" s="95"/>
      <c r="CR103" s="95"/>
      <c r="CS103" s="95"/>
      <c r="CT103" s="95"/>
      <c r="CU103" s="95"/>
      <c r="CV103" s="95"/>
      <c r="CW103" s="95"/>
      <c r="CX103" s="95"/>
      <c r="CY103" s="95"/>
      <c r="CZ103" s="95"/>
      <c r="DA103" s="95"/>
      <c r="DB103" s="95"/>
      <c r="DC103" s="95"/>
      <c r="DD103" s="95"/>
      <c r="DE103" s="95"/>
      <c r="DF103" s="95"/>
    </row>
    <row r="104" spans="1:110" ht="14.25" hidden="1" customHeight="1">
      <c r="A104" s="90"/>
      <c r="B104" s="44"/>
      <c r="C104" s="44">
        <v>0</v>
      </c>
      <c r="D104" s="44">
        <v>0</v>
      </c>
      <c r="E104" s="44">
        <v>0</v>
      </c>
      <c r="F104" s="44">
        <f t="shared" si="0"/>
        <v>0</v>
      </c>
      <c r="G104" s="44">
        <f t="shared" si="48"/>
        <v>0</v>
      </c>
      <c r="H104" s="91">
        <v>0</v>
      </c>
      <c r="I104" s="91">
        <v>0</v>
      </c>
      <c r="J104" s="91">
        <v>0</v>
      </c>
      <c r="K104" s="91">
        <f t="shared" si="49"/>
        <v>0</v>
      </c>
      <c r="L104" s="91">
        <f t="shared" si="50"/>
        <v>0</v>
      </c>
      <c r="M104" s="92">
        <v>0</v>
      </c>
      <c r="N104" s="92">
        <v>0</v>
      </c>
      <c r="O104" s="92">
        <v>0</v>
      </c>
      <c r="P104" s="92">
        <f t="shared" si="51"/>
        <v>0</v>
      </c>
      <c r="Q104" s="92">
        <f t="shared" si="52"/>
        <v>0</v>
      </c>
      <c r="R104" s="93">
        <v>0</v>
      </c>
      <c r="S104" s="93">
        <v>0</v>
      </c>
      <c r="T104" s="93">
        <v>0</v>
      </c>
      <c r="U104" s="93">
        <f t="shared" si="53"/>
        <v>0</v>
      </c>
      <c r="V104" s="93">
        <f t="shared" si="54"/>
        <v>0</v>
      </c>
      <c r="W104" s="94">
        <v>0</v>
      </c>
      <c r="X104" s="94">
        <v>0</v>
      </c>
      <c r="Y104" s="94">
        <v>0</v>
      </c>
      <c r="Z104" s="94">
        <f t="shared" si="55"/>
        <v>0</v>
      </c>
      <c r="AA104" s="94">
        <f t="shared" si="56"/>
        <v>0</v>
      </c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95"/>
      <c r="AS104" s="95"/>
      <c r="AT104" s="95"/>
      <c r="AU104" s="95"/>
      <c r="AV104" s="95"/>
      <c r="AW104" s="95"/>
      <c r="AX104" s="95"/>
      <c r="AY104" s="95"/>
      <c r="AZ104" s="95"/>
      <c r="BA104" s="95"/>
      <c r="BB104" s="95"/>
      <c r="BC104" s="95"/>
      <c r="BD104" s="95"/>
      <c r="BE104" s="95"/>
      <c r="BF104" s="95"/>
      <c r="BG104" s="95"/>
      <c r="BH104" s="95"/>
      <c r="BI104" s="95"/>
      <c r="BJ104" s="95"/>
      <c r="BK104" s="95"/>
      <c r="BL104" s="95"/>
      <c r="BM104" s="95"/>
      <c r="BN104" s="95"/>
      <c r="BO104" s="95"/>
      <c r="BP104" s="95"/>
      <c r="BQ104" s="95"/>
      <c r="BR104" s="95"/>
      <c r="BS104" s="95"/>
      <c r="BT104" s="95"/>
      <c r="BU104" s="95"/>
      <c r="BV104" s="95"/>
      <c r="BW104" s="95"/>
      <c r="BX104" s="95"/>
      <c r="BY104" s="95"/>
      <c r="BZ104" s="95"/>
      <c r="CA104" s="95"/>
      <c r="CB104" s="95"/>
      <c r="CC104" s="95"/>
      <c r="CD104" s="95"/>
      <c r="CE104" s="95"/>
      <c r="CF104" s="95"/>
      <c r="CG104" s="95"/>
      <c r="CH104" s="95"/>
      <c r="CI104" s="95"/>
      <c r="CJ104" s="95"/>
      <c r="CK104" s="95"/>
      <c r="CL104" s="95"/>
      <c r="CM104" s="95"/>
      <c r="CN104" s="95"/>
      <c r="CO104" s="95"/>
      <c r="CP104" s="95"/>
      <c r="CQ104" s="95"/>
      <c r="CR104" s="95"/>
      <c r="CS104" s="95"/>
      <c r="CT104" s="95"/>
      <c r="CU104" s="95"/>
      <c r="CV104" s="95"/>
      <c r="CW104" s="95"/>
      <c r="CX104" s="95"/>
      <c r="CY104" s="95"/>
      <c r="CZ104" s="95"/>
      <c r="DA104" s="95"/>
      <c r="DB104" s="95"/>
      <c r="DC104" s="95"/>
      <c r="DD104" s="95"/>
      <c r="DE104" s="95"/>
      <c r="DF104" s="95"/>
    </row>
    <row r="105" spans="1:110" ht="14.25" hidden="1" customHeight="1">
      <c r="A105" s="90"/>
      <c r="B105" s="44"/>
      <c r="C105" s="44">
        <v>0</v>
      </c>
      <c r="D105" s="44">
        <v>0</v>
      </c>
      <c r="E105" s="44">
        <v>0</v>
      </c>
      <c r="F105" s="44">
        <f t="shared" si="0"/>
        <v>0</v>
      </c>
      <c r="G105" s="44">
        <f t="shared" si="48"/>
        <v>0</v>
      </c>
      <c r="H105" s="91">
        <v>0</v>
      </c>
      <c r="I105" s="91">
        <v>0</v>
      </c>
      <c r="J105" s="91">
        <v>0</v>
      </c>
      <c r="K105" s="91">
        <f t="shared" si="49"/>
        <v>0</v>
      </c>
      <c r="L105" s="91">
        <f t="shared" si="50"/>
        <v>0</v>
      </c>
      <c r="M105" s="92">
        <v>0</v>
      </c>
      <c r="N105" s="92">
        <v>0</v>
      </c>
      <c r="O105" s="92">
        <v>0</v>
      </c>
      <c r="P105" s="92">
        <f t="shared" si="51"/>
        <v>0</v>
      </c>
      <c r="Q105" s="92">
        <f t="shared" si="52"/>
        <v>0</v>
      </c>
      <c r="R105" s="93">
        <v>0</v>
      </c>
      <c r="S105" s="93">
        <v>0</v>
      </c>
      <c r="T105" s="93">
        <v>0</v>
      </c>
      <c r="U105" s="93">
        <f t="shared" si="53"/>
        <v>0</v>
      </c>
      <c r="V105" s="93">
        <f t="shared" si="54"/>
        <v>0</v>
      </c>
      <c r="W105" s="94">
        <v>0</v>
      </c>
      <c r="X105" s="94">
        <v>0</v>
      </c>
      <c r="Y105" s="94">
        <v>0</v>
      </c>
      <c r="Z105" s="94">
        <f t="shared" si="55"/>
        <v>0</v>
      </c>
      <c r="AA105" s="94">
        <f t="shared" si="56"/>
        <v>0</v>
      </c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95"/>
      <c r="AS105" s="95"/>
      <c r="AT105" s="95"/>
      <c r="AU105" s="95"/>
      <c r="AV105" s="95"/>
      <c r="AW105" s="95"/>
      <c r="AX105" s="95"/>
      <c r="AY105" s="95"/>
      <c r="AZ105" s="95"/>
      <c r="BA105" s="95"/>
      <c r="BB105" s="95"/>
      <c r="BC105" s="95"/>
      <c r="BD105" s="95"/>
      <c r="BE105" s="95"/>
      <c r="BF105" s="95"/>
      <c r="BG105" s="95"/>
      <c r="BH105" s="95"/>
      <c r="BI105" s="95"/>
      <c r="BJ105" s="95"/>
      <c r="BK105" s="95"/>
      <c r="BL105" s="95"/>
      <c r="BM105" s="95"/>
      <c r="BN105" s="95"/>
      <c r="BO105" s="95"/>
      <c r="BP105" s="95"/>
      <c r="BQ105" s="95"/>
      <c r="BR105" s="95"/>
      <c r="BS105" s="95"/>
      <c r="BT105" s="95"/>
      <c r="BU105" s="95"/>
      <c r="BV105" s="95"/>
      <c r="BW105" s="95"/>
      <c r="BX105" s="95"/>
      <c r="BY105" s="95"/>
      <c r="BZ105" s="95"/>
      <c r="CA105" s="95"/>
      <c r="CB105" s="95"/>
      <c r="CC105" s="95"/>
      <c r="CD105" s="95"/>
      <c r="CE105" s="95"/>
      <c r="CF105" s="95"/>
      <c r="CG105" s="95"/>
      <c r="CH105" s="95"/>
      <c r="CI105" s="95"/>
      <c r="CJ105" s="95"/>
      <c r="CK105" s="95"/>
      <c r="CL105" s="95"/>
      <c r="CM105" s="95"/>
      <c r="CN105" s="95"/>
      <c r="CO105" s="95"/>
      <c r="CP105" s="95"/>
      <c r="CQ105" s="95"/>
      <c r="CR105" s="95"/>
      <c r="CS105" s="95"/>
      <c r="CT105" s="95"/>
      <c r="CU105" s="95"/>
      <c r="CV105" s="95"/>
      <c r="CW105" s="95"/>
      <c r="CX105" s="95"/>
      <c r="CY105" s="95"/>
      <c r="CZ105" s="95"/>
      <c r="DA105" s="95"/>
      <c r="DB105" s="95"/>
      <c r="DC105" s="95"/>
      <c r="DD105" s="95"/>
      <c r="DE105" s="95"/>
      <c r="DF105" s="95"/>
    </row>
    <row r="106" spans="1:110" ht="14.25" hidden="1" customHeight="1">
      <c r="A106" s="90"/>
      <c r="B106" s="44"/>
      <c r="C106" s="44">
        <v>0</v>
      </c>
      <c r="D106" s="44">
        <v>0</v>
      </c>
      <c r="E106" s="44">
        <v>0</v>
      </c>
      <c r="F106" s="44">
        <f t="shared" si="0"/>
        <v>0</v>
      </c>
      <c r="G106" s="44">
        <f t="shared" si="48"/>
        <v>0</v>
      </c>
      <c r="H106" s="91">
        <v>0</v>
      </c>
      <c r="I106" s="91">
        <v>0</v>
      </c>
      <c r="J106" s="91">
        <v>0</v>
      </c>
      <c r="K106" s="91">
        <f t="shared" si="49"/>
        <v>0</v>
      </c>
      <c r="L106" s="91">
        <f t="shared" si="50"/>
        <v>0</v>
      </c>
      <c r="M106" s="92">
        <v>0</v>
      </c>
      <c r="N106" s="92">
        <v>0</v>
      </c>
      <c r="O106" s="92">
        <v>0</v>
      </c>
      <c r="P106" s="92">
        <f t="shared" si="51"/>
        <v>0</v>
      </c>
      <c r="Q106" s="92">
        <f t="shared" si="52"/>
        <v>0</v>
      </c>
      <c r="R106" s="93">
        <v>0</v>
      </c>
      <c r="S106" s="93">
        <v>0</v>
      </c>
      <c r="T106" s="93">
        <v>0</v>
      </c>
      <c r="U106" s="93">
        <f t="shared" si="53"/>
        <v>0</v>
      </c>
      <c r="V106" s="93">
        <f t="shared" si="54"/>
        <v>0</v>
      </c>
      <c r="W106" s="94">
        <v>0</v>
      </c>
      <c r="X106" s="94">
        <v>0</v>
      </c>
      <c r="Y106" s="94">
        <v>0</v>
      </c>
      <c r="Z106" s="94">
        <f t="shared" si="55"/>
        <v>0</v>
      </c>
      <c r="AA106" s="94">
        <f t="shared" si="56"/>
        <v>0</v>
      </c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95"/>
      <c r="AS106" s="95"/>
      <c r="AT106" s="95"/>
      <c r="AU106" s="95"/>
      <c r="AV106" s="95"/>
      <c r="AW106" s="95"/>
      <c r="AX106" s="95"/>
      <c r="AY106" s="95"/>
      <c r="AZ106" s="95"/>
      <c r="BA106" s="95"/>
      <c r="BB106" s="95"/>
      <c r="BC106" s="95"/>
      <c r="BD106" s="95"/>
      <c r="BE106" s="95"/>
      <c r="BF106" s="95"/>
      <c r="BG106" s="95"/>
      <c r="BH106" s="95"/>
      <c r="BI106" s="95"/>
      <c r="BJ106" s="95"/>
      <c r="BK106" s="95"/>
      <c r="BL106" s="95"/>
      <c r="BM106" s="95"/>
      <c r="BN106" s="95"/>
      <c r="BO106" s="95"/>
      <c r="BP106" s="95"/>
      <c r="BQ106" s="95"/>
      <c r="BR106" s="95"/>
      <c r="BS106" s="95"/>
      <c r="BT106" s="95"/>
      <c r="BU106" s="95"/>
      <c r="BV106" s="95"/>
      <c r="BW106" s="95"/>
      <c r="BX106" s="95"/>
      <c r="BY106" s="95"/>
      <c r="BZ106" s="95"/>
      <c r="CA106" s="95"/>
      <c r="CB106" s="95"/>
      <c r="CC106" s="95"/>
      <c r="CD106" s="95"/>
      <c r="CE106" s="95"/>
      <c r="CF106" s="95"/>
      <c r="CG106" s="95"/>
      <c r="CH106" s="95"/>
      <c r="CI106" s="95"/>
      <c r="CJ106" s="95"/>
      <c r="CK106" s="95"/>
      <c r="CL106" s="95"/>
      <c r="CM106" s="95"/>
      <c r="CN106" s="95"/>
      <c r="CO106" s="95"/>
      <c r="CP106" s="95"/>
      <c r="CQ106" s="95"/>
      <c r="CR106" s="95"/>
      <c r="CS106" s="95"/>
      <c r="CT106" s="95"/>
      <c r="CU106" s="95"/>
      <c r="CV106" s="95"/>
      <c r="CW106" s="95"/>
      <c r="CX106" s="95"/>
      <c r="CY106" s="95"/>
      <c r="CZ106" s="95"/>
      <c r="DA106" s="95"/>
      <c r="DB106" s="95"/>
      <c r="DC106" s="95"/>
      <c r="DD106" s="95"/>
      <c r="DE106" s="95"/>
      <c r="DF106" s="95"/>
    </row>
    <row r="107" spans="1:110" ht="14.25" hidden="1" customHeight="1">
      <c r="A107" s="90"/>
      <c r="B107" s="44"/>
      <c r="C107" s="44">
        <v>0</v>
      </c>
      <c r="D107" s="44">
        <v>0</v>
      </c>
      <c r="E107" s="44">
        <v>0</v>
      </c>
      <c r="F107" s="44">
        <f t="shared" si="0"/>
        <v>0</v>
      </c>
      <c r="G107" s="44">
        <f t="shared" si="48"/>
        <v>0</v>
      </c>
      <c r="H107" s="91">
        <v>0</v>
      </c>
      <c r="I107" s="91">
        <v>0</v>
      </c>
      <c r="J107" s="91">
        <v>0</v>
      </c>
      <c r="K107" s="91">
        <f t="shared" si="49"/>
        <v>0</v>
      </c>
      <c r="L107" s="91">
        <f t="shared" si="50"/>
        <v>0</v>
      </c>
      <c r="M107" s="92">
        <v>0</v>
      </c>
      <c r="N107" s="92">
        <v>0</v>
      </c>
      <c r="O107" s="92">
        <v>0</v>
      </c>
      <c r="P107" s="92">
        <f t="shared" si="51"/>
        <v>0</v>
      </c>
      <c r="Q107" s="92">
        <f t="shared" si="52"/>
        <v>0</v>
      </c>
      <c r="R107" s="93">
        <v>0</v>
      </c>
      <c r="S107" s="93">
        <v>0</v>
      </c>
      <c r="T107" s="93">
        <v>0</v>
      </c>
      <c r="U107" s="93">
        <f t="shared" si="53"/>
        <v>0</v>
      </c>
      <c r="V107" s="93">
        <f t="shared" si="54"/>
        <v>0</v>
      </c>
      <c r="W107" s="94">
        <v>0</v>
      </c>
      <c r="X107" s="94">
        <v>0</v>
      </c>
      <c r="Y107" s="94">
        <v>0</v>
      </c>
      <c r="Z107" s="94">
        <f t="shared" si="55"/>
        <v>0</v>
      </c>
      <c r="AA107" s="94">
        <f t="shared" si="56"/>
        <v>0</v>
      </c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  <c r="BH107" s="95"/>
      <c r="BI107" s="95"/>
      <c r="BJ107" s="95"/>
      <c r="BK107" s="95"/>
      <c r="BL107" s="95"/>
      <c r="BM107" s="95"/>
      <c r="BN107" s="95"/>
      <c r="BO107" s="95"/>
      <c r="BP107" s="95"/>
      <c r="BQ107" s="95"/>
      <c r="BR107" s="95"/>
      <c r="BS107" s="95"/>
      <c r="BT107" s="95"/>
      <c r="BU107" s="95"/>
      <c r="BV107" s="95"/>
      <c r="BW107" s="95"/>
      <c r="BX107" s="95"/>
      <c r="BY107" s="95"/>
      <c r="BZ107" s="95"/>
      <c r="CA107" s="95"/>
      <c r="CB107" s="95"/>
      <c r="CC107" s="95"/>
      <c r="CD107" s="95"/>
      <c r="CE107" s="95"/>
      <c r="CF107" s="95"/>
      <c r="CG107" s="95"/>
      <c r="CH107" s="95"/>
      <c r="CI107" s="95"/>
      <c r="CJ107" s="95"/>
      <c r="CK107" s="95"/>
      <c r="CL107" s="95"/>
      <c r="CM107" s="95"/>
      <c r="CN107" s="95"/>
      <c r="CO107" s="95"/>
      <c r="CP107" s="95"/>
      <c r="CQ107" s="95"/>
      <c r="CR107" s="95"/>
      <c r="CS107" s="95"/>
      <c r="CT107" s="95"/>
      <c r="CU107" s="95"/>
      <c r="CV107" s="95"/>
      <c r="CW107" s="95"/>
      <c r="CX107" s="95"/>
      <c r="CY107" s="95"/>
      <c r="CZ107" s="95"/>
      <c r="DA107" s="95"/>
      <c r="DB107" s="95"/>
      <c r="DC107" s="95"/>
      <c r="DD107" s="95"/>
      <c r="DE107" s="95"/>
      <c r="DF107" s="95"/>
    </row>
    <row r="108" spans="1:110" ht="14.25" hidden="1" customHeight="1">
      <c r="A108" s="90"/>
      <c r="B108" s="44"/>
      <c r="C108" s="44">
        <v>0</v>
      </c>
      <c r="D108" s="44">
        <v>0</v>
      </c>
      <c r="E108" s="44">
        <v>0</v>
      </c>
      <c r="F108" s="44">
        <f t="shared" si="0"/>
        <v>0</v>
      </c>
      <c r="G108" s="44">
        <f t="shared" si="48"/>
        <v>0</v>
      </c>
      <c r="H108" s="91">
        <v>0</v>
      </c>
      <c r="I108" s="91">
        <v>0</v>
      </c>
      <c r="J108" s="91">
        <v>0</v>
      </c>
      <c r="K108" s="91">
        <f t="shared" si="49"/>
        <v>0</v>
      </c>
      <c r="L108" s="91">
        <f t="shared" si="50"/>
        <v>0</v>
      </c>
      <c r="M108" s="92">
        <v>0</v>
      </c>
      <c r="N108" s="92">
        <v>0</v>
      </c>
      <c r="O108" s="92">
        <v>0</v>
      </c>
      <c r="P108" s="92">
        <f t="shared" si="51"/>
        <v>0</v>
      </c>
      <c r="Q108" s="92">
        <f t="shared" si="52"/>
        <v>0</v>
      </c>
      <c r="R108" s="93">
        <v>0</v>
      </c>
      <c r="S108" s="93">
        <v>0</v>
      </c>
      <c r="T108" s="93">
        <v>0</v>
      </c>
      <c r="U108" s="93">
        <f t="shared" si="53"/>
        <v>0</v>
      </c>
      <c r="V108" s="93">
        <f t="shared" si="54"/>
        <v>0</v>
      </c>
      <c r="W108" s="94">
        <v>0</v>
      </c>
      <c r="X108" s="94">
        <v>0</v>
      </c>
      <c r="Y108" s="94">
        <v>0</v>
      </c>
      <c r="Z108" s="94">
        <f t="shared" si="55"/>
        <v>0</v>
      </c>
      <c r="AA108" s="94">
        <f t="shared" si="56"/>
        <v>0</v>
      </c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  <c r="BH108" s="95"/>
      <c r="BI108" s="95"/>
      <c r="BJ108" s="95"/>
      <c r="BK108" s="95"/>
      <c r="BL108" s="95"/>
      <c r="BM108" s="95"/>
      <c r="BN108" s="95"/>
      <c r="BO108" s="95"/>
      <c r="BP108" s="95"/>
      <c r="BQ108" s="95"/>
      <c r="BR108" s="95"/>
      <c r="BS108" s="95"/>
      <c r="BT108" s="95"/>
      <c r="BU108" s="95"/>
      <c r="BV108" s="95"/>
      <c r="BW108" s="95"/>
      <c r="BX108" s="95"/>
      <c r="BY108" s="95"/>
      <c r="BZ108" s="95"/>
      <c r="CA108" s="95"/>
      <c r="CB108" s="95"/>
      <c r="CC108" s="95"/>
      <c r="CD108" s="95"/>
      <c r="CE108" s="95"/>
      <c r="CF108" s="95"/>
      <c r="CG108" s="95"/>
      <c r="CH108" s="95"/>
      <c r="CI108" s="95"/>
      <c r="CJ108" s="95"/>
      <c r="CK108" s="95"/>
      <c r="CL108" s="95"/>
      <c r="CM108" s="95"/>
      <c r="CN108" s="95"/>
      <c r="CO108" s="95"/>
      <c r="CP108" s="95"/>
      <c r="CQ108" s="95"/>
      <c r="CR108" s="95"/>
      <c r="CS108" s="95"/>
      <c r="CT108" s="95"/>
      <c r="CU108" s="95"/>
      <c r="CV108" s="95"/>
      <c r="CW108" s="95"/>
      <c r="CX108" s="95"/>
      <c r="CY108" s="95"/>
      <c r="CZ108" s="95"/>
      <c r="DA108" s="95"/>
      <c r="DB108" s="95"/>
      <c r="DC108" s="95"/>
      <c r="DD108" s="95"/>
      <c r="DE108" s="95"/>
      <c r="DF108" s="95"/>
    </row>
    <row r="109" spans="1:110" ht="14.25" hidden="1" customHeight="1">
      <c r="A109" s="90"/>
      <c r="B109" s="44"/>
      <c r="C109" s="44">
        <v>0</v>
      </c>
      <c r="D109" s="44">
        <v>0</v>
      </c>
      <c r="E109" s="44">
        <v>0</v>
      </c>
      <c r="F109" s="44">
        <f t="shared" si="0"/>
        <v>0</v>
      </c>
      <c r="G109" s="44">
        <f t="shared" si="48"/>
        <v>0</v>
      </c>
      <c r="H109" s="91">
        <v>0</v>
      </c>
      <c r="I109" s="91">
        <v>0</v>
      </c>
      <c r="J109" s="91">
        <v>0</v>
      </c>
      <c r="K109" s="91">
        <f t="shared" si="49"/>
        <v>0</v>
      </c>
      <c r="L109" s="91">
        <f t="shared" si="50"/>
        <v>0</v>
      </c>
      <c r="M109" s="92">
        <v>0</v>
      </c>
      <c r="N109" s="92">
        <v>0</v>
      </c>
      <c r="O109" s="92">
        <v>0</v>
      </c>
      <c r="P109" s="92">
        <f t="shared" si="51"/>
        <v>0</v>
      </c>
      <c r="Q109" s="92">
        <f t="shared" si="52"/>
        <v>0</v>
      </c>
      <c r="R109" s="93">
        <v>0</v>
      </c>
      <c r="S109" s="93">
        <v>0</v>
      </c>
      <c r="T109" s="93">
        <v>0</v>
      </c>
      <c r="U109" s="93">
        <f t="shared" si="53"/>
        <v>0</v>
      </c>
      <c r="V109" s="93">
        <f t="shared" si="54"/>
        <v>0</v>
      </c>
      <c r="W109" s="94">
        <v>0</v>
      </c>
      <c r="X109" s="94">
        <v>0</v>
      </c>
      <c r="Y109" s="94">
        <v>0</v>
      </c>
      <c r="Z109" s="94">
        <f t="shared" si="55"/>
        <v>0</v>
      </c>
      <c r="AA109" s="94">
        <f t="shared" si="56"/>
        <v>0</v>
      </c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95"/>
      <c r="AS109" s="95"/>
      <c r="AT109" s="95"/>
      <c r="AU109" s="95"/>
      <c r="AV109" s="95"/>
      <c r="AW109" s="95"/>
      <c r="AX109" s="95"/>
      <c r="AY109" s="95"/>
      <c r="AZ109" s="95"/>
      <c r="BA109" s="95"/>
      <c r="BB109" s="95"/>
      <c r="BC109" s="95"/>
      <c r="BD109" s="95"/>
      <c r="BE109" s="95"/>
      <c r="BF109" s="95"/>
      <c r="BG109" s="95"/>
      <c r="BH109" s="95"/>
      <c r="BI109" s="95"/>
      <c r="BJ109" s="95"/>
      <c r="BK109" s="95"/>
      <c r="BL109" s="95"/>
      <c r="BM109" s="95"/>
      <c r="BN109" s="95"/>
      <c r="BO109" s="95"/>
      <c r="BP109" s="95"/>
      <c r="BQ109" s="95"/>
      <c r="BR109" s="95"/>
      <c r="BS109" s="95"/>
      <c r="BT109" s="95"/>
      <c r="BU109" s="95"/>
      <c r="BV109" s="95"/>
      <c r="BW109" s="95"/>
      <c r="BX109" s="95"/>
      <c r="BY109" s="95"/>
      <c r="BZ109" s="95"/>
      <c r="CA109" s="95"/>
      <c r="CB109" s="95"/>
      <c r="CC109" s="95"/>
      <c r="CD109" s="95"/>
      <c r="CE109" s="95"/>
      <c r="CF109" s="95"/>
      <c r="CG109" s="95"/>
      <c r="CH109" s="95"/>
      <c r="CI109" s="95"/>
      <c r="CJ109" s="95"/>
      <c r="CK109" s="95"/>
      <c r="CL109" s="95"/>
      <c r="CM109" s="95"/>
      <c r="CN109" s="95"/>
      <c r="CO109" s="95"/>
      <c r="CP109" s="95"/>
      <c r="CQ109" s="95"/>
      <c r="CR109" s="95"/>
      <c r="CS109" s="95"/>
      <c r="CT109" s="95"/>
      <c r="CU109" s="95"/>
      <c r="CV109" s="95"/>
      <c r="CW109" s="95"/>
      <c r="CX109" s="95"/>
      <c r="CY109" s="95"/>
      <c r="CZ109" s="95"/>
      <c r="DA109" s="95"/>
      <c r="DB109" s="95"/>
      <c r="DC109" s="95"/>
      <c r="DD109" s="95"/>
      <c r="DE109" s="95"/>
      <c r="DF109" s="95"/>
    </row>
    <row r="110" spans="1:110" ht="14.25" hidden="1" customHeight="1">
      <c r="A110" s="90"/>
      <c r="B110" s="44"/>
      <c r="C110" s="44">
        <v>0</v>
      </c>
      <c r="D110" s="44">
        <v>0</v>
      </c>
      <c r="E110" s="44">
        <v>0</v>
      </c>
      <c r="F110" s="44">
        <f t="shared" si="0"/>
        <v>0</v>
      </c>
      <c r="G110" s="44">
        <f t="shared" si="48"/>
        <v>0</v>
      </c>
      <c r="H110" s="91">
        <v>0</v>
      </c>
      <c r="I110" s="91">
        <v>0</v>
      </c>
      <c r="J110" s="91">
        <v>0</v>
      </c>
      <c r="K110" s="91">
        <f t="shared" si="49"/>
        <v>0</v>
      </c>
      <c r="L110" s="91">
        <f t="shared" si="50"/>
        <v>0</v>
      </c>
      <c r="M110" s="92">
        <v>0</v>
      </c>
      <c r="N110" s="92">
        <v>0</v>
      </c>
      <c r="O110" s="92">
        <v>0</v>
      </c>
      <c r="P110" s="92">
        <f t="shared" si="51"/>
        <v>0</v>
      </c>
      <c r="Q110" s="92">
        <f t="shared" si="52"/>
        <v>0</v>
      </c>
      <c r="R110" s="93">
        <v>0</v>
      </c>
      <c r="S110" s="93">
        <v>0</v>
      </c>
      <c r="T110" s="93">
        <v>0</v>
      </c>
      <c r="U110" s="93">
        <f t="shared" si="53"/>
        <v>0</v>
      </c>
      <c r="V110" s="93">
        <f t="shared" si="54"/>
        <v>0</v>
      </c>
      <c r="W110" s="94">
        <v>0</v>
      </c>
      <c r="X110" s="94">
        <v>0</v>
      </c>
      <c r="Y110" s="94">
        <v>0</v>
      </c>
      <c r="Z110" s="94">
        <f t="shared" si="55"/>
        <v>0</v>
      </c>
      <c r="AA110" s="94">
        <f t="shared" si="56"/>
        <v>0</v>
      </c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5"/>
      <c r="BP110" s="95"/>
      <c r="BQ110" s="95"/>
      <c r="BR110" s="95"/>
      <c r="BS110" s="95"/>
      <c r="BT110" s="95"/>
      <c r="BU110" s="95"/>
      <c r="BV110" s="95"/>
      <c r="BW110" s="95"/>
      <c r="BX110" s="95"/>
      <c r="BY110" s="95"/>
      <c r="BZ110" s="95"/>
      <c r="CA110" s="95"/>
      <c r="CB110" s="95"/>
      <c r="CC110" s="95"/>
      <c r="CD110" s="95"/>
      <c r="CE110" s="95"/>
      <c r="CF110" s="95"/>
      <c r="CG110" s="95"/>
      <c r="CH110" s="95"/>
      <c r="CI110" s="95"/>
      <c r="CJ110" s="95"/>
      <c r="CK110" s="95"/>
      <c r="CL110" s="95"/>
      <c r="CM110" s="95"/>
      <c r="CN110" s="95"/>
      <c r="CO110" s="95"/>
      <c r="CP110" s="95"/>
      <c r="CQ110" s="95"/>
      <c r="CR110" s="95"/>
      <c r="CS110" s="95"/>
      <c r="CT110" s="95"/>
      <c r="CU110" s="95"/>
      <c r="CV110" s="95"/>
      <c r="CW110" s="95"/>
      <c r="CX110" s="95"/>
      <c r="CY110" s="95"/>
      <c r="CZ110" s="95"/>
      <c r="DA110" s="95"/>
      <c r="DB110" s="95"/>
      <c r="DC110" s="95"/>
      <c r="DD110" s="95"/>
      <c r="DE110" s="95"/>
      <c r="DF110" s="95"/>
    </row>
    <row r="111" spans="1:110" ht="14.25" hidden="1" customHeight="1">
      <c r="A111" s="90"/>
      <c r="B111" s="44"/>
      <c r="C111" s="44">
        <v>0</v>
      </c>
      <c r="D111" s="44">
        <v>0</v>
      </c>
      <c r="E111" s="44">
        <v>0</v>
      </c>
      <c r="F111" s="44">
        <f t="shared" si="0"/>
        <v>0</v>
      </c>
      <c r="G111" s="44">
        <f t="shared" si="48"/>
        <v>0</v>
      </c>
      <c r="H111" s="91">
        <v>0</v>
      </c>
      <c r="I111" s="91">
        <v>0</v>
      </c>
      <c r="J111" s="91">
        <v>0</v>
      </c>
      <c r="K111" s="91">
        <f t="shared" si="49"/>
        <v>0</v>
      </c>
      <c r="L111" s="91">
        <f t="shared" si="50"/>
        <v>0</v>
      </c>
      <c r="M111" s="92">
        <v>0</v>
      </c>
      <c r="N111" s="92">
        <v>0</v>
      </c>
      <c r="O111" s="92">
        <v>0</v>
      </c>
      <c r="P111" s="92">
        <f t="shared" si="51"/>
        <v>0</v>
      </c>
      <c r="Q111" s="92">
        <f t="shared" si="52"/>
        <v>0</v>
      </c>
      <c r="R111" s="93">
        <v>0</v>
      </c>
      <c r="S111" s="93">
        <v>0</v>
      </c>
      <c r="T111" s="93">
        <v>0</v>
      </c>
      <c r="U111" s="93">
        <f t="shared" si="53"/>
        <v>0</v>
      </c>
      <c r="V111" s="93">
        <f t="shared" si="54"/>
        <v>0</v>
      </c>
      <c r="W111" s="94">
        <v>0</v>
      </c>
      <c r="X111" s="94">
        <v>0</v>
      </c>
      <c r="Y111" s="94">
        <v>0</v>
      </c>
      <c r="Z111" s="94">
        <f t="shared" si="55"/>
        <v>0</v>
      </c>
      <c r="AA111" s="94">
        <f t="shared" si="56"/>
        <v>0</v>
      </c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95"/>
      <c r="AS111" s="95"/>
      <c r="AT111" s="95"/>
      <c r="AU111" s="95"/>
      <c r="AV111" s="95"/>
      <c r="AW111" s="95"/>
      <c r="AX111" s="95"/>
      <c r="AY111" s="95"/>
      <c r="AZ111" s="95"/>
      <c r="BA111" s="95"/>
      <c r="BB111" s="95"/>
      <c r="BC111" s="95"/>
      <c r="BD111" s="95"/>
      <c r="BE111" s="95"/>
      <c r="BF111" s="95"/>
      <c r="BG111" s="95"/>
      <c r="BH111" s="95"/>
      <c r="BI111" s="95"/>
      <c r="BJ111" s="95"/>
      <c r="BK111" s="95"/>
      <c r="BL111" s="95"/>
      <c r="BM111" s="95"/>
      <c r="BN111" s="95"/>
      <c r="BO111" s="95"/>
      <c r="BP111" s="95"/>
      <c r="BQ111" s="95"/>
      <c r="BR111" s="95"/>
      <c r="BS111" s="95"/>
      <c r="BT111" s="95"/>
      <c r="BU111" s="95"/>
      <c r="BV111" s="95"/>
      <c r="BW111" s="95"/>
      <c r="BX111" s="95"/>
      <c r="BY111" s="95"/>
      <c r="BZ111" s="95"/>
      <c r="CA111" s="95"/>
      <c r="CB111" s="95"/>
      <c r="CC111" s="95"/>
      <c r="CD111" s="95"/>
      <c r="CE111" s="95"/>
      <c r="CF111" s="95"/>
      <c r="CG111" s="95"/>
      <c r="CH111" s="95"/>
      <c r="CI111" s="95"/>
      <c r="CJ111" s="95"/>
      <c r="CK111" s="95"/>
      <c r="CL111" s="95"/>
      <c r="CM111" s="95"/>
      <c r="CN111" s="95"/>
      <c r="CO111" s="95"/>
      <c r="CP111" s="95"/>
      <c r="CQ111" s="95"/>
      <c r="CR111" s="95"/>
      <c r="CS111" s="95"/>
      <c r="CT111" s="95"/>
      <c r="CU111" s="95"/>
      <c r="CV111" s="95"/>
      <c r="CW111" s="95"/>
      <c r="CX111" s="95"/>
      <c r="CY111" s="95"/>
      <c r="CZ111" s="95"/>
      <c r="DA111" s="95"/>
      <c r="DB111" s="95"/>
      <c r="DC111" s="95"/>
      <c r="DD111" s="95"/>
      <c r="DE111" s="95"/>
      <c r="DF111" s="95"/>
    </row>
    <row r="112" spans="1:110" ht="14.25" hidden="1" customHeight="1">
      <c r="A112" s="90"/>
      <c r="B112" s="44"/>
      <c r="C112" s="44">
        <v>0</v>
      </c>
      <c r="D112" s="44">
        <v>0</v>
      </c>
      <c r="E112" s="44">
        <v>0</v>
      </c>
      <c r="F112" s="44">
        <f t="shared" si="0"/>
        <v>0</v>
      </c>
      <c r="G112" s="44">
        <f t="shared" si="48"/>
        <v>0</v>
      </c>
      <c r="H112" s="91">
        <v>0</v>
      </c>
      <c r="I112" s="91">
        <v>0</v>
      </c>
      <c r="J112" s="91">
        <v>0</v>
      </c>
      <c r="K112" s="91">
        <f t="shared" si="49"/>
        <v>0</v>
      </c>
      <c r="L112" s="91">
        <f t="shared" si="50"/>
        <v>0</v>
      </c>
      <c r="M112" s="92">
        <v>0</v>
      </c>
      <c r="N112" s="92">
        <v>0</v>
      </c>
      <c r="O112" s="92">
        <v>0</v>
      </c>
      <c r="P112" s="92">
        <f t="shared" si="51"/>
        <v>0</v>
      </c>
      <c r="Q112" s="92">
        <f t="shared" si="52"/>
        <v>0</v>
      </c>
      <c r="R112" s="93">
        <v>0</v>
      </c>
      <c r="S112" s="93">
        <v>0</v>
      </c>
      <c r="T112" s="93">
        <v>0</v>
      </c>
      <c r="U112" s="93">
        <f t="shared" si="53"/>
        <v>0</v>
      </c>
      <c r="V112" s="93">
        <f t="shared" si="54"/>
        <v>0</v>
      </c>
      <c r="W112" s="94">
        <v>0</v>
      </c>
      <c r="X112" s="94">
        <v>0</v>
      </c>
      <c r="Y112" s="94">
        <v>0</v>
      </c>
      <c r="Z112" s="94">
        <f t="shared" si="55"/>
        <v>0</v>
      </c>
      <c r="AA112" s="94">
        <f t="shared" si="56"/>
        <v>0</v>
      </c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95"/>
      <c r="AS112" s="95"/>
      <c r="AT112" s="95"/>
      <c r="AU112" s="95"/>
      <c r="AV112" s="95"/>
      <c r="AW112" s="95"/>
      <c r="AX112" s="95"/>
      <c r="AY112" s="95"/>
      <c r="AZ112" s="95"/>
      <c r="BA112" s="95"/>
      <c r="BB112" s="95"/>
      <c r="BC112" s="95"/>
      <c r="BD112" s="95"/>
      <c r="BE112" s="95"/>
      <c r="BF112" s="95"/>
      <c r="BG112" s="95"/>
      <c r="BH112" s="95"/>
      <c r="BI112" s="95"/>
      <c r="BJ112" s="95"/>
      <c r="BK112" s="95"/>
      <c r="BL112" s="95"/>
      <c r="BM112" s="95"/>
      <c r="BN112" s="95"/>
      <c r="BO112" s="95"/>
      <c r="BP112" s="95"/>
      <c r="BQ112" s="95"/>
      <c r="BR112" s="95"/>
      <c r="BS112" s="95"/>
      <c r="BT112" s="95"/>
      <c r="BU112" s="95"/>
      <c r="BV112" s="95"/>
      <c r="BW112" s="95"/>
      <c r="BX112" s="95"/>
      <c r="BY112" s="95"/>
      <c r="BZ112" s="95"/>
      <c r="CA112" s="95"/>
      <c r="CB112" s="95"/>
      <c r="CC112" s="95"/>
      <c r="CD112" s="95"/>
      <c r="CE112" s="95"/>
      <c r="CF112" s="95"/>
      <c r="CG112" s="95"/>
      <c r="CH112" s="95"/>
      <c r="CI112" s="95"/>
      <c r="CJ112" s="95"/>
      <c r="CK112" s="95"/>
      <c r="CL112" s="95"/>
      <c r="CM112" s="95"/>
      <c r="CN112" s="95"/>
      <c r="CO112" s="95"/>
      <c r="CP112" s="95"/>
      <c r="CQ112" s="95"/>
      <c r="CR112" s="95"/>
      <c r="CS112" s="95"/>
      <c r="CT112" s="95"/>
      <c r="CU112" s="95"/>
      <c r="CV112" s="95"/>
      <c r="CW112" s="95"/>
      <c r="CX112" s="95"/>
      <c r="CY112" s="95"/>
      <c r="CZ112" s="95"/>
      <c r="DA112" s="95"/>
      <c r="DB112" s="95"/>
      <c r="DC112" s="95"/>
      <c r="DD112" s="95"/>
      <c r="DE112" s="95"/>
      <c r="DF112" s="95"/>
    </row>
    <row r="113" spans="1:110" ht="14.25" hidden="1" customHeight="1">
      <c r="A113" s="90"/>
      <c r="B113" s="44"/>
      <c r="C113" s="44"/>
      <c r="D113" s="44"/>
      <c r="E113" s="44"/>
      <c r="F113" s="44">
        <f t="shared" si="0"/>
        <v>0</v>
      </c>
      <c r="G113" s="44">
        <f t="shared" si="48"/>
        <v>0</v>
      </c>
      <c r="H113" s="96"/>
      <c r="I113" s="96"/>
      <c r="J113" s="96"/>
      <c r="K113" s="96">
        <f t="shared" si="49"/>
        <v>0</v>
      </c>
      <c r="L113" s="96">
        <f t="shared" si="50"/>
        <v>0</v>
      </c>
      <c r="M113" s="92"/>
      <c r="N113" s="92"/>
      <c r="O113" s="92"/>
      <c r="P113" s="92">
        <f t="shared" si="51"/>
        <v>0</v>
      </c>
      <c r="Q113" s="92">
        <f t="shared" si="52"/>
        <v>0</v>
      </c>
      <c r="R113" s="93"/>
      <c r="S113" s="93"/>
      <c r="T113" s="93"/>
      <c r="U113" s="93">
        <f t="shared" si="53"/>
        <v>0</v>
      </c>
      <c r="V113" s="93">
        <f t="shared" si="54"/>
        <v>0</v>
      </c>
      <c r="W113" s="94"/>
      <c r="X113" s="94"/>
      <c r="Y113" s="94"/>
      <c r="Z113" s="94">
        <f t="shared" si="55"/>
        <v>0</v>
      </c>
      <c r="AA113" s="94">
        <f t="shared" si="56"/>
        <v>0</v>
      </c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  <c r="BG113" s="95"/>
      <c r="BH113" s="95"/>
      <c r="BI113" s="95"/>
      <c r="BJ113" s="95"/>
      <c r="BK113" s="95"/>
      <c r="BL113" s="95"/>
      <c r="BM113" s="95"/>
      <c r="BN113" s="95"/>
      <c r="BO113" s="95"/>
      <c r="BP113" s="95"/>
      <c r="BQ113" s="95"/>
      <c r="BR113" s="95"/>
      <c r="BS113" s="95"/>
      <c r="BT113" s="95"/>
      <c r="BU113" s="95"/>
      <c r="BV113" s="95"/>
      <c r="BW113" s="95"/>
      <c r="BX113" s="95"/>
      <c r="BY113" s="95"/>
      <c r="BZ113" s="95"/>
      <c r="CA113" s="95"/>
      <c r="CB113" s="95"/>
      <c r="CC113" s="95"/>
      <c r="CD113" s="95"/>
      <c r="CE113" s="95"/>
      <c r="CF113" s="95"/>
      <c r="CG113" s="95"/>
      <c r="CH113" s="95"/>
      <c r="CI113" s="95"/>
      <c r="CJ113" s="95"/>
      <c r="CK113" s="95"/>
      <c r="CL113" s="95"/>
      <c r="CM113" s="95"/>
      <c r="CN113" s="95"/>
      <c r="CO113" s="95"/>
      <c r="CP113" s="95"/>
      <c r="CQ113" s="95"/>
      <c r="CR113" s="95"/>
      <c r="CS113" s="95"/>
      <c r="CT113" s="95"/>
      <c r="CU113" s="95"/>
      <c r="CV113" s="95"/>
      <c r="CW113" s="95"/>
      <c r="CX113" s="95"/>
      <c r="CY113" s="95"/>
      <c r="CZ113" s="95"/>
      <c r="DA113" s="95"/>
      <c r="DB113" s="95"/>
      <c r="DC113" s="95"/>
      <c r="DD113" s="95"/>
      <c r="DE113" s="95"/>
      <c r="DF113" s="95"/>
    </row>
    <row r="114" spans="1:110" ht="14.25" hidden="1" customHeight="1">
      <c r="A114" s="90"/>
      <c r="B114" s="44"/>
      <c r="C114" s="44"/>
      <c r="D114" s="44"/>
      <c r="E114" s="44"/>
      <c r="F114" s="44">
        <f t="shared" si="0"/>
        <v>0</v>
      </c>
      <c r="G114" s="44">
        <f t="shared" si="48"/>
        <v>0</v>
      </c>
      <c r="H114" s="96"/>
      <c r="I114" s="96"/>
      <c r="J114" s="96"/>
      <c r="K114" s="96">
        <f t="shared" si="49"/>
        <v>0</v>
      </c>
      <c r="L114" s="96">
        <f t="shared" si="50"/>
        <v>0</v>
      </c>
      <c r="M114" s="92"/>
      <c r="N114" s="92"/>
      <c r="O114" s="92"/>
      <c r="P114" s="92">
        <f t="shared" si="51"/>
        <v>0</v>
      </c>
      <c r="Q114" s="92">
        <f t="shared" si="52"/>
        <v>0</v>
      </c>
      <c r="R114" s="93"/>
      <c r="S114" s="93"/>
      <c r="T114" s="93"/>
      <c r="U114" s="93">
        <f t="shared" si="53"/>
        <v>0</v>
      </c>
      <c r="V114" s="93">
        <f t="shared" si="54"/>
        <v>0</v>
      </c>
      <c r="W114" s="94"/>
      <c r="X114" s="94"/>
      <c r="Y114" s="94"/>
      <c r="Z114" s="94">
        <f t="shared" si="55"/>
        <v>0</v>
      </c>
      <c r="AA114" s="94">
        <f t="shared" si="56"/>
        <v>0</v>
      </c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95"/>
      <c r="AS114" s="95"/>
      <c r="AT114" s="95"/>
      <c r="AU114" s="95"/>
      <c r="AV114" s="95"/>
      <c r="AW114" s="95"/>
      <c r="AX114" s="95"/>
      <c r="AY114" s="95"/>
      <c r="AZ114" s="95"/>
      <c r="BA114" s="95"/>
      <c r="BB114" s="95"/>
      <c r="BC114" s="95"/>
      <c r="BD114" s="95"/>
      <c r="BE114" s="95"/>
      <c r="BF114" s="95"/>
      <c r="BG114" s="95"/>
      <c r="BH114" s="95"/>
      <c r="BI114" s="95"/>
      <c r="BJ114" s="95"/>
      <c r="BK114" s="95"/>
      <c r="BL114" s="95"/>
      <c r="BM114" s="95"/>
      <c r="BN114" s="95"/>
      <c r="BO114" s="95"/>
      <c r="BP114" s="95"/>
      <c r="BQ114" s="95"/>
      <c r="BR114" s="95"/>
      <c r="BS114" s="95"/>
      <c r="BT114" s="95"/>
      <c r="BU114" s="95"/>
      <c r="BV114" s="95"/>
      <c r="BW114" s="95"/>
      <c r="BX114" s="95"/>
      <c r="BY114" s="95"/>
      <c r="BZ114" s="95"/>
      <c r="CA114" s="95"/>
      <c r="CB114" s="95"/>
      <c r="CC114" s="95"/>
      <c r="CD114" s="95"/>
      <c r="CE114" s="95"/>
      <c r="CF114" s="95"/>
      <c r="CG114" s="95"/>
      <c r="CH114" s="95"/>
      <c r="CI114" s="95"/>
      <c r="CJ114" s="95"/>
      <c r="CK114" s="95"/>
      <c r="CL114" s="95"/>
      <c r="CM114" s="95"/>
      <c r="CN114" s="95"/>
      <c r="CO114" s="95"/>
      <c r="CP114" s="95"/>
      <c r="CQ114" s="95"/>
      <c r="CR114" s="95"/>
      <c r="CS114" s="95"/>
      <c r="CT114" s="95"/>
      <c r="CU114" s="95"/>
      <c r="CV114" s="95"/>
      <c r="CW114" s="95"/>
      <c r="CX114" s="95"/>
      <c r="CY114" s="95"/>
      <c r="CZ114" s="95"/>
      <c r="DA114" s="95"/>
      <c r="DB114" s="95"/>
      <c r="DC114" s="95"/>
      <c r="DD114" s="95"/>
      <c r="DE114" s="95"/>
      <c r="DF114" s="95"/>
    </row>
    <row r="118" spans="1:110" ht="15" customHeight="1">
      <c r="E118" s="120" t="s">
        <v>43</v>
      </c>
      <c r="F118">
        <v>800</v>
      </c>
      <c r="N118" s="120" t="s">
        <v>43</v>
      </c>
      <c r="O118">
        <v>1700</v>
      </c>
      <c r="W118" s="120" t="s">
        <v>43</v>
      </c>
      <c r="AG118" s="120" t="s">
        <v>43</v>
      </c>
      <c r="AH118">
        <v>1000</v>
      </c>
      <c r="AP118" s="120" t="s">
        <v>43</v>
      </c>
      <c r="AQ118">
        <v>500</v>
      </c>
      <c r="AX118" s="120" t="s">
        <v>43</v>
      </c>
      <c r="AY118">
        <v>1300</v>
      </c>
      <c r="BG118" s="120" t="s">
        <v>43</v>
      </c>
      <c r="BH118">
        <v>700</v>
      </c>
      <c r="BP118" s="120" t="s">
        <v>43</v>
      </c>
      <c r="BQ118">
        <v>2300</v>
      </c>
      <c r="BZ118" s="120" t="s">
        <v>43</v>
      </c>
      <c r="CA118">
        <v>710</v>
      </c>
      <c r="CG118" s="120" t="s">
        <v>43</v>
      </c>
      <c r="CH118">
        <v>660</v>
      </c>
      <c r="CQ118" s="120" t="s">
        <v>43</v>
      </c>
      <c r="CR118">
        <v>650</v>
      </c>
      <c r="CX118" s="120" t="s">
        <v>43</v>
      </c>
      <c r="CY118">
        <v>500</v>
      </c>
    </row>
  </sheetData>
  <autoFilter ref="A2:AA114" xr:uid="{00000000-0009-0000-0000-000004000000}"/>
  <mergeCells count="12">
    <mergeCell ref="BN1:BV1"/>
    <mergeCell ref="BW1:CE1"/>
    <mergeCell ref="CF1:CN1"/>
    <mergeCell ref="CO1:CW1"/>
    <mergeCell ref="CX1:DF1"/>
    <mergeCell ref="AV1:BD1"/>
    <mergeCell ref="BE1:BM1"/>
    <mergeCell ref="C1:K1"/>
    <mergeCell ref="L1:T1"/>
    <mergeCell ref="U1:AC1"/>
    <mergeCell ref="AD1:AL1"/>
    <mergeCell ref="AM1:AU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0"/>
  <sheetViews>
    <sheetView tabSelected="1" topLeftCell="D1" workbookViewId="0">
      <selection activeCell="W119" sqref="W119"/>
    </sheetView>
  </sheetViews>
  <sheetFormatPr defaultColWidth="14.44140625" defaultRowHeight="15" customHeight="1"/>
  <cols>
    <col min="1" max="1" width="20" customWidth="1"/>
    <col min="2" max="3" width="22.5546875" customWidth="1"/>
    <col min="4" max="4" width="20.6640625" customWidth="1"/>
    <col min="5" max="6" width="19.88671875" customWidth="1"/>
    <col min="7" max="7" width="12" customWidth="1"/>
    <col min="8" max="8" width="14.6640625" customWidth="1"/>
    <col min="9" max="27" width="8.6640625" customWidth="1"/>
  </cols>
  <sheetData>
    <row r="1" spans="1:27" ht="14.25" customHeight="1">
      <c r="A1" s="97"/>
      <c r="B1" s="97"/>
      <c r="C1" s="151" t="s">
        <v>24</v>
      </c>
      <c r="D1" s="152"/>
      <c r="E1" s="152"/>
      <c r="F1" s="152"/>
      <c r="G1" s="153"/>
      <c r="H1" s="154" t="s">
        <v>25</v>
      </c>
      <c r="I1" s="155"/>
      <c r="J1" s="155"/>
      <c r="K1" s="155"/>
      <c r="L1" s="156"/>
      <c r="M1" s="157" t="s">
        <v>26</v>
      </c>
      <c r="N1" s="155"/>
      <c r="O1" s="155"/>
      <c r="P1" s="155"/>
      <c r="Q1" s="156"/>
      <c r="R1" s="158" t="s">
        <v>27</v>
      </c>
      <c r="S1" s="155"/>
      <c r="T1" s="155"/>
      <c r="U1" s="155"/>
      <c r="V1" s="156"/>
      <c r="W1" s="159" t="s">
        <v>28</v>
      </c>
      <c r="X1" s="155"/>
      <c r="Y1" s="155"/>
      <c r="Z1" s="155"/>
      <c r="AA1" s="156"/>
    </row>
    <row r="2" spans="1:27" ht="14.25" customHeight="1">
      <c r="A2" s="98" t="s">
        <v>29</v>
      </c>
      <c r="B2" s="98" t="s">
        <v>13</v>
      </c>
      <c r="C2" s="99" t="s">
        <v>30</v>
      </c>
      <c r="D2" s="99" t="s">
        <v>31</v>
      </c>
      <c r="E2" s="99" t="s">
        <v>32</v>
      </c>
      <c r="F2" s="99" t="s">
        <v>33</v>
      </c>
      <c r="G2" s="44" t="s">
        <v>34</v>
      </c>
      <c r="H2" s="100" t="s">
        <v>35</v>
      </c>
      <c r="I2" s="100" t="s">
        <v>36</v>
      </c>
      <c r="J2" s="100" t="s">
        <v>37</v>
      </c>
      <c r="K2" s="100" t="s">
        <v>38</v>
      </c>
      <c r="L2" s="100" t="s">
        <v>34</v>
      </c>
      <c r="M2" s="101" t="s">
        <v>35</v>
      </c>
      <c r="N2" s="101" t="s">
        <v>39</v>
      </c>
      <c r="O2" s="101" t="s">
        <v>40</v>
      </c>
      <c r="P2" s="101" t="s">
        <v>38</v>
      </c>
      <c r="Q2" s="101" t="s">
        <v>34</v>
      </c>
      <c r="R2" s="102" t="s">
        <v>35</v>
      </c>
      <c r="S2" s="102" t="s">
        <v>41</v>
      </c>
      <c r="T2" s="102" t="s">
        <v>37</v>
      </c>
      <c r="U2" s="102" t="s">
        <v>38</v>
      </c>
      <c r="V2" s="102" t="s">
        <v>34</v>
      </c>
      <c r="W2" s="103" t="s">
        <v>42</v>
      </c>
      <c r="X2" s="103" t="s">
        <v>39</v>
      </c>
      <c r="Y2" s="103" t="s">
        <v>40</v>
      </c>
      <c r="Z2" s="103" t="s">
        <v>38</v>
      </c>
      <c r="AA2" s="103" t="s">
        <v>34</v>
      </c>
    </row>
    <row r="3" spans="1:27" ht="14.25" customHeight="1">
      <c r="A3" s="97"/>
      <c r="B3" s="97"/>
      <c r="C3" s="44">
        <v>0</v>
      </c>
      <c r="D3" s="44">
        <v>0</v>
      </c>
      <c r="E3" s="44">
        <v>0</v>
      </c>
      <c r="F3" s="44">
        <f t="shared" ref="F3:F117" si="0">D3-E3</f>
        <v>0</v>
      </c>
      <c r="G3" s="44">
        <f t="shared" ref="G3:G117" si="1">F3*C3</f>
        <v>0</v>
      </c>
      <c r="H3" s="91">
        <v>0</v>
      </c>
      <c r="I3" s="91">
        <v>0</v>
      </c>
      <c r="J3" s="91">
        <v>0</v>
      </c>
      <c r="K3" s="91">
        <f t="shared" ref="K3:K117" si="2">I3-J3</f>
        <v>0</v>
      </c>
      <c r="L3" s="91">
        <f t="shared" ref="L3:L117" si="3">K3*H3</f>
        <v>0</v>
      </c>
      <c r="M3" s="92">
        <v>800</v>
      </c>
      <c r="N3" s="92">
        <v>750</v>
      </c>
      <c r="O3" s="92">
        <v>60</v>
      </c>
      <c r="P3" s="92">
        <f t="shared" ref="P3:P117" si="4">N3-O3</f>
        <v>690</v>
      </c>
      <c r="Q3" s="92">
        <f t="shared" ref="Q3:Q117" si="5">P3*M3</f>
        <v>552000</v>
      </c>
      <c r="R3" s="93">
        <v>0</v>
      </c>
      <c r="S3" s="93">
        <v>0</v>
      </c>
      <c r="T3" s="93">
        <v>0</v>
      </c>
      <c r="U3" s="93">
        <f t="shared" ref="U3:U117" si="6">S3-T3</f>
        <v>0</v>
      </c>
      <c r="V3" s="93">
        <f t="shared" ref="V3:V117" si="7">U3*R3</f>
        <v>0</v>
      </c>
      <c r="W3" s="94">
        <v>0</v>
      </c>
      <c r="X3" s="94">
        <v>0</v>
      </c>
      <c r="Y3" s="94">
        <v>0</v>
      </c>
      <c r="Z3" s="94">
        <f t="shared" ref="Z3:Z117" si="8">X3-Y3</f>
        <v>0</v>
      </c>
      <c r="AA3" s="94">
        <f t="shared" ref="AA3:AA117" si="9">Z3*W3</f>
        <v>0</v>
      </c>
    </row>
    <row r="4" spans="1:27" ht="14.25" customHeight="1">
      <c r="A4" s="97"/>
      <c r="B4" s="97"/>
      <c r="C4" s="44">
        <v>0</v>
      </c>
      <c r="D4" s="44">
        <v>0</v>
      </c>
      <c r="E4" s="44">
        <v>0</v>
      </c>
      <c r="F4" s="44">
        <f t="shared" si="0"/>
        <v>0</v>
      </c>
      <c r="G4" s="44">
        <f t="shared" si="1"/>
        <v>0</v>
      </c>
      <c r="H4" s="91">
        <v>0</v>
      </c>
      <c r="I4" s="91">
        <v>0</v>
      </c>
      <c r="J4" s="91">
        <v>0</v>
      </c>
      <c r="K4" s="91">
        <f t="shared" si="2"/>
        <v>0</v>
      </c>
      <c r="L4" s="91">
        <f t="shared" si="3"/>
        <v>0</v>
      </c>
      <c r="M4" s="92">
        <v>0</v>
      </c>
      <c r="N4" s="92">
        <v>0</v>
      </c>
      <c r="O4" s="92">
        <v>0</v>
      </c>
      <c r="P4" s="92">
        <f t="shared" si="4"/>
        <v>0</v>
      </c>
      <c r="Q4" s="92">
        <f t="shared" si="5"/>
        <v>0</v>
      </c>
      <c r="R4" s="93">
        <v>0</v>
      </c>
      <c r="S4" s="93">
        <v>0</v>
      </c>
      <c r="T4" s="93">
        <v>0</v>
      </c>
      <c r="U4" s="93">
        <f t="shared" si="6"/>
        <v>0</v>
      </c>
      <c r="V4" s="93">
        <f t="shared" si="7"/>
        <v>0</v>
      </c>
      <c r="W4" s="94">
        <v>0</v>
      </c>
      <c r="X4" s="94">
        <v>0</v>
      </c>
      <c r="Y4" s="94">
        <v>0</v>
      </c>
      <c r="Z4" s="94">
        <f t="shared" si="8"/>
        <v>0</v>
      </c>
      <c r="AA4" s="94">
        <f t="shared" si="9"/>
        <v>0</v>
      </c>
    </row>
    <row r="5" spans="1:27" ht="14.25" customHeight="1">
      <c r="A5" s="97"/>
      <c r="B5" s="97"/>
      <c r="C5" s="44">
        <v>0</v>
      </c>
      <c r="D5" s="44">
        <v>0</v>
      </c>
      <c r="E5" s="44">
        <v>0</v>
      </c>
      <c r="F5" s="44">
        <f t="shared" si="0"/>
        <v>0</v>
      </c>
      <c r="G5" s="44">
        <f t="shared" si="1"/>
        <v>0</v>
      </c>
      <c r="H5" s="91">
        <v>0</v>
      </c>
      <c r="I5" s="91">
        <v>0</v>
      </c>
      <c r="J5" s="91">
        <v>0</v>
      </c>
      <c r="K5" s="91">
        <f t="shared" si="2"/>
        <v>0</v>
      </c>
      <c r="L5" s="91">
        <f t="shared" si="3"/>
        <v>0</v>
      </c>
      <c r="M5" s="92">
        <v>0</v>
      </c>
      <c r="N5" s="92">
        <v>0</v>
      </c>
      <c r="O5" s="92">
        <v>0</v>
      </c>
      <c r="P5" s="92">
        <f t="shared" si="4"/>
        <v>0</v>
      </c>
      <c r="Q5" s="92">
        <f t="shared" si="5"/>
        <v>0</v>
      </c>
      <c r="R5" s="93">
        <v>0</v>
      </c>
      <c r="S5" s="93">
        <v>0</v>
      </c>
      <c r="T5" s="93">
        <v>0</v>
      </c>
      <c r="U5" s="93">
        <f t="shared" si="6"/>
        <v>0</v>
      </c>
      <c r="V5" s="93">
        <f t="shared" si="7"/>
        <v>0</v>
      </c>
      <c r="W5" s="94">
        <v>0</v>
      </c>
      <c r="X5" s="94">
        <v>0</v>
      </c>
      <c r="Y5" s="94">
        <v>0</v>
      </c>
      <c r="Z5" s="94">
        <f t="shared" si="8"/>
        <v>0</v>
      </c>
      <c r="AA5" s="94">
        <f t="shared" si="9"/>
        <v>0</v>
      </c>
    </row>
    <row r="6" spans="1:27" ht="14.25" customHeight="1">
      <c r="A6" s="97"/>
      <c r="B6" s="97"/>
      <c r="C6" s="44">
        <v>0</v>
      </c>
      <c r="D6" s="44">
        <v>0</v>
      </c>
      <c r="E6" s="44">
        <v>0</v>
      </c>
      <c r="F6" s="44">
        <f t="shared" si="0"/>
        <v>0</v>
      </c>
      <c r="G6" s="44">
        <f t="shared" si="1"/>
        <v>0</v>
      </c>
      <c r="H6" s="91">
        <v>0</v>
      </c>
      <c r="I6" s="91">
        <v>0</v>
      </c>
      <c r="J6" s="91">
        <v>0</v>
      </c>
      <c r="K6" s="91">
        <f t="shared" si="2"/>
        <v>0</v>
      </c>
      <c r="L6" s="91">
        <f t="shared" si="3"/>
        <v>0</v>
      </c>
      <c r="M6" s="92">
        <v>0</v>
      </c>
      <c r="N6" s="92">
        <v>0</v>
      </c>
      <c r="O6" s="92">
        <v>0</v>
      </c>
      <c r="P6" s="92">
        <f t="shared" si="4"/>
        <v>0</v>
      </c>
      <c r="Q6" s="92">
        <f t="shared" si="5"/>
        <v>0</v>
      </c>
      <c r="R6" s="93">
        <v>0</v>
      </c>
      <c r="S6" s="93">
        <v>0</v>
      </c>
      <c r="T6" s="93">
        <v>0</v>
      </c>
      <c r="U6" s="93">
        <f t="shared" si="6"/>
        <v>0</v>
      </c>
      <c r="V6" s="93">
        <f t="shared" si="7"/>
        <v>0</v>
      </c>
      <c r="W6" s="94">
        <v>0</v>
      </c>
      <c r="X6" s="94">
        <v>0</v>
      </c>
      <c r="Y6" s="94">
        <v>0</v>
      </c>
      <c r="Z6" s="94">
        <f t="shared" si="8"/>
        <v>0</v>
      </c>
      <c r="AA6" s="94">
        <f t="shared" si="9"/>
        <v>0</v>
      </c>
    </row>
    <row r="7" spans="1:27" ht="14.25" customHeight="1">
      <c r="A7" s="97"/>
      <c r="B7" s="97"/>
      <c r="C7" s="44">
        <v>0</v>
      </c>
      <c r="D7" s="44">
        <v>0</v>
      </c>
      <c r="E7" s="44">
        <v>0</v>
      </c>
      <c r="F7" s="44">
        <f t="shared" si="0"/>
        <v>0</v>
      </c>
      <c r="G7" s="44">
        <f t="shared" si="1"/>
        <v>0</v>
      </c>
      <c r="H7" s="91">
        <v>0</v>
      </c>
      <c r="I7" s="91">
        <v>0</v>
      </c>
      <c r="J7" s="91">
        <v>0</v>
      </c>
      <c r="K7" s="91">
        <f t="shared" si="2"/>
        <v>0</v>
      </c>
      <c r="L7" s="91">
        <f t="shared" si="3"/>
        <v>0</v>
      </c>
      <c r="M7" s="92">
        <v>0</v>
      </c>
      <c r="N7" s="92">
        <v>0</v>
      </c>
      <c r="O7" s="92">
        <v>0</v>
      </c>
      <c r="P7" s="92">
        <f t="shared" si="4"/>
        <v>0</v>
      </c>
      <c r="Q7" s="92">
        <f t="shared" si="5"/>
        <v>0</v>
      </c>
      <c r="R7" s="93">
        <v>0</v>
      </c>
      <c r="S7" s="93">
        <v>0</v>
      </c>
      <c r="T7" s="93">
        <v>0</v>
      </c>
      <c r="U7" s="93">
        <f t="shared" si="6"/>
        <v>0</v>
      </c>
      <c r="V7" s="93">
        <f t="shared" si="7"/>
        <v>0</v>
      </c>
      <c r="W7" s="94">
        <v>0</v>
      </c>
      <c r="X7" s="94">
        <v>0</v>
      </c>
      <c r="Y7" s="94">
        <v>0</v>
      </c>
      <c r="Z7" s="94">
        <f t="shared" si="8"/>
        <v>0</v>
      </c>
      <c r="AA7" s="94">
        <f t="shared" si="9"/>
        <v>0</v>
      </c>
    </row>
    <row r="8" spans="1:27" ht="14.25" customHeight="1">
      <c r="A8" s="97"/>
      <c r="B8" s="97"/>
      <c r="C8" s="44">
        <v>0</v>
      </c>
      <c r="D8" s="44">
        <v>0</v>
      </c>
      <c r="E8" s="44">
        <v>0</v>
      </c>
      <c r="F8" s="44">
        <f t="shared" si="0"/>
        <v>0</v>
      </c>
      <c r="G8" s="44">
        <f t="shared" si="1"/>
        <v>0</v>
      </c>
      <c r="H8" s="91">
        <v>0</v>
      </c>
      <c r="I8" s="91">
        <v>0</v>
      </c>
      <c r="J8" s="91">
        <v>0</v>
      </c>
      <c r="K8" s="91">
        <f t="shared" si="2"/>
        <v>0</v>
      </c>
      <c r="L8" s="91">
        <f t="shared" si="3"/>
        <v>0</v>
      </c>
      <c r="M8" s="92">
        <v>0</v>
      </c>
      <c r="N8" s="92">
        <v>0</v>
      </c>
      <c r="O8" s="92">
        <v>0</v>
      </c>
      <c r="P8" s="92">
        <f t="shared" si="4"/>
        <v>0</v>
      </c>
      <c r="Q8" s="92">
        <f t="shared" si="5"/>
        <v>0</v>
      </c>
      <c r="R8" s="93">
        <v>0</v>
      </c>
      <c r="S8" s="93">
        <v>0</v>
      </c>
      <c r="T8" s="93">
        <v>0</v>
      </c>
      <c r="U8" s="93">
        <f t="shared" si="6"/>
        <v>0</v>
      </c>
      <c r="V8" s="93">
        <f t="shared" si="7"/>
        <v>0</v>
      </c>
      <c r="W8" s="94">
        <v>0</v>
      </c>
      <c r="X8" s="94">
        <v>0</v>
      </c>
      <c r="Y8" s="94">
        <v>0</v>
      </c>
      <c r="Z8" s="94">
        <f t="shared" si="8"/>
        <v>0</v>
      </c>
      <c r="AA8" s="94">
        <f t="shared" si="9"/>
        <v>0</v>
      </c>
    </row>
    <row r="9" spans="1:27" ht="14.25" customHeight="1">
      <c r="A9" s="97"/>
      <c r="B9" s="97"/>
      <c r="C9" s="44">
        <v>0</v>
      </c>
      <c r="D9" s="44">
        <v>0</v>
      </c>
      <c r="E9" s="44">
        <v>0</v>
      </c>
      <c r="F9" s="44">
        <f t="shared" si="0"/>
        <v>0</v>
      </c>
      <c r="G9" s="44">
        <f t="shared" si="1"/>
        <v>0</v>
      </c>
      <c r="H9" s="91">
        <v>0</v>
      </c>
      <c r="I9" s="91">
        <v>0</v>
      </c>
      <c r="J9" s="91">
        <v>0</v>
      </c>
      <c r="K9" s="91">
        <f t="shared" si="2"/>
        <v>0</v>
      </c>
      <c r="L9" s="91">
        <f t="shared" si="3"/>
        <v>0</v>
      </c>
      <c r="M9" s="92">
        <v>0</v>
      </c>
      <c r="N9" s="92">
        <v>0</v>
      </c>
      <c r="O9" s="92">
        <v>0</v>
      </c>
      <c r="P9" s="92">
        <f t="shared" si="4"/>
        <v>0</v>
      </c>
      <c r="Q9" s="92">
        <f t="shared" si="5"/>
        <v>0</v>
      </c>
      <c r="R9" s="93">
        <v>0</v>
      </c>
      <c r="S9" s="93">
        <v>0</v>
      </c>
      <c r="T9" s="93">
        <v>0</v>
      </c>
      <c r="U9" s="93">
        <f t="shared" si="6"/>
        <v>0</v>
      </c>
      <c r="V9" s="93">
        <f t="shared" si="7"/>
        <v>0</v>
      </c>
      <c r="W9" s="94">
        <v>0</v>
      </c>
      <c r="X9" s="94">
        <v>0</v>
      </c>
      <c r="Y9" s="94">
        <v>0</v>
      </c>
      <c r="Z9" s="94">
        <f t="shared" si="8"/>
        <v>0</v>
      </c>
      <c r="AA9" s="94">
        <f t="shared" si="9"/>
        <v>0</v>
      </c>
    </row>
    <row r="10" spans="1:27" ht="14.25" customHeight="1">
      <c r="A10" s="97"/>
      <c r="B10" s="97"/>
      <c r="C10" s="44">
        <v>0</v>
      </c>
      <c r="D10" s="44">
        <v>0</v>
      </c>
      <c r="E10" s="44">
        <v>0</v>
      </c>
      <c r="F10" s="44">
        <f t="shared" si="0"/>
        <v>0</v>
      </c>
      <c r="G10" s="44">
        <f t="shared" si="1"/>
        <v>0</v>
      </c>
      <c r="H10" s="91">
        <v>0</v>
      </c>
      <c r="I10" s="91">
        <v>0</v>
      </c>
      <c r="J10" s="91">
        <v>0</v>
      </c>
      <c r="K10" s="91">
        <f t="shared" si="2"/>
        <v>0</v>
      </c>
      <c r="L10" s="91">
        <f t="shared" si="3"/>
        <v>0</v>
      </c>
      <c r="M10" s="92">
        <v>0</v>
      </c>
      <c r="N10" s="92">
        <v>0</v>
      </c>
      <c r="O10" s="92">
        <v>0</v>
      </c>
      <c r="P10" s="92">
        <f t="shared" si="4"/>
        <v>0</v>
      </c>
      <c r="Q10" s="92">
        <f t="shared" si="5"/>
        <v>0</v>
      </c>
      <c r="R10" s="93">
        <v>0</v>
      </c>
      <c r="S10" s="93">
        <v>0</v>
      </c>
      <c r="T10" s="93">
        <v>0</v>
      </c>
      <c r="U10" s="93">
        <f t="shared" si="6"/>
        <v>0</v>
      </c>
      <c r="V10" s="93">
        <f t="shared" si="7"/>
        <v>0</v>
      </c>
      <c r="W10" s="94">
        <v>0</v>
      </c>
      <c r="X10" s="94">
        <v>0</v>
      </c>
      <c r="Y10" s="94">
        <v>0</v>
      </c>
      <c r="Z10" s="94">
        <f t="shared" si="8"/>
        <v>0</v>
      </c>
      <c r="AA10" s="94">
        <f t="shared" si="9"/>
        <v>0</v>
      </c>
    </row>
    <row r="11" spans="1:27" ht="14.25" customHeight="1">
      <c r="A11" s="97"/>
      <c r="B11" s="97"/>
      <c r="C11" s="44">
        <v>0</v>
      </c>
      <c r="D11" s="44">
        <v>0</v>
      </c>
      <c r="E11" s="44">
        <v>0</v>
      </c>
      <c r="F11" s="44">
        <f t="shared" si="0"/>
        <v>0</v>
      </c>
      <c r="G11" s="44">
        <f t="shared" si="1"/>
        <v>0</v>
      </c>
      <c r="H11" s="91">
        <v>0</v>
      </c>
      <c r="I11" s="91">
        <v>0</v>
      </c>
      <c r="J11" s="91">
        <v>0</v>
      </c>
      <c r="K11" s="91">
        <f t="shared" si="2"/>
        <v>0</v>
      </c>
      <c r="L11" s="91">
        <f t="shared" si="3"/>
        <v>0</v>
      </c>
      <c r="M11" s="92">
        <v>0</v>
      </c>
      <c r="N11" s="92">
        <v>0</v>
      </c>
      <c r="O11" s="92">
        <v>0</v>
      </c>
      <c r="P11" s="92">
        <f t="shared" si="4"/>
        <v>0</v>
      </c>
      <c r="Q11" s="92">
        <f t="shared" si="5"/>
        <v>0</v>
      </c>
      <c r="R11" s="93">
        <v>0</v>
      </c>
      <c r="S11" s="93">
        <v>0</v>
      </c>
      <c r="T11" s="93">
        <v>0</v>
      </c>
      <c r="U11" s="93">
        <f t="shared" si="6"/>
        <v>0</v>
      </c>
      <c r="V11" s="93">
        <f t="shared" si="7"/>
        <v>0</v>
      </c>
      <c r="W11" s="94">
        <v>0</v>
      </c>
      <c r="X11" s="94">
        <v>0</v>
      </c>
      <c r="Y11" s="94">
        <v>0</v>
      </c>
      <c r="Z11" s="94">
        <f t="shared" si="8"/>
        <v>0</v>
      </c>
      <c r="AA11" s="94">
        <f t="shared" si="9"/>
        <v>0</v>
      </c>
    </row>
    <row r="12" spans="1:27" ht="14.25" customHeight="1">
      <c r="A12" s="97"/>
      <c r="B12" s="97"/>
      <c r="C12" s="44">
        <v>0</v>
      </c>
      <c r="D12" s="44">
        <v>0</v>
      </c>
      <c r="E12" s="44">
        <v>0</v>
      </c>
      <c r="F12" s="44">
        <f t="shared" si="0"/>
        <v>0</v>
      </c>
      <c r="G12" s="44">
        <f t="shared" si="1"/>
        <v>0</v>
      </c>
      <c r="H12" s="91">
        <v>0</v>
      </c>
      <c r="I12" s="91">
        <v>0</v>
      </c>
      <c r="J12" s="91">
        <v>0</v>
      </c>
      <c r="K12" s="91">
        <f t="shared" si="2"/>
        <v>0</v>
      </c>
      <c r="L12" s="91">
        <f t="shared" si="3"/>
        <v>0</v>
      </c>
      <c r="M12" s="92">
        <v>0</v>
      </c>
      <c r="N12" s="92">
        <v>0</v>
      </c>
      <c r="O12" s="92">
        <v>0</v>
      </c>
      <c r="P12" s="92">
        <f t="shared" si="4"/>
        <v>0</v>
      </c>
      <c r="Q12" s="92">
        <f t="shared" si="5"/>
        <v>0</v>
      </c>
      <c r="R12" s="93">
        <v>0</v>
      </c>
      <c r="S12" s="93">
        <v>0</v>
      </c>
      <c r="T12" s="93">
        <v>0</v>
      </c>
      <c r="U12" s="93">
        <f t="shared" si="6"/>
        <v>0</v>
      </c>
      <c r="V12" s="93">
        <f t="shared" si="7"/>
        <v>0</v>
      </c>
      <c r="W12" s="94">
        <v>0</v>
      </c>
      <c r="X12" s="94">
        <v>0</v>
      </c>
      <c r="Y12" s="94">
        <v>0</v>
      </c>
      <c r="Z12" s="94">
        <f t="shared" si="8"/>
        <v>0</v>
      </c>
      <c r="AA12" s="94">
        <f t="shared" si="9"/>
        <v>0</v>
      </c>
    </row>
    <row r="13" spans="1:27" ht="14.25" customHeight="1">
      <c r="A13" s="97"/>
      <c r="B13" s="97"/>
      <c r="C13" s="44">
        <v>0</v>
      </c>
      <c r="D13" s="44">
        <v>0</v>
      </c>
      <c r="E13" s="44">
        <v>0</v>
      </c>
      <c r="F13" s="44">
        <f t="shared" si="0"/>
        <v>0</v>
      </c>
      <c r="G13" s="44">
        <f t="shared" si="1"/>
        <v>0</v>
      </c>
      <c r="H13" s="91">
        <v>0</v>
      </c>
      <c r="I13" s="91">
        <v>0</v>
      </c>
      <c r="J13" s="91">
        <v>0</v>
      </c>
      <c r="K13" s="91">
        <f t="shared" si="2"/>
        <v>0</v>
      </c>
      <c r="L13" s="91">
        <f t="shared" si="3"/>
        <v>0</v>
      </c>
      <c r="M13" s="92">
        <v>0</v>
      </c>
      <c r="N13" s="92">
        <v>0</v>
      </c>
      <c r="O13" s="92">
        <v>0</v>
      </c>
      <c r="P13" s="92">
        <f t="shared" si="4"/>
        <v>0</v>
      </c>
      <c r="Q13" s="92">
        <f t="shared" si="5"/>
        <v>0</v>
      </c>
      <c r="R13" s="93">
        <v>0</v>
      </c>
      <c r="S13" s="93">
        <v>0</v>
      </c>
      <c r="T13" s="93">
        <v>0</v>
      </c>
      <c r="U13" s="93">
        <f t="shared" si="6"/>
        <v>0</v>
      </c>
      <c r="V13" s="93">
        <f t="shared" si="7"/>
        <v>0</v>
      </c>
      <c r="W13" s="94">
        <v>0</v>
      </c>
      <c r="X13" s="94">
        <v>0</v>
      </c>
      <c r="Y13" s="94">
        <v>0</v>
      </c>
      <c r="Z13" s="94">
        <f t="shared" si="8"/>
        <v>0</v>
      </c>
      <c r="AA13" s="94">
        <f t="shared" si="9"/>
        <v>0</v>
      </c>
    </row>
    <row r="14" spans="1:27" ht="14.25" customHeight="1">
      <c r="A14" s="97"/>
      <c r="B14" s="97"/>
      <c r="C14" s="44">
        <v>0</v>
      </c>
      <c r="D14" s="44">
        <v>0</v>
      </c>
      <c r="E14" s="44">
        <v>0</v>
      </c>
      <c r="F14" s="44">
        <f t="shared" si="0"/>
        <v>0</v>
      </c>
      <c r="G14" s="44">
        <f t="shared" si="1"/>
        <v>0</v>
      </c>
      <c r="H14" s="91">
        <v>0</v>
      </c>
      <c r="I14" s="91">
        <v>0</v>
      </c>
      <c r="J14" s="91">
        <v>0</v>
      </c>
      <c r="K14" s="91">
        <f t="shared" si="2"/>
        <v>0</v>
      </c>
      <c r="L14" s="91">
        <f t="shared" si="3"/>
        <v>0</v>
      </c>
      <c r="M14" s="92">
        <v>0</v>
      </c>
      <c r="N14" s="92">
        <v>0</v>
      </c>
      <c r="O14" s="92">
        <v>0</v>
      </c>
      <c r="P14" s="92">
        <f t="shared" si="4"/>
        <v>0</v>
      </c>
      <c r="Q14" s="92">
        <f t="shared" si="5"/>
        <v>0</v>
      </c>
      <c r="R14" s="93">
        <v>0</v>
      </c>
      <c r="S14" s="93">
        <v>0</v>
      </c>
      <c r="T14" s="93">
        <v>0</v>
      </c>
      <c r="U14" s="93">
        <f t="shared" si="6"/>
        <v>0</v>
      </c>
      <c r="V14" s="93">
        <f t="shared" si="7"/>
        <v>0</v>
      </c>
      <c r="W14" s="94">
        <v>0</v>
      </c>
      <c r="X14" s="94">
        <v>0</v>
      </c>
      <c r="Y14" s="94">
        <v>0</v>
      </c>
      <c r="Z14" s="94">
        <f t="shared" si="8"/>
        <v>0</v>
      </c>
      <c r="AA14" s="94">
        <f t="shared" si="9"/>
        <v>0</v>
      </c>
    </row>
    <row r="15" spans="1:27" ht="14.25" customHeight="1">
      <c r="A15" s="97"/>
      <c r="B15" s="97"/>
      <c r="C15" s="44">
        <v>0</v>
      </c>
      <c r="D15" s="44">
        <v>0</v>
      </c>
      <c r="E15" s="44">
        <v>0</v>
      </c>
      <c r="F15" s="44">
        <f t="shared" si="0"/>
        <v>0</v>
      </c>
      <c r="G15" s="44">
        <f t="shared" si="1"/>
        <v>0</v>
      </c>
      <c r="H15" s="91">
        <v>0</v>
      </c>
      <c r="I15" s="91">
        <v>0</v>
      </c>
      <c r="J15" s="91">
        <v>0</v>
      </c>
      <c r="K15" s="91">
        <f t="shared" si="2"/>
        <v>0</v>
      </c>
      <c r="L15" s="91">
        <f t="shared" si="3"/>
        <v>0</v>
      </c>
      <c r="M15" s="92">
        <v>0</v>
      </c>
      <c r="N15" s="92">
        <v>0</v>
      </c>
      <c r="O15" s="92">
        <v>0</v>
      </c>
      <c r="P15" s="92">
        <f t="shared" si="4"/>
        <v>0</v>
      </c>
      <c r="Q15" s="92">
        <f t="shared" si="5"/>
        <v>0</v>
      </c>
      <c r="R15" s="93">
        <v>0</v>
      </c>
      <c r="S15" s="93">
        <v>0</v>
      </c>
      <c r="T15" s="93">
        <v>0</v>
      </c>
      <c r="U15" s="93">
        <f t="shared" si="6"/>
        <v>0</v>
      </c>
      <c r="V15" s="93">
        <f t="shared" si="7"/>
        <v>0</v>
      </c>
      <c r="W15" s="94">
        <v>0</v>
      </c>
      <c r="X15" s="94">
        <v>0</v>
      </c>
      <c r="Y15" s="94">
        <v>0</v>
      </c>
      <c r="Z15" s="94">
        <f t="shared" si="8"/>
        <v>0</v>
      </c>
      <c r="AA15" s="94">
        <f t="shared" si="9"/>
        <v>0</v>
      </c>
    </row>
    <row r="16" spans="1:27" ht="14.25" customHeight="1">
      <c r="A16" s="97"/>
      <c r="B16" s="97"/>
      <c r="C16" s="44">
        <v>0</v>
      </c>
      <c r="D16" s="44">
        <v>0</v>
      </c>
      <c r="E16" s="44">
        <v>0</v>
      </c>
      <c r="F16" s="44">
        <f t="shared" si="0"/>
        <v>0</v>
      </c>
      <c r="G16" s="44">
        <f t="shared" si="1"/>
        <v>0</v>
      </c>
      <c r="H16" s="91">
        <v>0</v>
      </c>
      <c r="I16" s="91">
        <v>0</v>
      </c>
      <c r="J16" s="91">
        <v>0</v>
      </c>
      <c r="K16" s="91">
        <f t="shared" si="2"/>
        <v>0</v>
      </c>
      <c r="L16" s="91">
        <f t="shared" si="3"/>
        <v>0</v>
      </c>
      <c r="M16" s="92">
        <v>0</v>
      </c>
      <c r="N16" s="92">
        <v>0</v>
      </c>
      <c r="O16" s="92">
        <v>0</v>
      </c>
      <c r="P16" s="92">
        <f t="shared" si="4"/>
        <v>0</v>
      </c>
      <c r="Q16" s="92">
        <f t="shared" si="5"/>
        <v>0</v>
      </c>
      <c r="R16" s="93">
        <v>0</v>
      </c>
      <c r="S16" s="93">
        <v>0</v>
      </c>
      <c r="T16" s="93">
        <v>0</v>
      </c>
      <c r="U16" s="93">
        <f t="shared" si="6"/>
        <v>0</v>
      </c>
      <c r="V16" s="93">
        <f t="shared" si="7"/>
        <v>0</v>
      </c>
      <c r="W16" s="94">
        <v>0</v>
      </c>
      <c r="X16" s="94">
        <v>0</v>
      </c>
      <c r="Y16" s="94">
        <v>0</v>
      </c>
      <c r="Z16" s="94">
        <f t="shared" si="8"/>
        <v>0</v>
      </c>
      <c r="AA16" s="94">
        <f t="shared" si="9"/>
        <v>0</v>
      </c>
    </row>
    <row r="17" spans="1:27" ht="14.25" customHeight="1">
      <c r="A17" s="97"/>
      <c r="B17" s="97"/>
      <c r="C17" s="44">
        <v>0</v>
      </c>
      <c r="D17" s="44">
        <v>0</v>
      </c>
      <c r="E17" s="44">
        <v>0</v>
      </c>
      <c r="F17" s="44">
        <f t="shared" si="0"/>
        <v>0</v>
      </c>
      <c r="G17" s="44">
        <f t="shared" si="1"/>
        <v>0</v>
      </c>
      <c r="H17" s="91">
        <v>0</v>
      </c>
      <c r="I17" s="91">
        <v>0</v>
      </c>
      <c r="J17" s="91">
        <v>0</v>
      </c>
      <c r="K17" s="91">
        <f t="shared" si="2"/>
        <v>0</v>
      </c>
      <c r="L17" s="91">
        <f t="shared" si="3"/>
        <v>0</v>
      </c>
      <c r="M17" s="92">
        <v>0</v>
      </c>
      <c r="N17" s="92">
        <v>0</v>
      </c>
      <c r="O17" s="92">
        <v>0</v>
      </c>
      <c r="P17" s="92">
        <f t="shared" si="4"/>
        <v>0</v>
      </c>
      <c r="Q17" s="92">
        <f t="shared" si="5"/>
        <v>0</v>
      </c>
      <c r="R17" s="93">
        <v>0</v>
      </c>
      <c r="S17" s="93">
        <v>0</v>
      </c>
      <c r="T17" s="93">
        <v>0</v>
      </c>
      <c r="U17" s="93">
        <f t="shared" si="6"/>
        <v>0</v>
      </c>
      <c r="V17" s="93">
        <f t="shared" si="7"/>
        <v>0</v>
      </c>
      <c r="W17" s="94">
        <v>0</v>
      </c>
      <c r="X17" s="94">
        <v>0</v>
      </c>
      <c r="Y17" s="94">
        <v>0</v>
      </c>
      <c r="Z17" s="94">
        <f t="shared" si="8"/>
        <v>0</v>
      </c>
      <c r="AA17" s="94">
        <f t="shared" si="9"/>
        <v>0</v>
      </c>
    </row>
    <row r="18" spans="1:27" ht="14.25" customHeight="1">
      <c r="A18" s="97"/>
      <c r="B18" s="97"/>
      <c r="C18" s="44">
        <v>0</v>
      </c>
      <c r="D18" s="44">
        <v>0</v>
      </c>
      <c r="E18" s="44">
        <v>0</v>
      </c>
      <c r="F18" s="44">
        <f t="shared" si="0"/>
        <v>0</v>
      </c>
      <c r="G18" s="44">
        <f t="shared" si="1"/>
        <v>0</v>
      </c>
      <c r="H18" s="91">
        <v>0</v>
      </c>
      <c r="I18" s="91">
        <v>0</v>
      </c>
      <c r="J18" s="91">
        <v>0</v>
      </c>
      <c r="K18" s="91">
        <f t="shared" si="2"/>
        <v>0</v>
      </c>
      <c r="L18" s="91">
        <f t="shared" si="3"/>
        <v>0</v>
      </c>
      <c r="M18" s="92">
        <v>0</v>
      </c>
      <c r="N18" s="92">
        <v>0</v>
      </c>
      <c r="O18" s="92">
        <v>0</v>
      </c>
      <c r="P18" s="92">
        <f t="shared" si="4"/>
        <v>0</v>
      </c>
      <c r="Q18" s="92">
        <f t="shared" si="5"/>
        <v>0</v>
      </c>
      <c r="R18" s="93">
        <v>0</v>
      </c>
      <c r="S18" s="93">
        <v>0</v>
      </c>
      <c r="T18" s="93">
        <v>0</v>
      </c>
      <c r="U18" s="93">
        <f t="shared" si="6"/>
        <v>0</v>
      </c>
      <c r="V18" s="93">
        <f t="shared" si="7"/>
        <v>0</v>
      </c>
      <c r="W18" s="94">
        <v>0</v>
      </c>
      <c r="X18" s="94">
        <v>0</v>
      </c>
      <c r="Y18" s="94">
        <v>0</v>
      </c>
      <c r="Z18" s="94">
        <f t="shared" si="8"/>
        <v>0</v>
      </c>
      <c r="AA18" s="94">
        <f t="shared" si="9"/>
        <v>0</v>
      </c>
    </row>
    <row r="19" spans="1:27" ht="14.25" customHeight="1">
      <c r="A19" s="97"/>
      <c r="B19" s="97"/>
      <c r="C19" s="44">
        <v>0</v>
      </c>
      <c r="D19" s="44">
        <v>0</v>
      </c>
      <c r="E19" s="44">
        <v>0</v>
      </c>
      <c r="F19" s="44">
        <f t="shared" si="0"/>
        <v>0</v>
      </c>
      <c r="G19" s="44">
        <f t="shared" si="1"/>
        <v>0</v>
      </c>
      <c r="H19" s="91">
        <v>0</v>
      </c>
      <c r="I19" s="91">
        <v>0</v>
      </c>
      <c r="J19" s="91">
        <v>0</v>
      </c>
      <c r="K19" s="91">
        <f t="shared" si="2"/>
        <v>0</v>
      </c>
      <c r="L19" s="91">
        <f t="shared" si="3"/>
        <v>0</v>
      </c>
      <c r="M19" s="92">
        <v>0</v>
      </c>
      <c r="N19" s="92">
        <v>0</v>
      </c>
      <c r="O19" s="92">
        <v>0</v>
      </c>
      <c r="P19" s="92">
        <f t="shared" si="4"/>
        <v>0</v>
      </c>
      <c r="Q19" s="92">
        <f t="shared" si="5"/>
        <v>0</v>
      </c>
      <c r="R19" s="93">
        <v>0</v>
      </c>
      <c r="S19" s="93">
        <v>0</v>
      </c>
      <c r="T19" s="93">
        <v>0</v>
      </c>
      <c r="U19" s="93">
        <f t="shared" si="6"/>
        <v>0</v>
      </c>
      <c r="V19" s="93">
        <f t="shared" si="7"/>
        <v>0</v>
      </c>
      <c r="W19" s="94">
        <v>0</v>
      </c>
      <c r="X19" s="94">
        <v>0</v>
      </c>
      <c r="Y19" s="94">
        <v>0</v>
      </c>
      <c r="Z19" s="94">
        <f t="shared" si="8"/>
        <v>0</v>
      </c>
      <c r="AA19" s="94">
        <f t="shared" si="9"/>
        <v>0</v>
      </c>
    </row>
    <row r="20" spans="1:27" ht="14.25" customHeight="1">
      <c r="A20" s="97"/>
      <c r="B20" s="97"/>
      <c r="C20" s="44">
        <v>0</v>
      </c>
      <c r="D20" s="44">
        <v>0</v>
      </c>
      <c r="E20" s="44">
        <v>0</v>
      </c>
      <c r="F20" s="44">
        <f t="shared" si="0"/>
        <v>0</v>
      </c>
      <c r="G20" s="44">
        <f t="shared" si="1"/>
        <v>0</v>
      </c>
      <c r="H20" s="91">
        <v>0</v>
      </c>
      <c r="I20" s="91">
        <v>0</v>
      </c>
      <c r="J20" s="91">
        <v>0</v>
      </c>
      <c r="K20" s="91">
        <f t="shared" si="2"/>
        <v>0</v>
      </c>
      <c r="L20" s="91">
        <f t="shared" si="3"/>
        <v>0</v>
      </c>
      <c r="M20" s="92">
        <v>0</v>
      </c>
      <c r="N20" s="92">
        <v>0</v>
      </c>
      <c r="O20" s="92">
        <v>0</v>
      </c>
      <c r="P20" s="92">
        <f t="shared" si="4"/>
        <v>0</v>
      </c>
      <c r="Q20" s="92">
        <f t="shared" si="5"/>
        <v>0</v>
      </c>
      <c r="R20" s="93">
        <v>0</v>
      </c>
      <c r="S20" s="93">
        <v>0</v>
      </c>
      <c r="T20" s="93">
        <v>0</v>
      </c>
      <c r="U20" s="93">
        <f t="shared" si="6"/>
        <v>0</v>
      </c>
      <c r="V20" s="93">
        <f t="shared" si="7"/>
        <v>0</v>
      </c>
      <c r="W20" s="94">
        <v>0</v>
      </c>
      <c r="X20" s="94">
        <v>0</v>
      </c>
      <c r="Y20" s="94">
        <v>0</v>
      </c>
      <c r="Z20" s="94">
        <f t="shared" si="8"/>
        <v>0</v>
      </c>
      <c r="AA20" s="94">
        <f t="shared" si="9"/>
        <v>0</v>
      </c>
    </row>
    <row r="21" spans="1:27" ht="14.25" customHeight="1">
      <c r="A21" s="97"/>
      <c r="B21" s="97"/>
      <c r="C21" s="44">
        <v>0</v>
      </c>
      <c r="D21" s="44">
        <v>0</v>
      </c>
      <c r="E21" s="44">
        <v>0</v>
      </c>
      <c r="F21" s="44">
        <f t="shared" si="0"/>
        <v>0</v>
      </c>
      <c r="G21" s="44">
        <f t="shared" si="1"/>
        <v>0</v>
      </c>
      <c r="H21" s="91">
        <v>0</v>
      </c>
      <c r="I21" s="91">
        <v>0</v>
      </c>
      <c r="J21" s="91">
        <v>0</v>
      </c>
      <c r="K21" s="91">
        <f t="shared" si="2"/>
        <v>0</v>
      </c>
      <c r="L21" s="91">
        <f t="shared" si="3"/>
        <v>0</v>
      </c>
      <c r="M21" s="92">
        <v>0</v>
      </c>
      <c r="N21" s="92">
        <v>0</v>
      </c>
      <c r="O21" s="92">
        <v>0</v>
      </c>
      <c r="P21" s="92">
        <f t="shared" si="4"/>
        <v>0</v>
      </c>
      <c r="Q21" s="92">
        <f t="shared" si="5"/>
        <v>0</v>
      </c>
      <c r="R21" s="93">
        <v>0</v>
      </c>
      <c r="S21" s="93">
        <v>0</v>
      </c>
      <c r="T21" s="93">
        <v>0</v>
      </c>
      <c r="U21" s="93">
        <f t="shared" si="6"/>
        <v>0</v>
      </c>
      <c r="V21" s="93">
        <f t="shared" si="7"/>
        <v>0</v>
      </c>
      <c r="W21" s="94">
        <v>0</v>
      </c>
      <c r="X21" s="94">
        <v>0</v>
      </c>
      <c r="Y21" s="94">
        <v>0</v>
      </c>
      <c r="Z21" s="94">
        <f t="shared" si="8"/>
        <v>0</v>
      </c>
      <c r="AA21" s="94">
        <f t="shared" si="9"/>
        <v>0</v>
      </c>
    </row>
    <row r="22" spans="1:27" ht="14.25" customHeight="1">
      <c r="A22" s="97"/>
      <c r="B22" s="97"/>
      <c r="C22" s="44">
        <v>0</v>
      </c>
      <c r="D22" s="44">
        <v>0</v>
      </c>
      <c r="E22" s="44">
        <v>0</v>
      </c>
      <c r="F22" s="44">
        <f t="shared" si="0"/>
        <v>0</v>
      </c>
      <c r="G22" s="44">
        <f t="shared" si="1"/>
        <v>0</v>
      </c>
      <c r="H22" s="91">
        <v>0</v>
      </c>
      <c r="I22" s="91">
        <v>0</v>
      </c>
      <c r="J22" s="91">
        <v>0</v>
      </c>
      <c r="K22" s="91">
        <f t="shared" si="2"/>
        <v>0</v>
      </c>
      <c r="L22" s="91">
        <f t="shared" si="3"/>
        <v>0</v>
      </c>
      <c r="M22" s="92">
        <v>0</v>
      </c>
      <c r="N22" s="92">
        <v>0</v>
      </c>
      <c r="O22" s="92">
        <v>0</v>
      </c>
      <c r="P22" s="92">
        <f t="shared" si="4"/>
        <v>0</v>
      </c>
      <c r="Q22" s="92">
        <f t="shared" si="5"/>
        <v>0</v>
      </c>
      <c r="R22" s="93">
        <v>0</v>
      </c>
      <c r="S22" s="93">
        <v>0</v>
      </c>
      <c r="T22" s="93">
        <v>0</v>
      </c>
      <c r="U22" s="93">
        <f t="shared" si="6"/>
        <v>0</v>
      </c>
      <c r="V22" s="93">
        <f t="shared" si="7"/>
        <v>0</v>
      </c>
      <c r="W22" s="94">
        <v>0</v>
      </c>
      <c r="X22" s="94">
        <v>0</v>
      </c>
      <c r="Y22" s="94">
        <v>0</v>
      </c>
      <c r="Z22" s="94">
        <f t="shared" si="8"/>
        <v>0</v>
      </c>
      <c r="AA22" s="94">
        <f t="shared" si="9"/>
        <v>0</v>
      </c>
    </row>
    <row r="23" spans="1:27" ht="14.25" customHeight="1">
      <c r="A23" s="97"/>
      <c r="B23" s="97"/>
      <c r="C23" s="44">
        <v>0</v>
      </c>
      <c r="D23" s="44">
        <v>0</v>
      </c>
      <c r="E23" s="44">
        <v>0</v>
      </c>
      <c r="F23" s="44">
        <f t="shared" si="0"/>
        <v>0</v>
      </c>
      <c r="G23" s="44">
        <f t="shared" si="1"/>
        <v>0</v>
      </c>
      <c r="H23" s="91">
        <v>0</v>
      </c>
      <c r="I23" s="91">
        <v>0</v>
      </c>
      <c r="J23" s="91">
        <v>0</v>
      </c>
      <c r="K23" s="91">
        <f t="shared" si="2"/>
        <v>0</v>
      </c>
      <c r="L23" s="91">
        <f t="shared" si="3"/>
        <v>0</v>
      </c>
      <c r="M23" s="92">
        <v>0</v>
      </c>
      <c r="N23" s="92">
        <v>0</v>
      </c>
      <c r="O23" s="92">
        <v>0</v>
      </c>
      <c r="P23" s="92">
        <f t="shared" si="4"/>
        <v>0</v>
      </c>
      <c r="Q23" s="92">
        <f t="shared" si="5"/>
        <v>0</v>
      </c>
      <c r="R23" s="93">
        <v>0</v>
      </c>
      <c r="S23" s="93">
        <v>0</v>
      </c>
      <c r="T23" s="93">
        <v>0</v>
      </c>
      <c r="U23" s="93">
        <f t="shared" si="6"/>
        <v>0</v>
      </c>
      <c r="V23" s="93">
        <f t="shared" si="7"/>
        <v>0</v>
      </c>
      <c r="W23" s="94">
        <v>0</v>
      </c>
      <c r="X23" s="94">
        <v>0</v>
      </c>
      <c r="Y23" s="94">
        <v>0</v>
      </c>
      <c r="Z23" s="94">
        <f t="shared" si="8"/>
        <v>0</v>
      </c>
      <c r="AA23" s="94">
        <f t="shared" si="9"/>
        <v>0</v>
      </c>
    </row>
    <row r="24" spans="1:27" ht="14.25" customHeight="1">
      <c r="A24" s="97"/>
      <c r="B24" s="97"/>
      <c r="C24" s="44">
        <v>0</v>
      </c>
      <c r="D24" s="44">
        <v>0</v>
      </c>
      <c r="E24" s="44">
        <v>0</v>
      </c>
      <c r="F24" s="44">
        <f t="shared" si="0"/>
        <v>0</v>
      </c>
      <c r="G24" s="44">
        <f t="shared" si="1"/>
        <v>0</v>
      </c>
      <c r="H24" s="91">
        <v>0</v>
      </c>
      <c r="I24" s="91">
        <v>0</v>
      </c>
      <c r="J24" s="91">
        <v>0</v>
      </c>
      <c r="K24" s="91">
        <f t="shared" si="2"/>
        <v>0</v>
      </c>
      <c r="L24" s="91">
        <f t="shared" si="3"/>
        <v>0</v>
      </c>
      <c r="M24" s="92">
        <v>0</v>
      </c>
      <c r="N24" s="92">
        <v>0</v>
      </c>
      <c r="O24" s="92">
        <v>0</v>
      </c>
      <c r="P24" s="92">
        <f t="shared" si="4"/>
        <v>0</v>
      </c>
      <c r="Q24" s="92">
        <f t="shared" si="5"/>
        <v>0</v>
      </c>
      <c r="R24" s="93">
        <v>0</v>
      </c>
      <c r="S24" s="93">
        <v>0</v>
      </c>
      <c r="T24" s="93">
        <v>0</v>
      </c>
      <c r="U24" s="93">
        <f t="shared" si="6"/>
        <v>0</v>
      </c>
      <c r="V24" s="93">
        <f t="shared" si="7"/>
        <v>0</v>
      </c>
      <c r="W24" s="94">
        <v>0</v>
      </c>
      <c r="X24" s="94">
        <v>0</v>
      </c>
      <c r="Y24" s="94">
        <v>0</v>
      </c>
      <c r="Z24" s="94">
        <f t="shared" si="8"/>
        <v>0</v>
      </c>
      <c r="AA24" s="94">
        <f t="shared" si="9"/>
        <v>0</v>
      </c>
    </row>
    <row r="25" spans="1:27" ht="14.25" customHeight="1">
      <c r="A25" s="97"/>
      <c r="B25" s="97"/>
      <c r="C25" s="44">
        <v>0</v>
      </c>
      <c r="D25" s="44">
        <v>0</v>
      </c>
      <c r="E25" s="44">
        <v>0</v>
      </c>
      <c r="F25" s="44">
        <f t="shared" si="0"/>
        <v>0</v>
      </c>
      <c r="G25" s="44">
        <f t="shared" si="1"/>
        <v>0</v>
      </c>
      <c r="H25" s="91">
        <v>0</v>
      </c>
      <c r="I25" s="91">
        <v>0</v>
      </c>
      <c r="J25" s="91">
        <v>0</v>
      </c>
      <c r="K25" s="91">
        <f t="shared" si="2"/>
        <v>0</v>
      </c>
      <c r="L25" s="91">
        <f t="shared" si="3"/>
        <v>0</v>
      </c>
      <c r="M25" s="92">
        <v>0</v>
      </c>
      <c r="N25" s="92">
        <v>0</v>
      </c>
      <c r="O25" s="92">
        <v>0</v>
      </c>
      <c r="P25" s="92">
        <f t="shared" si="4"/>
        <v>0</v>
      </c>
      <c r="Q25" s="92">
        <f t="shared" si="5"/>
        <v>0</v>
      </c>
      <c r="R25" s="93">
        <v>0</v>
      </c>
      <c r="S25" s="93">
        <v>0</v>
      </c>
      <c r="T25" s="93">
        <v>0</v>
      </c>
      <c r="U25" s="93">
        <f t="shared" si="6"/>
        <v>0</v>
      </c>
      <c r="V25" s="93">
        <f t="shared" si="7"/>
        <v>0</v>
      </c>
      <c r="W25" s="94">
        <v>0</v>
      </c>
      <c r="X25" s="94">
        <v>0</v>
      </c>
      <c r="Y25" s="94">
        <v>0</v>
      </c>
      <c r="Z25" s="94">
        <f t="shared" si="8"/>
        <v>0</v>
      </c>
      <c r="AA25" s="94">
        <f t="shared" si="9"/>
        <v>0</v>
      </c>
    </row>
    <row r="26" spans="1:27" ht="14.25" customHeight="1">
      <c r="A26" s="97"/>
      <c r="B26" s="97"/>
      <c r="C26" s="44">
        <v>0</v>
      </c>
      <c r="D26" s="44">
        <v>0</v>
      </c>
      <c r="E26" s="44">
        <v>0</v>
      </c>
      <c r="F26" s="44">
        <f t="shared" si="0"/>
        <v>0</v>
      </c>
      <c r="G26" s="44">
        <f t="shared" si="1"/>
        <v>0</v>
      </c>
      <c r="H26" s="91">
        <v>0</v>
      </c>
      <c r="I26" s="91">
        <v>0</v>
      </c>
      <c r="J26" s="91">
        <v>0</v>
      </c>
      <c r="K26" s="91">
        <f t="shared" si="2"/>
        <v>0</v>
      </c>
      <c r="L26" s="91">
        <f t="shared" si="3"/>
        <v>0</v>
      </c>
      <c r="M26" s="92">
        <v>0</v>
      </c>
      <c r="N26" s="92">
        <v>0</v>
      </c>
      <c r="O26" s="92">
        <v>0</v>
      </c>
      <c r="P26" s="92">
        <f t="shared" si="4"/>
        <v>0</v>
      </c>
      <c r="Q26" s="92">
        <f t="shared" si="5"/>
        <v>0</v>
      </c>
      <c r="R26" s="93">
        <v>0</v>
      </c>
      <c r="S26" s="93">
        <v>0</v>
      </c>
      <c r="T26" s="93">
        <v>0</v>
      </c>
      <c r="U26" s="93">
        <f t="shared" si="6"/>
        <v>0</v>
      </c>
      <c r="V26" s="93">
        <f t="shared" si="7"/>
        <v>0</v>
      </c>
      <c r="W26" s="94">
        <v>0</v>
      </c>
      <c r="X26" s="94">
        <v>0</v>
      </c>
      <c r="Y26" s="94">
        <v>0</v>
      </c>
      <c r="Z26" s="94">
        <f t="shared" si="8"/>
        <v>0</v>
      </c>
      <c r="AA26" s="94">
        <f t="shared" si="9"/>
        <v>0</v>
      </c>
    </row>
    <row r="27" spans="1:27" ht="14.25" customHeight="1">
      <c r="A27" s="97"/>
      <c r="B27" s="97"/>
      <c r="C27" s="44">
        <v>0</v>
      </c>
      <c r="D27" s="44">
        <v>0</v>
      </c>
      <c r="E27" s="44">
        <v>0</v>
      </c>
      <c r="F27" s="44">
        <f t="shared" si="0"/>
        <v>0</v>
      </c>
      <c r="G27" s="44">
        <f t="shared" si="1"/>
        <v>0</v>
      </c>
      <c r="H27" s="91">
        <v>0</v>
      </c>
      <c r="I27" s="91">
        <v>0</v>
      </c>
      <c r="J27" s="91">
        <v>0</v>
      </c>
      <c r="K27" s="91">
        <f t="shared" si="2"/>
        <v>0</v>
      </c>
      <c r="L27" s="91">
        <f t="shared" si="3"/>
        <v>0</v>
      </c>
      <c r="M27" s="92">
        <v>0</v>
      </c>
      <c r="N27" s="92">
        <v>0</v>
      </c>
      <c r="O27" s="92">
        <v>0</v>
      </c>
      <c r="P27" s="92">
        <f t="shared" si="4"/>
        <v>0</v>
      </c>
      <c r="Q27" s="92">
        <f t="shared" si="5"/>
        <v>0</v>
      </c>
      <c r="R27" s="93">
        <v>0</v>
      </c>
      <c r="S27" s="93">
        <v>0</v>
      </c>
      <c r="T27" s="93">
        <v>0</v>
      </c>
      <c r="U27" s="93">
        <f t="shared" si="6"/>
        <v>0</v>
      </c>
      <c r="V27" s="93">
        <f t="shared" si="7"/>
        <v>0</v>
      </c>
      <c r="W27" s="94">
        <v>0</v>
      </c>
      <c r="X27" s="94">
        <v>0</v>
      </c>
      <c r="Y27" s="94">
        <v>0</v>
      </c>
      <c r="Z27" s="94">
        <f t="shared" si="8"/>
        <v>0</v>
      </c>
      <c r="AA27" s="94">
        <f t="shared" si="9"/>
        <v>0</v>
      </c>
    </row>
    <row r="28" spans="1:27" ht="14.25" customHeight="1">
      <c r="A28" s="97"/>
      <c r="B28" s="97"/>
      <c r="C28" s="44">
        <v>0</v>
      </c>
      <c r="D28" s="44">
        <v>0</v>
      </c>
      <c r="E28" s="44">
        <v>0</v>
      </c>
      <c r="F28" s="44">
        <f t="shared" si="0"/>
        <v>0</v>
      </c>
      <c r="G28" s="44">
        <f t="shared" si="1"/>
        <v>0</v>
      </c>
      <c r="H28" s="91">
        <v>0</v>
      </c>
      <c r="I28" s="91">
        <v>0</v>
      </c>
      <c r="J28" s="91">
        <v>0</v>
      </c>
      <c r="K28" s="91">
        <f t="shared" si="2"/>
        <v>0</v>
      </c>
      <c r="L28" s="91">
        <f t="shared" si="3"/>
        <v>0</v>
      </c>
      <c r="M28" s="92">
        <v>0</v>
      </c>
      <c r="N28" s="92">
        <v>0</v>
      </c>
      <c r="O28" s="92">
        <v>0</v>
      </c>
      <c r="P28" s="92">
        <f t="shared" si="4"/>
        <v>0</v>
      </c>
      <c r="Q28" s="92">
        <f t="shared" si="5"/>
        <v>0</v>
      </c>
      <c r="R28" s="93">
        <v>0</v>
      </c>
      <c r="S28" s="93">
        <v>0</v>
      </c>
      <c r="T28" s="93">
        <v>0</v>
      </c>
      <c r="U28" s="93">
        <f t="shared" si="6"/>
        <v>0</v>
      </c>
      <c r="V28" s="93">
        <f t="shared" si="7"/>
        <v>0</v>
      </c>
      <c r="W28" s="94">
        <v>0</v>
      </c>
      <c r="X28" s="94">
        <v>0</v>
      </c>
      <c r="Y28" s="94">
        <v>0</v>
      </c>
      <c r="Z28" s="94">
        <f t="shared" si="8"/>
        <v>0</v>
      </c>
      <c r="AA28" s="94">
        <f t="shared" si="9"/>
        <v>0</v>
      </c>
    </row>
    <row r="29" spans="1:27" ht="14.25" customHeight="1">
      <c r="A29" s="97"/>
      <c r="B29" s="97"/>
      <c r="C29" s="44">
        <v>0</v>
      </c>
      <c r="D29" s="44">
        <v>0</v>
      </c>
      <c r="E29" s="44">
        <v>0</v>
      </c>
      <c r="F29" s="44">
        <f t="shared" si="0"/>
        <v>0</v>
      </c>
      <c r="G29" s="44">
        <f t="shared" si="1"/>
        <v>0</v>
      </c>
      <c r="H29" s="91">
        <v>0</v>
      </c>
      <c r="I29" s="91">
        <v>0</v>
      </c>
      <c r="J29" s="91">
        <v>0</v>
      </c>
      <c r="K29" s="91">
        <f t="shared" si="2"/>
        <v>0</v>
      </c>
      <c r="L29" s="91">
        <f t="shared" si="3"/>
        <v>0</v>
      </c>
      <c r="M29" s="92">
        <v>0</v>
      </c>
      <c r="N29" s="92">
        <v>0</v>
      </c>
      <c r="O29" s="92">
        <v>0</v>
      </c>
      <c r="P29" s="92">
        <f t="shared" si="4"/>
        <v>0</v>
      </c>
      <c r="Q29" s="92">
        <f t="shared" si="5"/>
        <v>0</v>
      </c>
      <c r="R29" s="93">
        <v>0</v>
      </c>
      <c r="S29" s="93">
        <v>0</v>
      </c>
      <c r="T29" s="93">
        <v>0</v>
      </c>
      <c r="U29" s="93">
        <f t="shared" si="6"/>
        <v>0</v>
      </c>
      <c r="V29" s="93">
        <f t="shared" si="7"/>
        <v>0</v>
      </c>
      <c r="W29" s="94">
        <v>0</v>
      </c>
      <c r="X29" s="94">
        <v>0</v>
      </c>
      <c r="Y29" s="94">
        <v>0</v>
      </c>
      <c r="Z29" s="94">
        <f t="shared" si="8"/>
        <v>0</v>
      </c>
      <c r="AA29" s="94">
        <f t="shared" si="9"/>
        <v>0</v>
      </c>
    </row>
    <row r="30" spans="1:27" ht="14.25" customHeight="1">
      <c r="A30" s="97"/>
      <c r="B30" s="97"/>
      <c r="C30" s="44">
        <v>0</v>
      </c>
      <c r="D30" s="44">
        <v>0</v>
      </c>
      <c r="E30" s="44">
        <v>0</v>
      </c>
      <c r="F30" s="44">
        <f t="shared" si="0"/>
        <v>0</v>
      </c>
      <c r="G30" s="44">
        <f t="shared" si="1"/>
        <v>0</v>
      </c>
      <c r="H30" s="91">
        <v>0</v>
      </c>
      <c r="I30" s="91">
        <v>0</v>
      </c>
      <c r="J30" s="91">
        <v>0</v>
      </c>
      <c r="K30" s="91">
        <f t="shared" si="2"/>
        <v>0</v>
      </c>
      <c r="L30" s="91">
        <f t="shared" si="3"/>
        <v>0</v>
      </c>
      <c r="M30" s="92">
        <v>0</v>
      </c>
      <c r="N30" s="92">
        <v>0</v>
      </c>
      <c r="O30" s="92">
        <v>0</v>
      </c>
      <c r="P30" s="92">
        <f t="shared" si="4"/>
        <v>0</v>
      </c>
      <c r="Q30" s="92">
        <f t="shared" si="5"/>
        <v>0</v>
      </c>
      <c r="R30" s="93">
        <v>0</v>
      </c>
      <c r="S30" s="93">
        <v>0</v>
      </c>
      <c r="T30" s="93">
        <v>0</v>
      </c>
      <c r="U30" s="93">
        <f t="shared" si="6"/>
        <v>0</v>
      </c>
      <c r="V30" s="93">
        <f t="shared" si="7"/>
        <v>0</v>
      </c>
      <c r="W30" s="94">
        <v>0</v>
      </c>
      <c r="X30" s="94">
        <v>0</v>
      </c>
      <c r="Y30" s="94">
        <v>0</v>
      </c>
      <c r="Z30" s="94">
        <f t="shared" si="8"/>
        <v>0</v>
      </c>
      <c r="AA30" s="94">
        <f t="shared" si="9"/>
        <v>0</v>
      </c>
    </row>
    <row r="31" spans="1:27" ht="14.25" customHeight="1">
      <c r="A31" s="97"/>
      <c r="B31" s="97"/>
      <c r="C31" s="44">
        <v>240</v>
      </c>
      <c r="D31" s="44">
        <v>90</v>
      </c>
      <c r="E31" s="44">
        <v>5</v>
      </c>
      <c r="F31" s="44">
        <f t="shared" si="0"/>
        <v>85</v>
      </c>
      <c r="G31" s="44">
        <f t="shared" si="1"/>
        <v>20400</v>
      </c>
      <c r="H31" s="91">
        <v>240</v>
      </c>
      <c r="I31" s="91">
        <v>90</v>
      </c>
      <c r="J31" s="91">
        <v>5</v>
      </c>
      <c r="K31" s="91">
        <f t="shared" si="2"/>
        <v>85</v>
      </c>
      <c r="L31" s="91">
        <f t="shared" si="3"/>
        <v>20400</v>
      </c>
      <c r="M31" s="92">
        <v>240</v>
      </c>
      <c r="N31" s="92">
        <v>90</v>
      </c>
      <c r="O31" s="92">
        <v>5</v>
      </c>
      <c r="P31" s="92">
        <f t="shared" si="4"/>
        <v>85</v>
      </c>
      <c r="Q31" s="92">
        <f t="shared" si="5"/>
        <v>20400</v>
      </c>
      <c r="R31" s="93">
        <v>240</v>
      </c>
      <c r="S31" s="93">
        <v>90</v>
      </c>
      <c r="T31" s="93">
        <v>5</v>
      </c>
      <c r="U31" s="93">
        <f t="shared" si="6"/>
        <v>85</v>
      </c>
      <c r="V31" s="93">
        <f t="shared" si="7"/>
        <v>20400</v>
      </c>
      <c r="W31" s="94">
        <v>240</v>
      </c>
      <c r="X31" s="94">
        <v>90</v>
      </c>
      <c r="Y31" s="94">
        <v>5</v>
      </c>
      <c r="Z31" s="94">
        <f t="shared" si="8"/>
        <v>85</v>
      </c>
      <c r="AA31" s="94">
        <f t="shared" si="9"/>
        <v>20400</v>
      </c>
    </row>
    <row r="32" spans="1:27" ht="14.25" customHeight="1">
      <c r="A32" s="97"/>
      <c r="B32" s="97"/>
      <c r="C32" s="44">
        <v>0</v>
      </c>
      <c r="D32" s="43">
        <v>0</v>
      </c>
      <c r="E32" s="43">
        <v>0</v>
      </c>
      <c r="F32" s="44">
        <f t="shared" si="0"/>
        <v>0</v>
      </c>
      <c r="G32" s="44">
        <f t="shared" si="1"/>
        <v>0</v>
      </c>
      <c r="H32" s="91">
        <v>0</v>
      </c>
      <c r="I32" s="104">
        <v>0</v>
      </c>
      <c r="J32" s="104">
        <v>0</v>
      </c>
      <c r="K32" s="91">
        <f t="shared" si="2"/>
        <v>0</v>
      </c>
      <c r="L32" s="91">
        <f t="shared" si="3"/>
        <v>0</v>
      </c>
      <c r="M32" s="92">
        <v>0</v>
      </c>
      <c r="N32" s="105">
        <v>0</v>
      </c>
      <c r="O32" s="105">
        <v>0</v>
      </c>
      <c r="P32" s="92">
        <f t="shared" si="4"/>
        <v>0</v>
      </c>
      <c r="Q32" s="92">
        <f t="shared" si="5"/>
        <v>0</v>
      </c>
      <c r="R32" s="93">
        <v>0</v>
      </c>
      <c r="S32" s="106">
        <v>0</v>
      </c>
      <c r="T32" s="106">
        <v>0</v>
      </c>
      <c r="U32" s="93">
        <f t="shared" si="6"/>
        <v>0</v>
      </c>
      <c r="V32" s="93">
        <f t="shared" si="7"/>
        <v>0</v>
      </c>
      <c r="W32" s="94">
        <v>0</v>
      </c>
      <c r="X32" s="107">
        <v>0</v>
      </c>
      <c r="Y32" s="107">
        <v>0</v>
      </c>
      <c r="Z32" s="94">
        <f t="shared" si="8"/>
        <v>0</v>
      </c>
      <c r="AA32" s="94">
        <f t="shared" si="9"/>
        <v>0</v>
      </c>
    </row>
    <row r="33" spans="1:27" ht="14.25" customHeight="1">
      <c r="A33" s="97"/>
      <c r="B33" s="97"/>
      <c r="C33" s="44">
        <v>0</v>
      </c>
      <c r="D33" s="43">
        <v>0</v>
      </c>
      <c r="E33" s="43">
        <v>0</v>
      </c>
      <c r="F33" s="44">
        <f t="shared" si="0"/>
        <v>0</v>
      </c>
      <c r="G33" s="44">
        <f t="shared" si="1"/>
        <v>0</v>
      </c>
      <c r="H33" s="91">
        <v>0</v>
      </c>
      <c r="I33" s="104">
        <v>0</v>
      </c>
      <c r="J33" s="104">
        <v>0</v>
      </c>
      <c r="K33" s="91">
        <f t="shared" si="2"/>
        <v>0</v>
      </c>
      <c r="L33" s="91">
        <f t="shared" si="3"/>
        <v>0</v>
      </c>
      <c r="M33" s="92">
        <v>0</v>
      </c>
      <c r="N33" s="105">
        <v>0</v>
      </c>
      <c r="O33" s="105">
        <v>0</v>
      </c>
      <c r="P33" s="92">
        <f t="shared" si="4"/>
        <v>0</v>
      </c>
      <c r="Q33" s="92">
        <f t="shared" si="5"/>
        <v>0</v>
      </c>
      <c r="R33" s="93">
        <v>0</v>
      </c>
      <c r="S33" s="106">
        <v>0</v>
      </c>
      <c r="T33" s="106">
        <v>0</v>
      </c>
      <c r="U33" s="93">
        <f t="shared" si="6"/>
        <v>0</v>
      </c>
      <c r="V33" s="93">
        <f t="shared" si="7"/>
        <v>0</v>
      </c>
      <c r="W33" s="94">
        <v>0</v>
      </c>
      <c r="X33" s="107">
        <v>0</v>
      </c>
      <c r="Y33" s="107">
        <v>0</v>
      </c>
      <c r="Z33" s="94">
        <f t="shared" si="8"/>
        <v>0</v>
      </c>
      <c r="AA33" s="94">
        <f t="shared" si="9"/>
        <v>0</v>
      </c>
    </row>
    <row r="34" spans="1:27" ht="14.25" customHeight="1">
      <c r="A34" s="97"/>
      <c r="B34" s="97"/>
      <c r="C34" s="44">
        <v>0</v>
      </c>
      <c r="D34" s="43">
        <v>0</v>
      </c>
      <c r="E34" s="43">
        <v>0</v>
      </c>
      <c r="F34" s="44">
        <f t="shared" si="0"/>
        <v>0</v>
      </c>
      <c r="G34" s="44">
        <f t="shared" si="1"/>
        <v>0</v>
      </c>
      <c r="H34" s="91">
        <v>0</v>
      </c>
      <c r="I34" s="104">
        <v>0</v>
      </c>
      <c r="J34" s="104">
        <v>0</v>
      </c>
      <c r="K34" s="91">
        <f t="shared" si="2"/>
        <v>0</v>
      </c>
      <c r="L34" s="91">
        <f t="shared" si="3"/>
        <v>0</v>
      </c>
      <c r="M34" s="92">
        <v>0</v>
      </c>
      <c r="N34" s="105">
        <v>0</v>
      </c>
      <c r="O34" s="105">
        <v>0</v>
      </c>
      <c r="P34" s="92">
        <f t="shared" si="4"/>
        <v>0</v>
      </c>
      <c r="Q34" s="92">
        <f t="shared" si="5"/>
        <v>0</v>
      </c>
      <c r="R34" s="93">
        <v>0</v>
      </c>
      <c r="S34" s="106">
        <v>0</v>
      </c>
      <c r="T34" s="106">
        <v>0</v>
      </c>
      <c r="U34" s="93">
        <f t="shared" si="6"/>
        <v>0</v>
      </c>
      <c r="V34" s="93">
        <f t="shared" si="7"/>
        <v>0</v>
      </c>
      <c r="W34" s="94">
        <v>0</v>
      </c>
      <c r="X34" s="107">
        <v>0</v>
      </c>
      <c r="Y34" s="107">
        <v>0</v>
      </c>
      <c r="Z34" s="94">
        <f t="shared" si="8"/>
        <v>0</v>
      </c>
      <c r="AA34" s="94">
        <f t="shared" si="9"/>
        <v>0</v>
      </c>
    </row>
    <row r="35" spans="1:27" ht="14.25" customHeight="1">
      <c r="A35" s="97"/>
      <c r="B35" s="97"/>
      <c r="C35" s="44">
        <v>0</v>
      </c>
      <c r="D35" s="43">
        <v>0</v>
      </c>
      <c r="E35" s="43">
        <v>0</v>
      </c>
      <c r="F35" s="44">
        <f t="shared" si="0"/>
        <v>0</v>
      </c>
      <c r="G35" s="44">
        <f t="shared" si="1"/>
        <v>0</v>
      </c>
      <c r="H35" s="91">
        <v>0</v>
      </c>
      <c r="I35" s="104">
        <v>0</v>
      </c>
      <c r="J35" s="104">
        <v>0</v>
      </c>
      <c r="K35" s="91">
        <f t="shared" si="2"/>
        <v>0</v>
      </c>
      <c r="L35" s="91">
        <f t="shared" si="3"/>
        <v>0</v>
      </c>
      <c r="M35" s="92">
        <v>0</v>
      </c>
      <c r="N35" s="105">
        <v>0</v>
      </c>
      <c r="O35" s="105">
        <v>0</v>
      </c>
      <c r="P35" s="92">
        <f t="shared" si="4"/>
        <v>0</v>
      </c>
      <c r="Q35" s="92">
        <f t="shared" si="5"/>
        <v>0</v>
      </c>
      <c r="R35" s="93">
        <v>0</v>
      </c>
      <c r="S35" s="106">
        <v>0</v>
      </c>
      <c r="T35" s="106">
        <v>0</v>
      </c>
      <c r="U35" s="93">
        <f t="shared" si="6"/>
        <v>0</v>
      </c>
      <c r="V35" s="93">
        <f t="shared" si="7"/>
        <v>0</v>
      </c>
      <c r="W35" s="94">
        <v>0</v>
      </c>
      <c r="X35" s="107">
        <v>0</v>
      </c>
      <c r="Y35" s="107">
        <v>0</v>
      </c>
      <c r="Z35" s="94">
        <f t="shared" si="8"/>
        <v>0</v>
      </c>
      <c r="AA35" s="94">
        <f t="shared" si="9"/>
        <v>0</v>
      </c>
    </row>
    <row r="36" spans="1:27" ht="14.25" customHeight="1">
      <c r="A36" s="97"/>
      <c r="B36" s="97"/>
      <c r="C36" s="44">
        <v>0</v>
      </c>
      <c r="D36" s="43">
        <v>0</v>
      </c>
      <c r="E36" s="43">
        <v>0</v>
      </c>
      <c r="F36" s="44">
        <f t="shared" si="0"/>
        <v>0</v>
      </c>
      <c r="G36" s="44">
        <f t="shared" si="1"/>
        <v>0</v>
      </c>
      <c r="H36" s="91">
        <v>0</v>
      </c>
      <c r="I36" s="104">
        <v>0</v>
      </c>
      <c r="J36" s="104">
        <v>0</v>
      </c>
      <c r="K36" s="91">
        <f t="shared" si="2"/>
        <v>0</v>
      </c>
      <c r="L36" s="91">
        <f t="shared" si="3"/>
        <v>0</v>
      </c>
      <c r="M36" s="92">
        <v>0</v>
      </c>
      <c r="N36" s="105">
        <v>0</v>
      </c>
      <c r="O36" s="105">
        <v>0</v>
      </c>
      <c r="P36" s="92">
        <f t="shared" si="4"/>
        <v>0</v>
      </c>
      <c r="Q36" s="92">
        <f t="shared" si="5"/>
        <v>0</v>
      </c>
      <c r="R36" s="93">
        <v>0</v>
      </c>
      <c r="S36" s="106">
        <v>0</v>
      </c>
      <c r="T36" s="106">
        <v>0</v>
      </c>
      <c r="U36" s="93">
        <f t="shared" si="6"/>
        <v>0</v>
      </c>
      <c r="V36" s="93">
        <f t="shared" si="7"/>
        <v>0</v>
      </c>
      <c r="W36" s="94">
        <v>0</v>
      </c>
      <c r="X36" s="107">
        <v>0</v>
      </c>
      <c r="Y36" s="107">
        <v>0</v>
      </c>
      <c r="Z36" s="94">
        <f t="shared" si="8"/>
        <v>0</v>
      </c>
      <c r="AA36" s="94">
        <f t="shared" si="9"/>
        <v>0</v>
      </c>
    </row>
    <row r="37" spans="1:27" ht="14.25" customHeight="1">
      <c r="A37" s="97"/>
      <c r="B37" s="97"/>
      <c r="C37" s="44">
        <v>0</v>
      </c>
      <c r="D37" s="43">
        <v>0</v>
      </c>
      <c r="E37" s="43">
        <v>0</v>
      </c>
      <c r="F37" s="44">
        <f t="shared" si="0"/>
        <v>0</v>
      </c>
      <c r="G37" s="44">
        <f t="shared" si="1"/>
        <v>0</v>
      </c>
      <c r="H37" s="91">
        <v>0</v>
      </c>
      <c r="I37" s="104">
        <v>0</v>
      </c>
      <c r="J37" s="104">
        <v>0</v>
      </c>
      <c r="K37" s="91">
        <f t="shared" si="2"/>
        <v>0</v>
      </c>
      <c r="L37" s="91">
        <f t="shared" si="3"/>
        <v>0</v>
      </c>
      <c r="M37" s="92">
        <v>0</v>
      </c>
      <c r="N37" s="105">
        <v>0</v>
      </c>
      <c r="O37" s="105">
        <v>0</v>
      </c>
      <c r="P37" s="92">
        <f t="shared" si="4"/>
        <v>0</v>
      </c>
      <c r="Q37" s="92">
        <f t="shared" si="5"/>
        <v>0</v>
      </c>
      <c r="R37" s="93">
        <v>0</v>
      </c>
      <c r="S37" s="106">
        <v>0</v>
      </c>
      <c r="T37" s="106">
        <v>0</v>
      </c>
      <c r="U37" s="93">
        <f t="shared" si="6"/>
        <v>0</v>
      </c>
      <c r="V37" s="93">
        <f t="shared" si="7"/>
        <v>0</v>
      </c>
      <c r="W37" s="94">
        <v>0</v>
      </c>
      <c r="X37" s="107">
        <v>0</v>
      </c>
      <c r="Y37" s="107">
        <v>0</v>
      </c>
      <c r="Z37" s="94">
        <f t="shared" si="8"/>
        <v>0</v>
      </c>
      <c r="AA37" s="94">
        <f t="shared" si="9"/>
        <v>0</v>
      </c>
    </row>
    <row r="38" spans="1:27" ht="14.25" customHeight="1">
      <c r="A38" s="97"/>
      <c r="B38" s="97"/>
      <c r="C38" s="44">
        <v>0</v>
      </c>
      <c r="D38" s="43">
        <v>0</v>
      </c>
      <c r="E38" s="43">
        <v>0</v>
      </c>
      <c r="F38" s="44">
        <f t="shared" si="0"/>
        <v>0</v>
      </c>
      <c r="G38" s="44">
        <f t="shared" si="1"/>
        <v>0</v>
      </c>
      <c r="H38" s="91">
        <v>0</v>
      </c>
      <c r="I38" s="104">
        <v>0</v>
      </c>
      <c r="J38" s="104">
        <v>0</v>
      </c>
      <c r="K38" s="91">
        <f t="shared" si="2"/>
        <v>0</v>
      </c>
      <c r="L38" s="91">
        <f t="shared" si="3"/>
        <v>0</v>
      </c>
      <c r="M38" s="92">
        <v>0</v>
      </c>
      <c r="N38" s="105">
        <v>0</v>
      </c>
      <c r="O38" s="105">
        <v>0</v>
      </c>
      <c r="P38" s="92">
        <f t="shared" si="4"/>
        <v>0</v>
      </c>
      <c r="Q38" s="92">
        <f t="shared" si="5"/>
        <v>0</v>
      </c>
      <c r="R38" s="93">
        <v>0</v>
      </c>
      <c r="S38" s="106">
        <v>0</v>
      </c>
      <c r="T38" s="106">
        <v>0</v>
      </c>
      <c r="U38" s="93">
        <f t="shared" si="6"/>
        <v>0</v>
      </c>
      <c r="V38" s="93">
        <f t="shared" si="7"/>
        <v>0</v>
      </c>
      <c r="W38" s="94">
        <v>0</v>
      </c>
      <c r="X38" s="107">
        <v>0</v>
      </c>
      <c r="Y38" s="107">
        <v>0</v>
      </c>
      <c r="Z38" s="94">
        <f t="shared" si="8"/>
        <v>0</v>
      </c>
      <c r="AA38" s="94">
        <f t="shared" si="9"/>
        <v>0</v>
      </c>
    </row>
    <row r="39" spans="1:27" ht="14.25" customHeight="1">
      <c r="A39" s="97"/>
      <c r="B39" s="97"/>
      <c r="C39" s="44">
        <v>0</v>
      </c>
      <c r="D39" s="43">
        <v>0</v>
      </c>
      <c r="E39" s="43">
        <v>0</v>
      </c>
      <c r="F39" s="44">
        <f t="shared" si="0"/>
        <v>0</v>
      </c>
      <c r="G39" s="44">
        <f t="shared" si="1"/>
        <v>0</v>
      </c>
      <c r="H39" s="91">
        <v>0</v>
      </c>
      <c r="I39" s="104">
        <v>0</v>
      </c>
      <c r="J39" s="104">
        <v>0</v>
      </c>
      <c r="K39" s="91">
        <f t="shared" si="2"/>
        <v>0</v>
      </c>
      <c r="L39" s="91">
        <f t="shared" si="3"/>
        <v>0</v>
      </c>
      <c r="M39" s="92">
        <v>0</v>
      </c>
      <c r="N39" s="105">
        <v>0</v>
      </c>
      <c r="O39" s="105">
        <v>0</v>
      </c>
      <c r="P39" s="92">
        <f t="shared" si="4"/>
        <v>0</v>
      </c>
      <c r="Q39" s="92">
        <f t="shared" si="5"/>
        <v>0</v>
      </c>
      <c r="R39" s="93">
        <v>0</v>
      </c>
      <c r="S39" s="106">
        <v>0</v>
      </c>
      <c r="T39" s="106">
        <v>0</v>
      </c>
      <c r="U39" s="93">
        <f t="shared" si="6"/>
        <v>0</v>
      </c>
      <c r="V39" s="93">
        <f t="shared" si="7"/>
        <v>0</v>
      </c>
      <c r="W39" s="94">
        <v>0</v>
      </c>
      <c r="X39" s="107">
        <v>0</v>
      </c>
      <c r="Y39" s="107">
        <v>0</v>
      </c>
      <c r="Z39" s="94">
        <f t="shared" si="8"/>
        <v>0</v>
      </c>
      <c r="AA39" s="94">
        <f t="shared" si="9"/>
        <v>0</v>
      </c>
    </row>
    <row r="40" spans="1:27" ht="14.25" customHeight="1">
      <c r="A40" s="97"/>
      <c r="B40" s="97"/>
      <c r="C40" s="44">
        <v>0</v>
      </c>
      <c r="D40" s="43">
        <v>0</v>
      </c>
      <c r="E40" s="43">
        <v>0</v>
      </c>
      <c r="F40" s="44">
        <f t="shared" si="0"/>
        <v>0</v>
      </c>
      <c r="G40" s="44">
        <f t="shared" si="1"/>
        <v>0</v>
      </c>
      <c r="H40" s="91">
        <v>0</v>
      </c>
      <c r="I40" s="104">
        <v>0</v>
      </c>
      <c r="J40" s="104">
        <v>0</v>
      </c>
      <c r="K40" s="91">
        <f t="shared" si="2"/>
        <v>0</v>
      </c>
      <c r="L40" s="91">
        <f t="shared" si="3"/>
        <v>0</v>
      </c>
      <c r="M40" s="92">
        <v>0</v>
      </c>
      <c r="N40" s="105">
        <v>0</v>
      </c>
      <c r="O40" s="105">
        <v>0</v>
      </c>
      <c r="P40" s="92">
        <f t="shared" si="4"/>
        <v>0</v>
      </c>
      <c r="Q40" s="92">
        <f t="shared" si="5"/>
        <v>0</v>
      </c>
      <c r="R40" s="93">
        <v>0</v>
      </c>
      <c r="S40" s="106">
        <v>0</v>
      </c>
      <c r="T40" s="106">
        <v>0</v>
      </c>
      <c r="U40" s="93">
        <f t="shared" si="6"/>
        <v>0</v>
      </c>
      <c r="V40" s="93">
        <f t="shared" si="7"/>
        <v>0</v>
      </c>
      <c r="W40" s="94">
        <v>0</v>
      </c>
      <c r="X40" s="107">
        <v>0</v>
      </c>
      <c r="Y40" s="107">
        <v>0</v>
      </c>
      <c r="Z40" s="94">
        <f t="shared" si="8"/>
        <v>0</v>
      </c>
      <c r="AA40" s="94">
        <f t="shared" si="9"/>
        <v>0</v>
      </c>
    </row>
    <row r="41" spans="1:27" ht="14.25" customHeight="1">
      <c r="A41" s="97"/>
      <c r="B41" s="97"/>
      <c r="C41" s="44">
        <v>0</v>
      </c>
      <c r="D41" s="43">
        <v>0</v>
      </c>
      <c r="E41" s="43">
        <v>0</v>
      </c>
      <c r="F41" s="44">
        <f t="shared" si="0"/>
        <v>0</v>
      </c>
      <c r="G41" s="44">
        <f t="shared" si="1"/>
        <v>0</v>
      </c>
      <c r="H41" s="91">
        <v>0</v>
      </c>
      <c r="I41" s="104">
        <v>0</v>
      </c>
      <c r="J41" s="104">
        <v>0</v>
      </c>
      <c r="K41" s="91">
        <f t="shared" si="2"/>
        <v>0</v>
      </c>
      <c r="L41" s="91">
        <f t="shared" si="3"/>
        <v>0</v>
      </c>
      <c r="M41" s="92">
        <v>0</v>
      </c>
      <c r="N41" s="105">
        <v>0</v>
      </c>
      <c r="O41" s="105">
        <v>0</v>
      </c>
      <c r="P41" s="92">
        <f t="shared" si="4"/>
        <v>0</v>
      </c>
      <c r="Q41" s="92">
        <f t="shared" si="5"/>
        <v>0</v>
      </c>
      <c r="R41" s="93">
        <v>0</v>
      </c>
      <c r="S41" s="106">
        <v>0</v>
      </c>
      <c r="T41" s="106">
        <v>0</v>
      </c>
      <c r="U41" s="93">
        <f t="shared" si="6"/>
        <v>0</v>
      </c>
      <c r="V41" s="93">
        <f t="shared" si="7"/>
        <v>0</v>
      </c>
      <c r="W41" s="94">
        <v>0</v>
      </c>
      <c r="X41" s="107">
        <v>0</v>
      </c>
      <c r="Y41" s="107">
        <v>0</v>
      </c>
      <c r="Z41" s="94">
        <f t="shared" si="8"/>
        <v>0</v>
      </c>
      <c r="AA41" s="94">
        <f t="shared" si="9"/>
        <v>0</v>
      </c>
    </row>
    <row r="42" spans="1:27" ht="14.25" customHeight="1">
      <c r="A42" s="97"/>
      <c r="B42" s="97"/>
      <c r="C42" s="44">
        <v>0</v>
      </c>
      <c r="D42" s="43">
        <v>0</v>
      </c>
      <c r="E42" s="43">
        <v>0</v>
      </c>
      <c r="F42" s="44">
        <f t="shared" si="0"/>
        <v>0</v>
      </c>
      <c r="G42" s="44">
        <f t="shared" si="1"/>
        <v>0</v>
      </c>
      <c r="H42" s="91">
        <v>0</v>
      </c>
      <c r="I42" s="104">
        <v>0</v>
      </c>
      <c r="J42" s="104">
        <v>0</v>
      </c>
      <c r="K42" s="91">
        <f t="shared" si="2"/>
        <v>0</v>
      </c>
      <c r="L42" s="91">
        <f t="shared" si="3"/>
        <v>0</v>
      </c>
      <c r="M42" s="92">
        <v>0</v>
      </c>
      <c r="N42" s="105">
        <v>0</v>
      </c>
      <c r="O42" s="105">
        <v>0</v>
      </c>
      <c r="P42" s="92">
        <f t="shared" si="4"/>
        <v>0</v>
      </c>
      <c r="Q42" s="92">
        <f t="shared" si="5"/>
        <v>0</v>
      </c>
      <c r="R42" s="93">
        <v>0</v>
      </c>
      <c r="S42" s="106">
        <v>0</v>
      </c>
      <c r="T42" s="106">
        <v>0</v>
      </c>
      <c r="U42" s="93">
        <f t="shared" si="6"/>
        <v>0</v>
      </c>
      <c r="V42" s="93">
        <f t="shared" si="7"/>
        <v>0</v>
      </c>
      <c r="W42" s="94">
        <v>0</v>
      </c>
      <c r="X42" s="107">
        <v>0</v>
      </c>
      <c r="Y42" s="107">
        <v>0</v>
      </c>
      <c r="Z42" s="94">
        <f t="shared" si="8"/>
        <v>0</v>
      </c>
      <c r="AA42" s="94">
        <f t="shared" si="9"/>
        <v>0</v>
      </c>
    </row>
    <row r="43" spans="1:27" ht="14.25" customHeight="1">
      <c r="A43" s="97"/>
      <c r="B43" s="97"/>
      <c r="C43" s="44">
        <v>0</v>
      </c>
      <c r="D43" s="43">
        <v>0</v>
      </c>
      <c r="E43" s="43">
        <v>0</v>
      </c>
      <c r="F43" s="44">
        <f t="shared" si="0"/>
        <v>0</v>
      </c>
      <c r="G43" s="44">
        <f t="shared" si="1"/>
        <v>0</v>
      </c>
      <c r="H43" s="91">
        <v>0</v>
      </c>
      <c r="I43" s="104">
        <v>0</v>
      </c>
      <c r="J43" s="104">
        <v>0</v>
      </c>
      <c r="K43" s="91">
        <f t="shared" si="2"/>
        <v>0</v>
      </c>
      <c r="L43" s="91">
        <f t="shared" si="3"/>
        <v>0</v>
      </c>
      <c r="M43" s="92">
        <v>0</v>
      </c>
      <c r="N43" s="105">
        <v>0</v>
      </c>
      <c r="O43" s="105">
        <v>0</v>
      </c>
      <c r="P43" s="92">
        <f t="shared" si="4"/>
        <v>0</v>
      </c>
      <c r="Q43" s="92">
        <f t="shared" si="5"/>
        <v>0</v>
      </c>
      <c r="R43" s="93">
        <v>0</v>
      </c>
      <c r="S43" s="106">
        <v>0</v>
      </c>
      <c r="T43" s="106">
        <v>0</v>
      </c>
      <c r="U43" s="93">
        <f t="shared" si="6"/>
        <v>0</v>
      </c>
      <c r="V43" s="93">
        <f t="shared" si="7"/>
        <v>0</v>
      </c>
      <c r="W43" s="94">
        <v>0</v>
      </c>
      <c r="X43" s="107">
        <v>0</v>
      </c>
      <c r="Y43" s="107">
        <v>0</v>
      </c>
      <c r="Z43" s="94">
        <f t="shared" si="8"/>
        <v>0</v>
      </c>
      <c r="AA43" s="94">
        <f t="shared" si="9"/>
        <v>0</v>
      </c>
    </row>
    <row r="44" spans="1:27" ht="14.25" customHeight="1">
      <c r="A44" s="97"/>
      <c r="B44" s="97"/>
      <c r="C44" s="44">
        <v>0</v>
      </c>
      <c r="D44" s="43">
        <v>0</v>
      </c>
      <c r="E44" s="43">
        <v>0</v>
      </c>
      <c r="F44" s="44">
        <f t="shared" si="0"/>
        <v>0</v>
      </c>
      <c r="G44" s="44">
        <f t="shared" si="1"/>
        <v>0</v>
      </c>
      <c r="H44" s="91">
        <v>0</v>
      </c>
      <c r="I44" s="104">
        <v>0</v>
      </c>
      <c r="J44" s="104">
        <v>0</v>
      </c>
      <c r="K44" s="91">
        <f t="shared" si="2"/>
        <v>0</v>
      </c>
      <c r="L44" s="91">
        <f t="shared" si="3"/>
        <v>0</v>
      </c>
      <c r="M44" s="92">
        <v>0</v>
      </c>
      <c r="N44" s="105">
        <v>0</v>
      </c>
      <c r="O44" s="105">
        <v>0</v>
      </c>
      <c r="P44" s="92">
        <f t="shared" si="4"/>
        <v>0</v>
      </c>
      <c r="Q44" s="92">
        <f t="shared" si="5"/>
        <v>0</v>
      </c>
      <c r="R44" s="93">
        <v>0</v>
      </c>
      <c r="S44" s="106">
        <v>0</v>
      </c>
      <c r="T44" s="106">
        <v>0</v>
      </c>
      <c r="U44" s="93">
        <f t="shared" si="6"/>
        <v>0</v>
      </c>
      <c r="V44" s="93">
        <f t="shared" si="7"/>
        <v>0</v>
      </c>
      <c r="W44" s="94">
        <v>0</v>
      </c>
      <c r="X44" s="107">
        <v>0</v>
      </c>
      <c r="Y44" s="107">
        <v>0</v>
      </c>
      <c r="Z44" s="94">
        <f t="shared" si="8"/>
        <v>0</v>
      </c>
      <c r="AA44" s="94">
        <f t="shared" si="9"/>
        <v>0</v>
      </c>
    </row>
    <row r="45" spans="1:27" ht="14.25" customHeight="1">
      <c r="A45" s="97"/>
      <c r="B45" s="97"/>
      <c r="C45" s="44">
        <v>0</v>
      </c>
      <c r="D45" s="43">
        <v>0</v>
      </c>
      <c r="E45" s="43">
        <v>0</v>
      </c>
      <c r="F45" s="44">
        <f t="shared" si="0"/>
        <v>0</v>
      </c>
      <c r="G45" s="44">
        <f t="shared" si="1"/>
        <v>0</v>
      </c>
      <c r="H45" s="91">
        <v>0</v>
      </c>
      <c r="I45" s="104">
        <v>0</v>
      </c>
      <c r="J45" s="104">
        <v>0</v>
      </c>
      <c r="K45" s="91">
        <f t="shared" si="2"/>
        <v>0</v>
      </c>
      <c r="L45" s="91">
        <f t="shared" si="3"/>
        <v>0</v>
      </c>
      <c r="M45" s="92">
        <v>0</v>
      </c>
      <c r="N45" s="105">
        <v>0</v>
      </c>
      <c r="O45" s="105">
        <v>0</v>
      </c>
      <c r="P45" s="92">
        <f t="shared" si="4"/>
        <v>0</v>
      </c>
      <c r="Q45" s="92">
        <f t="shared" si="5"/>
        <v>0</v>
      </c>
      <c r="R45" s="93">
        <v>0</v>
      </c>
      <c r="S45" s="106">
        <v>0</v>
      </c>
      <c r="T45" s="106">
        <v>0</v>
      </c>
      <c r="U45" s="93">
        <f t="shared" si="6"/>
        <v>0</v>
      </c>
      <c r="V45" s="93">
        <f t="shared" si="7"/>
        <v>0</v>
      </c>
      <c r="W45" s="94">
        <v>0</v>
      </c>
      <c r="X45" s="107">
        <v>0</v>
      </c>
      <c r="Y45" s="107">
        <v>0</v>
      </c>
      <c r="Z45" s="94">
        <f t="shared" si="8"/>
        <v>0</v>
      </c>
      <c r="AA45" s="94">
        <f t="shared" si="9"/>
        <v>0</v>
      </c>
    </row>
    <row r="46" spans="1:27" ht="14.25" customHeight="1">
      <c r="A46" s="97"/>
      <c r="B46" s="97"/>
      <c r="C46" s="44">
        <v>0</v>
      </c>
      <c r="D46" s="43">
        <v>0</v>
      </c>
      <c r="E46" s="43">
        <v>0</v>
      </c>
      <c r="F46" s="44">
        <f t="shared" si="0"/>
        <v>0</v>
      </c>
      <c r="G46" s="44">
        <f t="shared" si="1"/>
        <v>0</v>
      </c>
      <c r="H46" s="91">
        <v>0</v>
      </c>
      <c r="I46" s="104">
        <v>0</v>
      </c>
      <c r="J46" s="104">
        <v>0</v>
      </c>
      <c r="K46" s="91">
        <f t="shared" si="2"/>
        <v>0</v>
      </c>
      <c r="L46" s="91">
        <f t="shared" si="3"/>
        <v>0</v>
      </c>
      <c r="M46" s="92">
        <v>0</v>
      </c>
      <c r="N46" s="105">
        <v>0</v>
      </c>
      <c r="O46" s="105">
        <v>0</v>
      </c>
      <c r="P46" s="92">
        <f t="shared" si="4"/>
        <v>0</v>
      </c>
      <c r="Q46" s="92">
        <f t="shared" si="5"/>
        <v>0</v>
      </c>
      <c r="R46" s="93">
        <v>0</v>
      </c>
      <c r="S46" s="106">
        <v>0</v>
      </c>
      <c r="T46" s="106">
        <v>0</v>
      </c>
      <c r="U46" s="93">
        <f t="shared" si="6"/>
        <v>0</v>
      </c>
      <c r="V46" s="93">
        <f t="shared" si="7"/>
        <v>0</v>
      </c>
      <c r="W46" s="94">
        <v>0</v>
      </c>
      <c r="X46" s="107">
        <v>0</v>
      </c>
      <c r="Y46" s="107">
        <v>0</v>
      </c>
      <c r="Z46" s="94">
        <f t="shared" si="8"/>
        <v>0</v>
      </c>
      <c r="AA46" s="94">
        <f t="shared" si="9"/>
        <v>0</v>
      </c>
    </row>
    <row r="47" spans="1:27" ht="14.25" customHeight="1">
      <c r="A47" s="97"/>
      <c r="B47" s="97"/>
      <c r="C47" s="44">
        <v>0</v>
      </c>
      <c r="D47" s="43">
        <v>0</v>
      </c>
      <c r="E47" s="43">
        <v>0</v>
      </c>
      <c r="F47" s="44">
        <f t="shared" si="0"/>
        <v>0</v>
      </c>
      <c r="G47" s="44">
        <f t="shared" si="1"/>
        <v>0</v>
      </c>
      <c r="H47" s="91">
        <v>0</v>
      </c>
      <c r="I47" s="104">
        <v>0</v>
      </c>
      <c r="J47" s="104">
        <v>0</v>
      </c>
      <c r="K47" s="91">
        <f t="shared" si="2"/>
        <v>0</v>
      </c>
      <c r="L47" s="91">
        <f t="shared" si="3"/>
        <v>0</v>
      </c>
      <c r="M47" s="92">
        <v>0</v>
      </c>
      <c r="N47" s="105">
        <v>0</v>
      </c>
      <c r="O47" s="105">
        <v>0</v>
      </c>
      <c r="P47" s="92">
        <f t="shared" si="4"/>
        <v>0</v>
      </c>
      <c r="Q47" s="92">
        <f t="shared" si="5"/>
        <v>0</v>
      </c>
      <c r="R47" s="93">
        <v>0</v>
      </c>
      <c r="S47" s="106">
        <v>0</v>
      </c>
      <c r="T47" s="106">
        <v>0</v>
      </c>
      <c r="U47" s="93">
        <f t="shared" si="6"/>
        <v>0</v>
      </c>
      <c r="V47" s="93">
        <f t="shared" si="7"/>
        <v>0</v>
      </c>
      <c r="W47" s="94">
        <v>0</v>
      </c>
      <c r="X47" s="107">
        <v>0</v>
      </c>
      <c r="Y47" s="107">
        <v>0</v>
      </c>
      <c r="Z47" s="94">
        <f t="shared" si="8"/>
        <v>0</v>
      </c>
      <c r="AA47" s="94">
        <f t="shared" si="9"/>
        <v>0</v>
      </c>
    </row>
    <row r="48" spans="1:27" ht="14.25" customHeight="1">
      <c r="A48" s="97"/>
      <c r="B48" s="97"/>
      <c r="C48" s="44">
        <v>0</v>
      </c>
      <c r="D48" s="43">
        <v>0</v>
      </c>
      <c r="E48" s="43">
        <v>0</v>
      </c>
      <c r="F48" s="44">
        <f t="shared" si="0"/>
        <v>0</v>
      </c>
      <c r="G48" s="44">
        <f t="shared" si="1"/>
        <v>0</v>
      </c>
      <c r="H48" s="91">
        <v>0</v>
      </c>
      <c r="I48" s="104">
        <v>0</v>
      </c>
      <c r="J48" s="104">
        <v>0</v>
      </c>
      <c r="K48" s="91">
        <f t="shared" si="2"/>
        <v>0</v>
      </c>
      <c r="L48" s="91">
        <f t="shared" si="3"/>
        <v>0</v>
      </c>
      <c r="M48" s="92">
        <v>0</v>
      </c>
      <c r="N48" s="105">
        <v>0</v>
      </c>
      <c r="O48" s="105">
        <v>0</v>
      </c>
      <c r="P48" s="92">
        <f t="shared" si="4"/>
        <v>0</v>
      </c>
      <c r="Q48" s="92">
        <f t="shared" si="5"/>
        <v>0</v>
      </c>
      <c r="R48" s="93">
        <v>0</v>
      </c>
      <c r="S48" s="106">
        <v>0</v>
      </c>
      <c r="T48" s="106">
        <v>0</v>
      </c>
      <c r="U48" s="93">
        <f t="shared" si="6"/>
        <v>0</v>
      </c>
      <c r="V48" s="93">
        <f t="shared" si="7"/>
        <v>0</v>
      </c>
      <c r="W48" s="94">
        <v>0</v>
      </c>
      <c r="X48" s="107">
        <v>0</v>
      </c>
      <c r="Y48" s="107">
        <v>0</v>
      </c>
      <c r="Z48" s="94">
        <f t="shared" si="8"/>
        <v>0</v>
      </c>
      <c r="AA48" s="94">
        <f t="shared" si="9"/>
        <v>0</v>
      </c>
    </row>
    <row r="49" spans="1:27" ht="14.25" customHeight="1">
      <c r="A49" s="97"/>
      <c r="B49" s="97"/>
      <c r="C49" s="44">
        <v>0</v>
      </c>
      <c r="D49" s="43">
        <v>0</v>
      </c>
      <c r="E49" s="43">
        <v>0</v>
      </c>
      <c r="F49" s="44">
        <f t="shared" si="0"/>
        <v>0</v>
      </c>
      <c r="G49" s="44">
        <f t="shared" si="1"/>
        <v>0</v>
      </c>
      <c r="H49" s="91">
        <v>0</v>
      </c>
      <c r="I49" s="104">
        <v>0</v>
      </c>
      <c r="J49" s="104">
        <v>0</v>
      </c>
      <c r="K49" s="91">
        <f t="shared" si="2"/>
        <v>0</v>
      </c>
      <c r="L49" s="91">
        <f t="shared" si="3"/>
        <v>0</v>
      </c>
      <c r="M49" s="92">
        <v>0</v>
      </c>
      <c r="N49" s="105">
        <v>0</v>
      </c>
      <c r="O49" s="105">
        <v>0</v>
      </c>
      <c r="P49" s="92">
        <f t="shared" si="4"/>
        <v>0</v>
      </c>
      <c r="Q49" s="92">
        <f t="shared" si="5"/>
        <v>0</v>
      </c>
      <c r="R49" s="93">
        <v>0</v>
      </c>
      <c r="S49" s="106">
        <v>0</v>
      </c>
      <c r="T49" s="106">
        <v>0</v>
      </c>
      <c r="U49" s="93">
        <f t="shared" si="6"/>
        <v>0</v>
      </c>
      <c r="V49" s="93">
        <f t="shared" si="7"/>
        <v>0</v>
      </c>
      <c r="W49" s="94">
        <v>0</v>
      </c>
      <c r="X49" s="107">
        <v>0</v>
      </c>
      <c r="Y49" s="107">
        <v>0</v>
      </c>
      <c r="Z49" s="94">
        <f t="shared" si="8"/>
        <v>0</v>
      </c>
      <c r="AA49" s="94">
        <f t="shared" si="9"/>
        <v>0</v>
      </c>
    </row>
    <row r="50" spans="1:27" ht="14.25" customHeight="1">
      <c r="A50" s="97"/>
      <c r="B50" s="97"/>
      <c r="C50" s="44">
        <v>0</v>
      </c>
      <c r="D50" s="43">
        <v>0</v>
      </c>
      <c r="E50" s="43">
        <v>0</v>
      </c>
      <c r="F50" s="44">
        <f t="shared" si="0"/>
        <v>0</v>
      </c>
      <c r="G50" s="44">
        <f t="shared" si="1"/>
        <v>0</v>
      </c>
      <c r="H50" s="91">
        <v>0</v>
      </c>
      <c r="I50" s="104">
        <v>0</v>
      </c>
      <c r="J50" s="104">
        <v>0</v>
      </c>
      <c r="K50" s="91">
        <f t="shared" si="2"/>
        <v>0</v>
      </c>
      <c r="L50" s="91">
        <f t="shared" si="3"/>
        <v>0</v>
      </c>
      <c r="M50" s="92">
        <v>0</v>
      </c>
      <c r="N50" s="105">
        <v>0</v>
      </c>
      <c r="O50" s="105">
        <v>0</v>
      </c>
      <c r="P50" s="92">
        <f t="shared" si="4"/>
        <v>0</v>
      </c>
      <c r="Q50" s="92">
        <f t="shared" si="5"/>
        <v>0</v>
      </c>
      <c r="R50" s="93">
        <v>0</v>
      </c>
      <c r="S50" s="106">
        <v>0</v>
      </c>
      <c r="T50" s="106">
        <v>0</v>
      </c>
      <c r="U50" s="93">
        <f t="shared" si="6"/>
        <v>0</v>
      </c>
      <c r="V50" s="93">
        <f t="shared" si="7"/>
        <v>0</v>
      </c>
      <c r="W50" s="94">
        <v>0</v>
      </c>
      <c r="X50" s="107">
        <v>0</v>
      </c>
      <c r="Y50" s="107">
        <v>0</v>
      </c>
      <c r="Z50" s="94">
        <f t="shared" si="8"/>
        <v>0</v>
      </c>
      <c r="AA50" s="94">
        <f t="shared" si="9"/>
        <v>0</v>
      </c>
    </row>
    <row r="51" spans="1:27" ht="14.25" customHeight="1">
      <c r="A51" s="97"/>
      <c r="B51" s="97"/>
      <c r="C51" s="44">
        <v>0</v>
      </c>
      <c r="D51" s="43">
        <v>0</v>
      </c>
      <c r="E51" s="43">
        <v>0</v>
      </c>
      <c r="F51" s="44">
        <f t="shared" si="0"/>
        <v>0</v>
      </c>
      <c r="G51" s="44">
        <f t="shared" si="1"/>
        <v>0</v>
      </c>
      <c r="H51" s="91">
        <v>0</v>
      </c>
      <c r="I51" s="104">
        <v>0</v>
      </c>
      <c r="J51" s="104">
        <v>0</v>
      </c>
      <c r="K51" s="91">
        <f t="shared" si="2"/>
        <v>0</v>
      </c>
      <c r="L51" s="91">
        <f t="shared" si="3"/>
        <v>0</v>
      </c>
      <c r="M51" s="92">
        <v>0</v>
      </c>
      <c r="N51" s="105">
        <v>0</v>
      </c>
      <c r="O51" s="105">
        <v>0</v>
      </c>
      <c r="P51" s="92">
        <f t="shared" si="4"/>
        <v>0</v>
      </c>
      <c r="Q51" s="92">
        <f t="shared" si="5"/>
        <v>0</v>
      </c>
      <c r="R51" s="93">
        <v>0</v>
      </c>
      <c r="S51" s="106">
        <v>0</v>
      </c>
      <c r="T51" s="106">
        <v>0</v>
      </c>
      <c r="U51" s="93">
        <f t="shared" si="6"/>
        <v>0</v>
      </c>
      <c r="V51" s="93">
        <f t="shared" si="7"/>
        <v>0</v>
      </c>
      <c r="W51" s="94">
        <v>0</v>
      </c>
      <c r="X51" s="107">
        <v>0</v>
      </c>
      <c r="Y51" s="107">
        <v>0</v>
      </c>
      <c r="Z51" s="94">
        <f t="shared" si="8"/>
        <v>0</v>
      </c>
      <c r="AA51" s="94">
        <f t="shared" si="9"/>
        <v>0</v>
      </c>
    </row>
    <row r="52" spans="1:27" ht="14.25" customHeight="1">
      <c r="A52" s="97"/>
      <c r="B52" s="97"/>
      <c r="C52" s="44">
        <v>0</v>
      </c>
      <c r="D52" s="43">
        <v>0</v>
      </c>
      <c r="E52" s="43">
        <v>0</v>
      </c>
      <c r="F52" s="44">
        <f t="shared" si="0"/>
        <v>0</v>
      </c>
      <c r="G52" s="44">
        <f t="shared" si="1"/>
        <v>0</v>
      </c>
      <c r="H52" s="91">
        <v>0</v>
      </c>
      <c r="I52" s="104">
        <v>0</v>
      </c>
      <c r="J52" s="104">
        <v>0</v>
      </c>
      <c r="K52" s="91">
        <f t="shared" si="2"/>
        <v>0</v>
      </c>
      <c r="L52" s="91">
        <f t="shared" si="3"/>
        <v>0</v>
      </c>
      <c r="M52" s="92">
        <v>0</v>
      </c>
      <c r="N52" s="105">
        <v>0</v>
      </c>
      <c r="O52" s="105">
        <v>0</v>
      </c>
      <c r="P52" s="92">
        <f t="shared" si="4"/>
        <v>0</v>
      </c>
      <c r="Q52" s="92">
        <f t="shared" si="5"/>
        <v>0</v>
      </c>
      <c r="R52" s="93">
        <v>0</v>
      </c>
      <c r="S52" s="106">
        <v>0</v>
      </c>
      <c r="T52" s="106">
        <v>0</v>
      </c>
      <c r="U52" s="93">
        <f t="shared" si="6"/>
        <v>0</v>
      </c>
      <c r="V52" s="93">
        <f t="shared" si="7"/>
        <v>0</v>
      </c>
      <c r="W52" s="94">
        <v>0</v>
      </c>
      <c r="X52" s="107">
        <v>0</v>
      </c>
      <c r="Y52" s="107">
        <v>0</v>
      </c>
      <c r="Z52" s="94">
        <f t="shared" si="8"/>
        <v>0</v>
      </c>
      <c r="AA52" s="94">
        <f t="shared" si="9"/>
        <v>0</v>
      </c>
    </row>
    <row r="53" spans="1:27" ht="14.25" customHeight="1">
      <c r="A53" s="97"/>
      <c r="B53" s="97"/>
      <c r="C53" s="44">
        <v>900</v>
      </c>
      <c r="D53" s="43">
        <v>90</v>
      </c>
      <c r="E53" s="43">
        <v>8</v>
      </c>
      <c r="F53" s="44">
        <f t="shared" si="0"/>
        <v>82</v>
      </c>
      <c r="G53" s="44">
        <f t="shared" si="1"/>
        <v>73800</v>
      </c>
      <c r="H53" s="91">
        <v>900</v>
      </c>
      <c r="I53" s="104">
        <v>90</v>
      </c>
      <c r="J53" s="104">
        <v>8</v>
      </c>
      <c r="K53" s="91">
        <f t="shared" si="2"/>
        <v>82</v>
      </c>
      <c r="L53" s="91">
        <f t="shared" si="3"/>
        <v>73800</v>
      </c>
      <c r="M53" s="92">
        <v>900</v>
      </c>
      <c r="N53" s="105">
        <v>90</v>
      </c>
      <c r="O53" s="105">
        <v>8</v>
      </c>
      <c r="P53" s="92">
        <f t="shared" si="4"/>
        <v>82</v>
      </c>
      <c r="Q53" s="92">
        <f t="shared" si="5"/>
        <v>73800</v>
      </c>
      <c r="R53" s="93">
        <v>900</v>
      </c>
      <c r="S53" s="106">
        <v>90</v>
      </c>
      <c r="T53" s="106">
        <v>8</v>
      </c>
      <c r="U53" s="93">
        <f t="shared" si="6"/>
        <v>82</v>
      </c>
      <c r="V53" s="93">
        <f t="shared" si="7"/>
        <v>73800</v>
      </c>
      <c r="W53" s="94">
        <v>900</v>
      </c>
      <c r="X53" s="107">
        <v>90</v>
      </c>
      <c r="Y53" s="107">
        <v>8</v>
      </c>
      <c r="Z53" s="94">
        <f t="shared" si="8"/>
        <v>82</v>
      </c>
      <c r="AA53" s="94">
        <f t="shared" si="9"/>
        <v>73800</v>
      </c>
    </row>
    <row r="54" spans="1:27" ht="14.25" customHeight="1">
      <c r="A54" s="97"/>
      <c r="B54" s="97"/>
      <c r="C54" s="44">
        <v>0</v>
      </c>
      <c r="D54" s="43">
        <v>0</v>
      </c>
      <c r="E54" s="43">
        <v>0</v>
      </c>
      <c r="F54" s="44">
        <f t="shared" si="0"/>
        <v>0</v>
      </c>
      <c r="G54" s="44">
        <f t="shared" si="1"/>
        <v>0</v>
      </c>
      <c r="H54" s="91">
        <v>0</v>
      </c>
      <c r="I54" s="104">
        <v>0</v>
      </c>
      <c r="J54" s="104">
        <v>0</v>
      </c>
      <c r="K54" s="91">
        <f t="shared" si="2"/>
        <v>0</v>
      </c>
      <c r="L54" s="91">
        <f t="shared" si="3"/>
        <v>0</v>
      </c>
      <c r="M54" s="92">
        <v>0</v>
      </c>
      <c r="N54" s="105">
        <v>0</v>
      </c>
      <c r="O54" s="105">
        <v>0</v>
      </c>
      <c r="P54" s="92">
        <f t="shared" si="4"/>
        <v>0</v>
      </c>
      <c r="Q54" s="92">
        <f t="shared" si="5"/>
        <v>0</v>
      </c>
      <c r="R54" s="93">
        <v>0</v>
      </c>
      <c r="S54" s="106">
        <v>0</v>
      </c>
      <c r="T54" s="106">
        <v>0</v>
      </c>
      <c r="U54" s="93">
        <f t="shared" si="6"/>
        <v>0</v>
      </c>
      <c r="V54" s="93">
        <f t="shared" si="7"/>
        <v>0</v>
      </c>
      <c r="W54" s="94">
        <v>0</v>
      </c>
      <c r="X54" s="107">
        <v>0</v>
      </c>
      <c r="Y54" s="107">
        <v>0</v>
      </c>
      <c r="Z54" s="94">
        <f t="shared" si="8"/>
        <v>0</v>
      </c>
      <c r="AA54" s="94">
        <f t="shared" si="9"/>
        <v>0</v>
      </c>
    </row>
    <row r="55" spans="1:27" ht="14.25" customHeight="1">
      <c r="A55" s="97"/>
      <c r="B55" s="97"/>
      <c r="C55" s="44">
        <v>0</v>
      </c>
      <c r="D55" s="43">
        <v>0</v>
      </c>
      <c r="E55" s="43">
        <v>0</v>
      </c>
      <c r="F55" s="44">
        <f t="shared" si="0"/>
        <v>0</v>
      </c>
      <c r="G55" s="44">
        <f t="shared" si="1"/>
        <v>0</v>
      </c>
      <c r="H55" s="91">
        <v>0</v>
      </c>
      <c r="I55" s="104">
        <v>0</v>
      </c>
      <c r="J55" s="104">
        <v>0</v>
      </c>
      <c r="K55" s="91">
        <f t="shared" si="2"/>
        <v>0</v>
      </c>
      <c r="L55" s="91">
        <f t="shared" si="3"/>
        <v>0</v>
      </c>
      <c r="M55" s="92">
        <v>0</v>
      </c>
      <c r="N55" s="105">
        <v>0</v>
      </c>
      <c r="O55" s="105">
        <v>0</v>
      </c>
      <c r="P55" s="92">
        <f t="shared" si="4"/>
        <v>0</v>
      </c>
      <c r="Q55" s="92">
        <f t="shared" si="5"/>
        <v>0</v>
      </c>
      <c r="R55" s="93">
        <v>0</v>
      </c>
      <c r="S55" s="106">
        <v>0</v>
      </c>
      <c r="T55" s="106">
        <v>0</v>
      </c>
      <c r="U55" s="93">
        <f t="shared" si="6"/>
        <v>0</v>
      </c>
      <c r="V55" s="93">
        <f t="shared" si="7"/>
        <v>0</v>
      </c>
      <c r="W55" s="94">
        <v>0</v>
      </c>
      <c r="X55" s="107">
        <v>0</v>
      </c>
      <c r="Y55" s="107">
        <v>0</v>
      </c>
      <c r="Z55" s="94">
        <f t="shared" si="8"/>
        <v>0</v>
      </c>
      <c r="AA55" s="94">
        <f t="shared" si="9"/>
        <v>0</v>
      </c>
    </row>
    <row r="56" spans="1:27" ht="14.25" customHeight="1">
      <c r="A56" s="97"/>
      <c r="B56" s="97"/>
      <c r="C56" s="44">
        <v>0</v>
      </c>
      <c r="D56" s="43">
        <v>0</v>
      </c>
      <c r="E56" s="43">
        <v>0</v>
      </c>
      <c r="F56" s="44">
        <f t="shared" si="0"/>
        <v>0</v>
      </c>
      <c r="G56" s="44">
        <f t="shared" si="1"/>
        <v>0</v>
      </c>
      <c r="H56" s="91">
        <v>0</v>
      </c>
      <c r="I56" s="104">
        <v>0</v>
      </c>
      <c r="J56" s="104">
        <v>0</v>
      </c>
      <c r="K56" s="91">
        <f t="shared" si="2"/>
        <v>0</v>
      </c>
      <c r="L56" s="91">
        <f t="shared" si="3"/>
        <v>0</v>
      </c>
      <c r="M56" s="92">
        <v>0</v>
      </c>
      <c r="N56" s="105">
        <v>0</v>
      </c>
      <c r="O56" s="105">
        <v>0</v>
      </c>
      <c r="P56" s="92">
        <f t="shared" si="4"/>
        <v>0</v>
      </c>
      <c r="Q56" s="92">
        <f t="shared" si="5"/>
        <v>0</v>
      </c>
      <c r="R56" s="93">
        <v>0</v>
      </c>
      <c r="S56" s="106">
        <v>0</v>
      </c>
      <c r="T56" s="106">
        <v>0</v>
      </c>
      <c r="U56" s="93">
        <f t="shared" si="6"/>
        <v>0</v>
      </c>
      <c r="V56" s="93">
        <f t="shared" si="7"/>
        <v>0</v>
      </c>
      <c r="W56" s="94">
        <v>0</v>
      </c>
      <c r="X56" s="107">
        <v>0</v>
      </c>
      <c r="Y56" s="107">
        <v>0</v>
      </c>
      <c r="Z56" s="94">
        <f t="shared" si="8"/>
        <v>0</v>
      </c>
      <c r="AA56" s="94">
        <f t="shared" si="9"/>
        <v>0</v>
      </c>
    </row>
    <row r="57" spans="1:27" ht="14.25" customHeight="1">
      <c r="A57" s="97"/>
      <c r="B57" s="97"/>
      <c r="C57" s="44">
        <v>0</v>
      </c>
      <c r="D57" s="43">
        <v>0</v>
      </c>
      <c r="E57" s="43">
        <v>0</v>
      </c>
      <c r="F57" s="44">
        <f t="shared" si="0"/>
        <v>0</v>
      </c>
      <c r="G57" s="44">
        <f t="shared" si="1"/>
        <v>0</v>
      </c>
      <c r="H57" s="91">
        <v>0</v>
      </c>
      <c r="I57" s="104">
        <v>0</v>
      </c>
      <c r="J57" s="104">
        <v>0</v>
      </c>
      <c r="K57" s="91">
        <f t="shared" si="2"/>
        <v>0</v>
      </c>
      <c r="L57" s="91">
        <f t="shared" si="3"/>
        <v>0</v>
      </c>
      <c r="M57" s="92">
        <v>0</v>
      </c>
      <c r="N57" s="105">
        <v>0</v>
      </c>
      <c r="O57" s="105">
        <v>0</v>
      </c>
      <c r="P57" s="92">
        <f t="shared" si="4"/>
        <v>0</v>
      </c>
      <c r="Q57" s="92">
        <f t="shared" si="5"/>
        <v>0</v>
      </c>
      <c r="R57" s="93">
        <v>0</v>
      </c>
      <c r="S57" s="106">
        <v>0</v>
      </c>
      <c r="T57" s="106">
        <v>0</v>
      </c>
      <c r="U57" s="93">
        <f t="shared" si="6"/>
        <v>0</v>
      </c>
      <c r="V57" s="93">
        <f t="shared" si="7"/>
        <v>0</v>
      </c>
      <c r="W57" s="94">
        <v>0</v>
      </c>
      <c r="X57" s="107">
        <v>0</v>
      </c>
      <c r="Y57" s="107">
        <v>0</v>
      </c>
      <c r="Z57" s="94">
        <f t="shared" si="8"/>
        <v>0</v>
      </c>
      <c r="AA57" s="94">
        <f t="shared" si="9"/>
        <v>0</v>
      </c>
    </row>
    <row r="58" spans="1:27" ht="14.25" customHeight="1">
      <c r="A58" s="97"/>
      <c r="B58" s="97"/>
      <c r="C58" s="44">
        <v>0</v>
      </c>
      <c r="D58" s="43">
        <v>0</v>
      </c>
      <c r="E58" s="43">
        <v>0</v>
      </c>
      <c r="F58" s="44">
        <f t="shared" si="0"/>
        <v>0</v>
      </c>
      <c r="G58" s="44">
        <f t="shared" si="1"/>
        <v>0</v>
      </c>
      <c r="H58" s="91">
        <v>0</v>
      </c>
      <c r="I58" s="104">
        <v>0</v>
      </c>
      <c r="J58" s="104">
        <v>0</v>
      </c>
      <c r="K58" s="91">
        <f t="shared" si="2"/>
        <v>0</v>
      </c>
      <c r="L58" s="91">
        <f t="shared" si="3"/>
        <v>0</v>
      </c>
      <c r="M58" s="92">
        <v>0</v>
      </c>
      <c r="N58" s="105">
        <v>0</v>
      </c>
      <c r="O58" s="105">
        <v>0</v>
      </c>
      <c r="P58" s="92">
        <f t="shared" si="4"/>
        <v>0</v>
      </c>
      <c r="Q58" s="92">
        <f t="shared" si="5"/>
        <v>0</v>
      </c>
      <c r="R58" s="93">
        <v>0</v>
      </c>
      <c r="S58" s="106">
        <v>0</v>
      </c>
      <c r="T58" s="106">
        <v>0</v>
      </c>
      <c r="U58" s="93">
        <f t="shared" si="6"/>
        <v>0</v>
      </c>
      <c r="V58" s="93">
        <f t="shared" si="7"/>
        <v>0</v>
      </c>
      <c r="W58" s="94">
        <v>0</v>
      </c>
      <c r="X58" s="107">
        <v>0</v>
      </c>
      <c r="Y58" s="107">
        <v>0</v>
      </c>
      <c r="Z58" s="94">
        <f t="shared" si="8"/>
        <v>0</v>
      </c>
      <c r="AA58" s="94">
        <f t="shared" si="9"/>
        <v>0</v>
      </c>
    </row>
    <row r="59" spans="1:27" ht="14.25" customHeight="1">
      <c r="A59" s="97"/>
      <c r="B59" s="97"/>
      <c r="C59" s="44">
        <v>0</v>
      </c>
      <c r="D59" s="43">
        <v>0</v>
      </c>
      <c r="E59" s="43">
        <v>0</v>
      </c>
      <c r="F59" s="44">
        <f t="shared" si="0"/>
        <v>0</v>
      </c>
      <c r="G59" s="44">
        <f t="shared" si="1"/>
        <v>0</v>
      </c>
      <c r="H59" s="91">
        <v>0</v>
      </c>
      <c r="I59" s="104">
        <v>0</v>
      </c>
      <c r="J59" s="104">
        <v>0</v>
      </c>
      <c r="K59" s="91">
        <f t="shared" si="2"/>
        <v>0</v>
      </c>
      <c r="L59" s="91">
        <f t="shared" si="3"/>
        <v>0</v>
      </c>
      <c r="M59" s="92">
        <v>0</v>
      </c>
      <c r="N59" s="105">
        <v>0</v>
      </c>
      <c r="O59" s="105">
        <v>0</v>
      </c>
      <c r="P59" s="92">
        <f t="shared" si="4"/>
        <v>0</v>
      </c>
      <c r="Q59" s="92">
        <f t="shared" si="5"/>
        <v>0</v>
      </c>
      <c r="R59" s="93">
        <v>0</v>
      </c>
      <c r="S59" s="106">
        <v>0</v>
      </c>
      <c r="T59" s="106">
        <v>0</v>
      </c>
      <c r="U59" s="93">
        <f t="shared" si="6"/>
        <v>0</v>
      </c>
      <c r="V59" s="93">
        <f t="shared" si="7"/>
        <v>0</v>
      </c>
      <c r="W59" s="94">
        <v>0</v>
      </c>
      <c r="X59" s="107">
        <v>0</v>
      </c>
      <c r="Y59" s="107">
        <v>0</v>
      </c>
      <c r="Z59" s="94">
        <f t="shared" si="8"/>
        <v>0</v>
      </c>
      <c r="AA59" s="94">
        <f t="shared" si="9"/>
        <v>0</v>
      </c>
    </row>
    <row r="60" spans="1:27" ht="14.25" customHeight="1">
      <c r="A60" s="97"/>
      <c r="B60" s="97"/>
      <c r="C60" s="44">
        <v>0</v>
      </c>
      <c r="D60" s="43">
        <v>0</v>
      </c>
      <c r="E60" s="43">
        <v>0</v>
      </c>
      <c r="F60" s="44">
        <f t="shared" si="0"/>
        <v>0</v>
      </c>
      <c r="G60" s="44">
        <f t="shared" si="1"/>
        <v>0</v>
      </c>
      <c r="H60" s="91">
        <v>0</v>
      </c>
      <c r="I60" s="104">
        <v>0</v>
      </c>
      <c r="J60" s="104">
        <v>0</v>
      </c>
      <c r="K60" s="91">
        <f t="shared" si="2"/>
        <v>0</v>
      </c>
      <c r="L60" s="91">
        <f t="shared" si="3"/>
        <v>0</v>
      </c>
      <c r="M60" s="92">
        <v>0</v>
      </c>
      <c r="N60" s="105">
        <v>0</v>
      </c>
      <c r="O60" s="105">
        <v>0</v>
      </c>
      <c r="P60" s="92">
        <f t="shared" si="4"/>
        <v>0</v>
      </c>
      <c r="Q60" s="92">
        <f t="shared" si="5"/>
        <v>0</v>
      </c>
      <c r="R60" s="93">
        <v>0</v>
      </c>
      <c r="S60" s="106">
        <v>0</v>
      </c>
      <c r="T60" s="106">
        <v>0</v>
      </c>
      <c r="U60" s="93">
        <f t="shared" si="6"/>
        <v>0</v>
      </c>
      <c r="V60" s="93">
        <f t="shared" si="7"/>
        <v>0</v>
      </c>
      <c r="W60" s="94">
        <v>0</v>
      </c>
      <c r="X60" s="107">
        <v>0</v>
      </c>
      <c r="Y60" s="107">
        <v>0</v>
      </c>
      <c r="Z60" s="94">
        <f t="shared" si="8"/>
        <v>0</v>
      </c>
      <c r="AA60" s="94">
        <f t="shared" si="9"/>
        <v>0</v>
      </c>
    </row>
    <row r="61" spans="1:27" ht="14.25" customHeight="1">
      <c r="A61" s="97"/>
      <c r="B61" s="97"/>
      <c r="C61" s="44">
        <v>0</v>
      </c>
      <c r="D61" s="43">
        <v>0</v>
      </c>
      <c r="E61" s="43">
        <v>0</v>
      </c>
      <c r="F61" s="44">
        <f t="shared" si="0"/>
        <v>0</v>
      </c>
      <c r="G61" s="44">
        <f t="shared" si="1"/>
        <v>0</v>
      </c>
      <c r="H61" s="91">
        <v>0</v>
      </c>
      <c r="I61" s="104">
        <v>0</v>
      </c>
      <c r="J61" s="104">
        <v>0</v>
      </c>
      <c r="K61" s="91">
        <f t="shared" si="2"/>
        <v>0</v>
      </c>
      <c r="L61" s="91">
        <f t="shared" si="3"/>
        <v>0</v>
      </c>
      <c r="M61" s="92">
        <v>0</v>
      </c>
      <c r="N61" s="105">
        <v>0</v>
      </c>
      <c r="O61" s="105">
        <v>0</v>
      </c>
      <c r="P61" s="92">
        <f t="shared" si="4"/>
        <v>0</v>
      </c>
      <c r="Q61" s="92">
        <f t="shared" si="5"/>
        <v>0</v>
      </c>
      <c r="R61" s="93">
        <v>0</v>
      </c>
      <c r="S61" s="106">
        <v>0</v>
      </c>
      <c r="T61" s="106">
        <v>0</v>
      </c>
      <c r="U61" s="93">
        <f t="shared" si="6"/>
        <v>0</v>
      </c>
      <c r="V61" s="93">
        <f t="shared" si="7"/>
        <v>0</v>
      </c>
      <c r="W61" s="94">
        <v>0</v>
      </c>
      <c r="X61" s="107">
        <v>0</v>
      </c>
      <c r="Y61" s="107">
        <v>0</v>
      </c>
      <c r="Z61" s="94">
        <f t="shared" si="8"/>
        <v>0</v>
      </c>
      <c r="AA61" s="94">
        <f t="shared" si="9"/>
        <v>0</v>
      </c>
    </row>
    <row r="62" spans="1:27" ht="14.25" customHeight="1">
      <c r="A62" s="97"/>
      <c r="B62" s="97"/>
      <c r="C62" s="44">
        <v>0</v>
      </c>
      <c r="D62" s="43">
        <v>0</v>
      </c>
      <c r="E62" s="43">
        <v>0</v>
      </c>
      <c r="F62" s="44">
        <f t="shared" si="0"/>
        <v>0</v>
      </c>
      <c r="G62" s="44">
        <f t="shared" si="1"/>
        <v>0</v>
      </c>
      <c r="H62" s="91">
        <v>0</v>
      </c>
      <c r="I62" s="104">
        <v>0</v>
      </c>
      <c r="J62" s="104">
        <v>0</v>
      </c>
      <c r="K62" s="91">
        <f t="shared" si="2"/>
        <v>0</v>
      </c>
      <c r="L62" s="91">
        <f t="shared" si="3"/>
        <v>0</v>
      </c>
      <c r="M62" s="92">
        <v>0</v>
      </c>
      <c r="N62" s="105">
        <v>0</v>
      </c>
      <c r="O62" s="105">
        <v>0</v>
      </c>
      <c r="P62" s="92">
        <f t="shared" si="4"/>
        <v>0</v>
      </c>
      <c r="Q62" s="92">
        <f t="shared" si="5"/>
        <v>0</v>
      </c>
      <c r="R62" s="93">
        <v>0</v>
      </c>
      <c r="S62" s="106">
        <v>0</v>
      </c>
      <c r="T62" s="106">
        <v>0</v>
      </c>
      <c r="U62" s="93">
        <f t="shared" si="6"/>
        <v>0</v>
      </c>
      <c r="V62" s="93">
        <f t="shared" si="7"/>
        <v>0</v>
      </c>
      <c r="W62" s="94">
        <v>0</v>
      </c>
      <c r="X62" s="107">
        <v>0</v>
      </c>
      <c r="Y62" s="107">
        <v>0</v>
      </c>
      <c r="Z62" s="94">
        <f t="shared" si="8"/>
        <v>0</v>
      </c>
      <c r="AA62" s="94">
        <f t="shared" si="9"/>
        <v>0</v>
      </c>
    </row>
    <row r="63" spans="1:27" ht="14.25" customHeight="1">
      <c r="A63" s="97"/>
      <c r="B63" s="97"/>
      <c r="C63" s="44">
        <v>0</v>
      </c>
      <c r="D63" s="43">
        <v>0</v>
      </c>
      <c r="E63" s="43">
        <v>0</v>
      </c>
      <c r="F63" s="44">
        <f t="shared" si="0"/>
        <v>0</v>
      </c>
      <c r="G63" s="44">
        <f t="shared" si="1"/>
        <v>0</v>
      </c>
      <c r="H63" s="91">
        <v>0</v>
      </c>
      <c r="I63" s="104">
        <v>0</v>
      </c>
      <c r="J63" s="104">
        <v>0</v>
      </c>
      <c r="K63" s="91">
        <f t="shared" si="2"/>
        <v>0</v>
      </c>
      <c r="L63" s="91">
        <f t="shared" si="3"/>
        <v>0</v>
      </c>
      <c r="M63" s="92">
        <v>0</v>
      </c>
      <c r="N63" s="105">
        <v>0</v>
      </c>
      <c r="O63" s="105">
        <v>0</v>
      </c>
      <c r="P63" s="92">
        <f t="shared" si="4"/>
        <v>0</v>
      </c>
      <c r="Q63" s="92">
        <f t="shared" si="5"/>
        <v>0</v>
      </c>
      <c r="R63" s="93">
        <v>0</v>
      </c>
      <c r="S63" s="106">
        <v>0</v>
      </c>
      <c r="T63" s="106">
        <v>0</v>
      </c>
      <c r="U63" s="93">
        <f t="shared" si="6"/>
        <v>0</v>
      </c>
      <c r="V63" s="93">
        <f t="shared" si="7"/>
        <v>0</v>
      </c>
      <c r="W63" s="94">
        <v>0</v>
      </c>
      <c r="X63" s="107">
        <v>0</v>
      </c>
      <c r="Y63" s="107">
        <v>0</v>
      </c>
      <c r="Z63" s="94">
        <f t="shared" si="8"/>
        <v>0</v>
      </c>
      <c r="AA63" s="94">
        <f t="shared" si="9"/>
        <v>0</v>
      </c>
    </row>
    <row r="64" spans="1:27" ht="14.25" customHeight="1">
      <c r="A64" s="97"/>
      <c r="B64" s="97"/>
      <c r="C64" s="44">
        <v>0</v>
      </c>
      <c r="D64" s="43">
        <v>0</v>
      </c>
      <c r="E64" s="43">
        <v>0</v>
      </c>
      <c r="F64" s="44">
        <f t="shared" si="0"/>
        <v>0</v>
      </c>
      <c r="G64" s="44">
        <f t="shared" si="1"/>
        <v>0</v>
      </c>
      <c r="H64" s="91">
        <v>0</v>
      </c>
      <c r="I64" s="104">
        <v>0</v>
      </c>
      <c r="J64" s="104">
        <v>0</v>
      </c>
      <c r="K64" s="91">
        <f t="shared" si="2"/>
        <v>0</v>
      </c>
      <c r="L64" s="91">
        <f t="shared" si="3"/>
        <v>0</v>
      </c>
      <c r="M64" s="92">
        <v>0</v>
      </c>
      <c r="N64" s="105">
        <v>0</v>
      </c>
      <c r="O64" s="105">
        <v>0</v>
      </c>
      <c r="P64" s="92">
        <f t="shared" si="4"/>
        <v>0</v>
      </c>
      <c r="Q64" s="92">
        <f t="shared" si="5"/>
        <v>0</v>
      </c>
      <c r="R64" s="93">
        <v>0</v>
      </c>
      <c r="S64" s="106">
        <v>0</v>
      </c>
      <c r="T64" s="106">
        <v>0</v>
      </c>
      <c r="U64" s="93">
        <f t="shared" si="6"/>
        <v>0</v>
      </c>
      <c r="V64" s="93">
        <f t="shared" si="7"/>
        <v>0</v>
      </c>
      <c r="W64" s="94">
        <v>0</v>
      </c>
      <c r="X64" s="107">
        <v>0</v>
      </c>
      <c r="Y64" s="107">
        <v>0</v>
      </c>
      <c r="Z64" s="94">
        <f t="shared" si="8"/>
        <v>0</v>
      </c>
      <c r="AA64" s="94">
        <f t="shared" si="9"/>
        <v>0</v>
      </c>
    </row>
    <row r="65" spans="1:27" ht="14.25" customHeight="1">
      <c r="A65" s="97"/>
      <c r="B65" s="97"/>
      <c r="C65" s="44">
        <v>0</v>
      </c>
      <c r="D65" s="43">
        <v>0</v>
      </c>
      <c r="E65" s="43">
        <v>0</v>
      </c>
      <c r="F65" s="44">
        <f t="shared" si="0"/>
        <v>0</v>
      </c>
      <c r="G65" s="44">
        <f t="shared" si="1"/>
        <v>0</v>
      </c>
      <c r="H65" s="91">
        <v>0</v>
      </c>
      <c r="I65" s="104">
        <v>0</v>
      </c>
      <c r="J65" s="104">
        <v>0</v>
      </c>
      <c r="K65" s="91">
        <f t="shared" si="2"/>
        <v>0</v>
      </c>
      <c r="L65" s="91">
        <f t="shared" si="3"/>
        <v>0</v>
      </c>
      <c r="M65" s="92">
        <v>0</v>
      </c>
      <c r="N65" s="105">
        <v>0</v>
      </c>
      <c r="O65" s="105">
        <v>0</v>
      </c>
      <c r="P65" s="92">
        <f t="shared" si="4"/>
        <v>0</v>
      </c>
      <c r="Q65" s="92">
        <f t="shared" si="5"/>
        <v>0</v>
      </c>
      <c r="R65" s="93">
        <v>0</v>
      </c>
      <c r="S65" s="106">
        <v>0</v>
      </c>
      <c r="T65" s="106">
        <v>0</v>
      </c>
      <c r="U65" s="93">
        <f t="shared" si="6"/>
        <v>0</v>
      </c>
      <c r="V65" s="93">
        <f t="shared" si="7"/>
        <v>0</v>
      </c>
      <c r="W65" s="94">
        <v>0</v>
      </c>
      <c r="X65" s="107">
        <v>0</v>
      </c>
      <c r="Y65" s="107">
        <v>0</v>
      </c>
      <c r="Z65" s="94">
        <f t="shared" si="8"/>
        <v>0</v>
      </c>
      <c r="AA65" s="94">
        <f t="shared" si="9"/>
        <v>0</v>
      </c>
    </row>
    <row r="66" spans="1:27" ht="14.25" customHeight="1">
      <c r="A66" s="97"/>
      <c r="B66" s="97"/>
      <c r="C66" s="44">
        <v>0</v>
      </c>
      <c r="D66" s="43">
        <v>0</v>
      </c>
      <c r="E66" s="43">
        <v>0</v>
      </c>
      <c r="F66" s="44">
        <f t="shared" si="0"/>
        <v>0</v>
      </c>
      <c r="G66" s="44">
        <f t="shared" si="1"/>
        <v>0</v>
      </c>
      <c r="H66" s="91">
        <v>0</v>
      </c>
      <c r="I66" s="104">
        <v>0</v>
      </c>
      <c r="J66" s="104">
        <v>0</v>
      </c>
      <c r="K66" s="91">
        <f t="shared" si="2"/>
        <v>0</v>
      </c>
      <c r="L66" s="91">
        <f t="shared" si="3"/>
        <v>0</v>
      </c>
      <c r="M66" s="92">
        <v>0</v>
      </c>
      <c r="N66" s="105">
        <v>0</v>
      </c>
      <c r="O66" s="105">
        <v>0</v>
      </c>
      <c r="P66" s="92">
        <f t="shared" si="4"/>
        <v>0</v>
      </c>
      <c r="Q66" s="92">
        <f t="shared" si="5"/>
        <v>0</v>
      </c>
      <c r="R66" s="93">
        <v>0</v>
      </c>
      <c r="S66" s="106">
        <v>0</v>
      </c>
      <c r="T66" s="106">
        <v>0</v>
      </c>
      <c r="U66" s="93">
        <f t="shared" si="6"/>
        <v>0</v>
      </c>
      <c r="V66" s="93">
        <f t="shared" si="7"/>
        <v>0</v>
      </c>
      <c r="W66" s="94">
        <v>0</v>
      </c>
      <c r="X66" s="107">
        <v>0</v>
      </c>
      <c r="Y66" s="107">
        <v>0</v>
      </c>
      <c r="Z66" s="94">
        <f t="shared" si="8"/>
        <v>0</v>
      </c>
      <c r="AA66" s="94">
        <f t="shared" si="9"/>
        <v>0</v>
      </c>
    </row>
    <row r="67" spans="1:27" ht="14.25" customHeight="1">
      <c r="A67" s="97"/>
      <c r="B67" s="97"/>
      <c r="C67" s="44">
        <v>0</v>
      </c>
      <c r="D67" s="43">
        <v>0</v>
      </c>
      <c r="E67" s="43">
        <v>0</v>
      </c>
      <c r="F67" s="44">
        <f t="shared" si="0"/>
        <v>0</v>
      </c>
      <c r="G67" s="44">
        <f t="shared" si="1"/>
        <v>0</v>
      </c>
      <c r="H67" s="91">
        <v>0</v>
      </c>
      <c r="I67" s="104">
        <v>0</v>
      </c>
      <c r="J67" s="104">
        <v>0</v>
      </c>
      <c r="K67" s="91">
        <f t="shared" si="2"/>
        <v>0</v>
      </c>
      <c r="L67" s="91">
        <f t="shared" si="3"/>
        <v>0</v>
      </c>
      <c r="M67" s="92">
        <v>0</v>
      </c>
      <c r="N67" s="105">
        <v>0</v>
      </c>
      <c r="O67" s="105">
        <v>0</v>
      </c>
      <c r="P67" s="92">
        <f t="shared" si="4"/>
        <v>0</v>
      </c>
      <c r="Q67" s="92">
        <f t="shared" si="5"/>
        <v>0</v>
      </c>
      <c r="R67" s="93">
        <v>0</v>
      </c>
      <c r="S67" s="106">
        <v>0</v>
      </c>
      <c r="T67" s="106">
        <v>0</v>
      </c>
      <c r="U67" s="93">
        <f t="shared" si="6"/>
        <v>0</v>
      </c>
      <c r="V67" s="93">
        <f t="shared" si="7"/>
        <v>0</v>
      </c>
      <c r="W67" s="94">
        <v>0</v>
      </c>
      <c r="X67" s="107">
        <v>0</v>
      </c>
      <c r="Y67" s="107">
        <v>0</v>
      </c>
      <c r="Z67" s="94">
        <f t="shared" si="8"/>
        <v>0</v>
      </c>
      <c r="AA67" s="94">
        <f t="shared" si="9"/>
        <v>0</v>
      </c>
    </row>
    <row r="68" spans="1:27" ht="14.25" customHeight="1">
      <c r="A68" s="97"/>
      <c r="B68" s="97"/>
      <c r="C68" s="44">
        <v>0</v>
      </c>
      <c r="D68" s="43">
        <v>0</v>
      </c>
      <c r="E68" s="43">
        <v>0</v>
      </c>
      <c r="F68" s="44">
        <f t="shared" si="0"/>
        <v>0</v>
      </c>
      <c r="G68" s="44">
        <f t="shared" si="1"/>
        <v>0</v>
      </c>
      <c r="H68" s="91">
        <v>0</v>
      </c>
      <c r="I68" s="104">
        <v>0</v>
      </c>
      <c r="J68" s="104">
        <v>0</v>
      </c>
      <c r="K68" s="91">
        <f t="shared" si="2"/>
        <v>0</v>
      </c>
      <c r="L68" s="91">
        <f t="shared" si="3"/>
        <v>0</v>
      </c>
      <c r="M68" s="92">
        <v>0</v>
      </c>
      <c r="N68" s="105">
        <v>0</v>
      </c>
      <c r="O68" s="105">
        <v>0</v>
      </c>
      <c r="P68" s="92">
        <f t="shared" si="4"/>
        <v>0</v>
      </c>
      <c r="Q68" s="92">
        <f t="shared" si="5"/>
        <v>0</v>
      </c>
      <c r="R68" s="93">
        <v>0</v>
      </c>
      <c r="S68" s="106">
        <v>0</v>
      </c>
      <c r="T68" s="106">
        <v>0</v>
      </c>
      <c r="U68" s="93">
        <f t="shared" si="6"/>
        <v>0</v>
      </c>
      <c r="V68" s="93">
        <f t="shared" si="7"/>
        <v>0</v>
      </c>
      <c r="W68" s="94">
        <v>0</v>
      </c>
      <c r="X68" s="107">
        <v>0</v>
      </c>
      <c r="Y68" s="107">
        <v>0</v>
      </c>
      <c r="Z68" s="94">
        <f t="shared" si="8"/>
        <v>0</v>
      </c>
      <c r="AA68" s="94">
        <f t="shared" si="9"/>
        <v>0</v>
      </c>
    </row>
    <row r="69" spans="1:27" ht="14.25" customHeight="1">
      <c r="A69" s="97"/>
      <c r="B69" s="97"/>
      <c r="C69" s="44">
        <v>0</v>
      </c>
      <c r="D69" s="43">
        <v>0</v>
      </c>
      <c r="E69" s="43">
        <v>0</v>
      </c>
      <c r="F69" s="44">
        <f t="shared" si="0"/>
        <v>0</v>
      </c>
      <c r="G69" s="44">
        <f t="shared" si="1"/>
        <v>0</v>
      </c>
      <c r="H69" s="91">
        <v>0</v>
      </c>
      <c r="I69" s="104">
        <v>0</v>
      </c>
      <c r="J69" s="104">
        <v>0</v>
      </c>
      <c r="K69" s="91">
        <f t="shared" si="2"/>
        <v>0</v>
      </c>
      <c r="L69" s="91">
        <f t="shared" si="3"/>
        <v>0</v>
      </c>
      <c r="M69" s="92">
        <v>0</v>
      </c>
      <c r="N69" s="105">
        <v>0</v>
      </c>
      <c r="O69" s="105">
        <v>0</v>
      </c>
      <c r="P69" s="92">
        <f t="shared" si="4"/>
        <v>0</v>
      </c>
      <c r="Q69" s="92">
        <f t="shared" si="5"/>
        <v>0</v>
      </c>
      <c r="R69" s="93">
        <v>0</v>
      </c>
      <c r="S69" s="106">
        <v>0</v>
      </c>
      <c r="T69" s="106">
        <v>0</v>
      </c>
      <c r="U69" s="93">
        <f t="shared" si="6"/>
        <v>0</v>
      </c>
      <c r="V69" s="93">
        <f t="shared" si="7"/>
        <v>0</v>
      </c>
      <c r="W69" s="94">
        <v>0</v>
      </c>
      <c r="X69" s="107">
        <v>0</v>
      </c>
      <c r="Y69" s="107">
        <v>0</v>
      </c>
      <c r="Z69" s="94">
        <f t="shared" si="8"/>
        <v>0</v>
      </c>
      <c r="AA69" s="94">
        <f t="shared" si="9"/>
        <v>0</v>
      </c>
    </row>
    <row r="70" spans="1:27" ht="14.25" customHeight="1">
      <c r="A70" s="97"/>
      <c r="B70" s="97"/>
      <c r="C70" s="44">
        <v>0</v>
      </c>
      <c r="D70" s="43">
        <v>0</v>
      </c>
      <c r="E70" s="43">
        <v>0</v>
      </c>
      <c r="F70" s="44">
        <f t="shared" si="0"/>
        <v>0</v>
      </c>
      <c r="G70" s="44">
        <f t="shared" si="1"/>
        <v>0</v>
      </c>
      <c r="H70" s="91">
        <v>0</v>
      </c>
      <c r="I70" s="104">
        <v>0</v>
      </c>
      <c r="J70" s="104">
        <v>0</v>
      </c>
      <c r="K70" s="91">
        <f t="shared" si="2"/>
        <v>0</v>
      </c>
      <c r="L70" s="91">
        <f t="shared" si="3"/>
        <v>0</v>
      </c>
      <c r="M70" s="92">
        <v>0</v>
      </c>
      <c r="N70" s="105">
        <v>0</v>
      </c>
      <c r="O70" s="105">
        <v>0</v>
      </c>
      <c r="P70" s="92">
        <f t="shared" si="4"/>
        <v>0</v>
      </c>
      <c r="Q70" s="92">
        <f t="shared" si="5"/>
        <v>0</v>
      </c>
      <c r="R70" s="93">
        <v>0</v>
      </c>
      <c r="S70" s="106">
        <v>0</v>
      </c>
      <c r="T70" s="106">
        <v>0</v>
      </c>
      <c r="U70" s="93">
        <f t="shared" si="6"/>
        <v>0</v>
      </c>
      <c r="V70" s="93">
        <f t="shared" si="7"/>
        <v>0</v>
      </c>
      <c r="W70" s="94">
        <v>0</v>
      </c>
      <c r="X70" s="107">
        <v>0</v>
      </c>
      <c r="Y70" s="107">
        <v>0</v>
      </c>
      <c r="Z70" s="94">
        <f t="shared" si="8"/>
        <v>0</v>
      </c>
      <c r="AA70" s="94">
        <f t="shared" si="9"/>
        <v>0</v>
      </c>
    </row>
    <row r="71" spans="1:27" ht="14.25" customHeight="1">
      <c r="A71" s="97"/>
      <c r="B71" s="97"/>
      <c r="C71" s="44">
        <v>0</v>
      </c>
      <c r="D71" s="43">
        <v>0</v>
      </c>
      <c r="E71" s="43">
        <v>0</v>
      </c>
      <c r="F71" s="44">
        <f t="shared" si="0"/>
        <v>0</v>
      </c>
      <c r="G71" s="44">
        <f t="shared" si="1"/>
        <v>0</v>
      </c>
      <c r="H71" s="91">
        <v>0</v>
      </c>
      <c r="I71" s="104">
        <v>0</v>
      </c>
      <c r="J71" s="104">
        <v>0</v>
      </c>
      <c r="K71" s="91">
        <f t="shared" si="2"/>
        <v>0</v>
      </c>
      <c r="L71" s="91">
        <f t="shared" si="3"/>
        <v>0</v>
      </c>
      <c r="M71" s="92">
        <v>0</v>
      </c>
      <c r="N71" s="105">
        <v>0</v>
      </c>
      <c r="O71" s="105">
        <v>0</v>
      </c>
      <c r="P71" s="92">
        <f t="shared" si="4"/>
        <v>0</v>
      </c>
      <c r="Q71" s="92">
        <f t="shared" si="5"/>
        <v>0</v>
      </c>
      <c r="R71" s="93">
        <v>0</v>
      </c>
      <c r="S71" s="106">
        <v>0</v>
      </c>
      <c r="T71" s="106">
        <v>0</v>
      </c>
      <c r="U71" s="93">
        <f t="shared" si="6"/>
        <v>0</v>
      </c>
      <c r="V71" s="93">
        <f t="shared" si="7"/>
        <v>0</v>
      </c>
      <c r="W71" s="94">
        <v>0</v>
      </c>
      <c r="X71" s="107">
        <v>0</v>
      </c>
      <c r="Y71" s="107">
        <v>0</v>
      </c>
      <c r="Z71" s="94">
        <f t="shared" si="8"/>
        <v>0</v>
      </c>
      <c r="AA71" s="94">
        <f t="shared" si="9"/>
        <v>0</v>
      </c>
    </row>
    <row r="72" spans="1:27" ht="14.25" customHeight="1">
      <c r="A72" s="97"/>
      <c r="B72" s="97"/>
      <c r="C72" s="44">
        <v>0</v>
      </c>
      <c r="D72" s="43">
        <v>0</v>
      </c>
      <c r="E72" s="43">
        <v>0</v>
      </c>
      <c r="F72" s="44">
        <f t="shared" si="0"/>
        <v>0</v>
      </c>
      <c r="G72" s="44">
        <f t="shared" si="1"/>
        <v>0</v>
      </c>
      <c r="H72" s="91">
        <v>0</v>
      </c>
      <c r="I72" s="104">
        <v>0</v>
      </c>
      <c r="J72" s="104">
        <v>0</v>
      </c>
      <c r="K72" s="91">
        <f t="shared" si="2"/>
        <v>0</v>
      </c>
      <c r="L72" s="91">
        <f t="shared" si="3"/>
        <v>0</v>
      </c>
      <c r="M72" s="92">
        <v>0</v>
      </c>
      <c r="N72" s="105">
        <v>0</v>
      </c>
      <c r="O72" s="105">
        <v>0</v>
      </c>
      <c r="P72" s="92">
        <f t="shared" si="4"/>
        <v>0</v>
      </c>
      <c r="Q72" s="92">
        <f t="shared" si="5"/>
        <v>0</v>
      </c>
      <c r="R72" s="93">
        <v>0</v>
      </c>
      <c r="S72" s="106">
        <v>0</v>
      </c>
      <c r="T72" s="106">
        <v>0</v>
      </c>
      <c r="U72" s="93">
        <f t="shared" si="6"/>
        <v>0</v>
      </c>
      <c r="V72" s="93">
        <f t="shared" si="7"/>
        <v>0</v>
      </c>
      <c r="W72" s="94">
        <v>0</v>
      </c>
      <c r="X72" s="107">
        <v>0</v>
      </c>
      <c r="Y72" s="107">
        <v>0</v>
      </c>
      <c r="Z72" s="94">
        <f t="shared" si="8"/>
        <v>0</v>
      </c>
      <c r="AA72" s="94">
        <f t="shared" si="9"/>
        <v>0</v>
      </c>
    </row>
    <row r="73" spans="1:27" ht="14.25" customHeight="1">
      <c r="A73" s="97"/>
      <c r="B73" s="97"/>
      <c r="C73" s="44">
        <v>0</v>
      </c>
      <c r="D73" s="43">
        <v>0</v>
      </c>
      <c r="E73" s="43">
        <v>0</v>
      </c>
      <c r="F73" s="44">
        <f t="shared" si="0"/>
        <v>0</v>
      </c>
      <c r="G73" s="44">
        <f t="shared" si="1"/>
        <v>0</v>
      </c>
      <c r="H73" s="91">
        <v>0</v>
      </c>
      <c r="I73" s="104">
        <v>0</v>
      </c>
      <c r="J73" s="104">
        <v>0</v>
      </c>
      <c r="K73" s="91">
        <f t="shared" si="2"/>
        <v>0</v>
      </c>
      <c r="L73" s="91">
        <f t="shared" si="3"/>
        <v>0</v>
      </c>
      <c r="M73" s="92">
        <v>0</v>
      </c>
      <c r="N73" s="105">
        <v>0</v>
      </c>
      <c r="O73" s="105">
        <v>0</v>
      </c>
      <c r="P73" s="92">
        <f t="shared" si="4"/>
        <v>0</v>
      </c>
      <c r="Q73" s="92">
        <f t="shared" si="5"/>
        <v>0</v>
      </c>
      <c r="R73" s="93">
        <v>0</v>
      </c>
      <c r="S73" s="106">
        <v>0</v>
      </c>
      <c r="T73" s="106">
        <v>0</v>
      </c>
      <c r="U73" s="93">
        <f t="shared" si="6"/>
        <v>0</v>
      </c>
      <c r="V73" s="93">
        <f t="shared" si="7"/>
        <v>0</v>
      </c>
      <c r="W73" s="94">
        <v>0</v>
      </c>
      <c r="X73" s="107">
        <v>0</v>
      </c>
      <c r="Y73" s="107">
        <v>0</v>
      </c>
      <c r="Z73" s="94">
        <f t="shared" si="8"/>
        <v>0</v>
      </c>
      <c r="AA73" s="94">
        <f t="shared" si="9"/>
        <v>0</v>
      </c>
    </row>
    <row r="74" spans="1:27" ht="14.25" customHeight="1">
      <c r="A74" s="97"/>
      <c r="B74" s="97"/>
      <c r="C74" s="44">
        <v>0</v>
      </c>
      <c r="D74" s="43">
        <v>0</v>
      </c>
      <c r="E74" s="43">
        <v>0</v>
      </c>
      <c r="F74" s="44">
        <f t="shared" si="0"/>
        <v>0</v>
      </c>
      <c r="G74" s="44">
        <f t="shared" si="1"/>
        <v>0</v>
      </c>
      <c r="H74" s="91">
        <v>0</v>
      </c>
      <c r="I74" s="104">
        <v>0</v>
      </c>
      <c r="J74" s="104">
        <v>0</v>
      </c>
      <c r="K74" s="91">
        <f t="shared" si="2"/>
        <v>0</v>
      </c>
      <c r="L74" s="91">
        <f t="shared" si="3"/>
        <v>0</v>
      </c>
      <c r="M74" s="92">
        <v>0</v>
      </c>
      <c r="N74" s="105">
        <v>0</v>
      </c>
      <c r="O74" s="105">
        <v>0</v>
      </c>
      <c r="P74" s="92">
        <f t="shared" si="4"/>
        <v>0</v>
      </c>
      <c r="Q74" s="92">
        <f t="shared" si="5"/>
        <v>0</v>
      </c>
      <c r="R74" s="93">
        <v>0</v>
      </c>
      <c r="S74" s="106">
        <v>0</v>
      </c>
      <c r="T74" s="106">
        <v>0</v>
      </c>
      <c r="U74" s="93">
        <f t="shared" si="6"/>
        <v>0</v>
      </c>
      <c r="V74" s="93">
        <f t="shared" si="7"/>
        <v>0</v>
      </c>
      <c r="W74" s="94">
        <v>0</v>
      </c>
      <c r="X74" s="107">
        <v>0</v>
      </c>
      <c r="Y74" s="107">
        <v>0</v>
      </c>
      <c r="Z74" s="94">
        <f t="shared" si="8"/>
        <v>0</v>
      </c>
      <c r="AA74" s="94">
        <f t="shared" si="9"/>
        <v>0</v>
      </c>
    </row>
    <row r="75" spans="1:27" ht="14.25" customHeight="1">
      <c r="A75" s="97"/>
      <c r="B75" s="97"/>
      <c r="C75" s="44">
        <v>0</v>
      </c>
      <c r="D75" s="43">
        <v>0</v>
      </c>
      <c r="E75" s="43">
        <v>0</v>
      </c>
      <c r="F75" s="44">
        <f t="shared" si="0"/>
        <v>0</v>
      </c>
      <c r="G75" s="44">
        <f t="shared" si="1"/>
        <v>0</v>
      </c>
      <c r="H75" s="91">
        <v>0</v>
      </c>
      <c r="I75" s="104">
        <v>0</v>
      </c>
      <c r="J75" s="104">
        <v>0</v>
      </c>
      <c r="K75" s="91">
        <f t="shared" si="2"/>
        <v>0</v>
      </c>
      <c r="L75" s="91">
        <f t="shared" si="3"/>
        <v>0</v>
      </c>
      <c r="M75" s="92">
        <v>0</v>
      </c>
      <c r="N75" s="105">
        <v>0</v>
      </c>
      <c r="O75" s="105">
        <v>0</v>
      </c>
      <c r="P75" s="92">
        <f t="shared" si="4"/>
        <v>0</v>
      </c>
      <c r="Q75" s="92">
        <f t="shared" si="5"/>
        <v>0</v>
      </c>
      <c r="R75" s="93">
        <v>0</v>
      </c>
      <c r="S75" s="106">
        <v>0</v>
      </c>
      <c r="T75" s="106">
        <v>0</v>
      </c>
      <c r="U75" s="93">
        <f t="shared" si="6"/>
        <v>0</v>
      </c>
      <c r="V75" s="93">
        <f t="shared" si="7"/>
        <v>0</v>
      </c>
      <c r="W75" s="94">
        <v>0</v>
      </c>
      <c r="X75" s="107">
        <v>0</v>
      </c>
      <c r="Y75" s="107">
        <v>0</v>
      </c>
      <c r="Z75" s="94">
        <f t="shared" si="8"/>
        <v>0</v>
      </c>
      <c r="AA75" s="94">
        <f t="shared" si="9"/>
        <v>0</v>
      </c>
    </row>
    <row r="76" spans="1:27" ht="14.25" customHeight="1">
      <c r="A76" s="97"/>
      <c r="B76" s="97"/>
      <c r="C76" s="44">
        <v>0</v>
      </c>
      <c r="D76" s="43">
        <v>0</v>
      </c>
      <c r="E76" s="43">
        <v>0</v>
      </c>
      <c r="F76" s="44">
        <f t="shared" si="0"/>
        <v>0</v>
      </c>
      <c r="G76" s="44">
        <f t="shared" si="1"/>
        <v>0</v>
      </c>
      <c r="H76" s="91">
        <v>0</v>
      </c>
      <c r="I76" s="104">
        <v>0</v>
      </c>
      <c r="J76" s="104">
        <v>0</v>
      </c>
      <c r="K76" s="91">
        <f t="shared" si="2"/>
        <v>0</v>
      </c>
      <c r="L76" s="91">
        <f t="shared" si="3"/>
        <v>0</v>
      </c>
      <c r="M76" s="92">
        <v>0</v>
      </c>
      <c r="N76" s="105">
        <v>0</v>
      </c>
      <c r="O76" s="105">
        <v>0</v>
      </c>
      <c r="P76" s="92">
        <f t="shared" si="4"/>
        <v>0</v>
      </c>
      <c r="Q76" s="92">
        <f t="shared" si="5"/>
        <v>0</v>
      </c>
      <c r="R76" s="93">
        <v>0</v>
      </c>
      <c r="S76" s="106">
        <v>0</v>
      </c>
      <c r="T76" s="106">
        <v>0</v>
      </c>
      <c r="U76" s="93">
        <f t="shared" si="6"/>
        <v>0</v>
      </c>
      <c r="V76" s="93">
        <f t="shared" si="7"/>
        <v>0</v>
      </c>
      <c r="W76" s="94">
        <v>0</v>
      </c>
      <c r="X76" s="107">
        <v>0</v>
      </c>
      <c r="Y76" s="107">
        <v>0</v>
      </c>
      <c r="Z76" s="94">
        <f t="shared" si="8"/>
        <v>0</v>
      </c>
      <c r="AA76" s="94">
        <f t="shared" si="9"/>
        <v>0</v>
      </c>
    </row>
    <row r="77" spans="1:27" ht="14.25" customHeight="1">
      <c r="A77" s="97"/>
      <c r="B77" s="97"/>
      <c r="C77" s="44">
        <v>0</v>
      </c>
      <c r="D77" s="43">
        <v>0</v>
      </c>
      <c r="E77" s="43">
        <v>0</v>
      </c>
      <c r="F77" s="44">
        <f t="shared" si="0"/>
        <v>0</v>
      </c>
      <c r="G77" s="44">
        <f t="shared" si="1"/>
        <v>0</v>
      </c>
      <c r="H77" s="91">
        <v>0</v>
      </c>
      <c r="I77" s="104">
        <v>0</v>
      </c>
      <c r="J77" s="104">
        <v>0</v>
      </c>
      <c r="K77" s="91">
        <f t="shared" si="2"/>
        <v>0</v>
      </c>
      <c r="L77" s="91">
        <f t="shared" si="3"/>
        <v>0</v>
      </c>
      <c r="M77" s="92">
        <v>0</v>
      </c>
      <c r="N77" s="105">
        <v>0</v>
      </c>
      <c r="O77" s="105">
        <v>0</v>
      </c>
      <c r="P77" s="92">
        <f t="shared" si="4"/>
        <v>0</v>
      </c>
      <c r="Q77" s="92">
        <f t="shared" si="5"/>
        <v>0</v>
      </c>
      <c r="R77" s="93">
        <v>0</v>
      </c>
      <c r="S77" s="106">
        <v>0</v>
      </c>
      <c r="T77" s="106">
        <v>0</v>
      </c>
      <c r="U77" s="93">
        <f t="shared" si="6"/>
        <v>0</v>
      </c>
      <c r="V77" s="93">
        <f t="shared" si="7"/>
        <v>0</v>
      </c>
      <c r="W77" s="94">
        <v>0</v>
      </c>
      <c r="X77" s="107">
        <v>0</v>
      </c>
      <c r="Y77" s="107">
        <v>0</v>
      </c>
      <c r="Z77" s="94">
        <f t="shared" si="8"/>
        <v>0</v>
      </c>
      <c r="AA77" s="94">
        <f t="shared" si="9"/>
        <v>0</v>
      </c>
    </row>
    <row r="78" spans="1:27" ht="14.25" customHeight="1">
      <c r="A78" s="97"/>
      <c r="B78" s="97"/>
      <c r="C78" s="44">
        <v>0</v>
      </c>
      <c r="D78" s="43">
        <v>0</v>
      </c>
      <c r="E78" s="43">
        <v>0</v>
      </c>
      <c r="F78" s="44">
        <f t="shared" si="0"/>
        <v>0</v>
      </c>
      <c r="G78" s="44">
        <f t="shared" si="1"/>
        <v>0</v>
      </c>
      <c r="H78" s="91">
        <v>0</v>
      </c>
      <c r="I78" s="104">
        <v>0</v>
      </c>
      <c r="J78" s="104">
        <v>0</v>
      </c>
      <c r="K78" s="91">
        <f t="shared" si="2"/>
        <v>0</v>
      </c>
      <c r="L78" s="91">
        <f t="shared" si="3"/>
        <v>0</v>
      </c>
      <c r="M78" s="92">
        <v>0</v>
      </c>
      <c r="N78" s="105">
        <v>0</v>
      </c>
      <c r="O78" s="105">
        <v>0</v>
      </c>
      <c r="P78" s="92">
        <f t="shared" si="4"/>
        <v>0</v>
      </c>
      <c r="Q78" s="92">
        <f t="shared" si="5"/>
        <v>0</v>
      </c>
      <c r="R78" s="93">
        <v>0</v>
      </c>
      <c r="S78" s="106">
        <v>0</v>
      </c>
      <c r="T78" s="106">
        <v>0</v>
      </c>
      <c r="U78" s="93">
        <f t="shared" si="6"/>
        <v>0</v>
      </c>
      <c r="V78" s="93">
        <f t="shared" si="7"/>
        <v>0</v>
      </c>
      <c r="W78" s="94">
        <v>0</v>
      </c>
      <c r="X78" s="107">
        <v>0</v>
      </c>
      <c r="Y78" s="107">
        <v>0</v>
      </c>
      <c r="Z78" s="94">
        <f t="shared" si="8"/>
        <v>0</v>
      </c>
      <c r="AA78" s="94">
        <f t="shared" si="9"/>
        <v>0</v>
      </c>
    </row>
    <row r="79" spans="1:27" ht="14.25" customHeight="1">
      <c r="A79" s="97"/>
      <c r="B79" s="97"/>
      <c r="C79" s="44">
        <v>0</v>
      </c>
      <c r="D79" s="43">
        <v>0</v>
      </c>
      <c r="E79" s="43">
        <v>0</v>
      </c>
      <c r="F79" s="44">
        <f t="shared" si="0"/>
        <v>0</v>
      </c>
      <c r="G79" s="44">
        <f t="shared" si="1"/>
        <v>0</v>
      </c>
      <c r="H79" s="91">
        <v>0</v>
      </c>
      <c r="I79" s="104">
        <v>0</v>
      </c>
      <c r="J79" s="104">
        <v>0</v>
      </c>
      <c r="K79" s="91">
        <f t="shared" si="2"/>
        <v>0</v>
      </c>
      <c r="L79" s="91">
        <f t="shared" si="3"/>
        <v>0</v>
      </c>
      <c r="M79" s="92">
        <v>0</v>
      </c>
      <c r="N79" s="105">
        <v>0</v>
      </c>
      <c r="O79" s="105">
        <v>0</v>
      </c>
      <c r="P79" s="92">
        <f t="shared" si="4"/>
        <v>0</v>
      </c>
      <c r="Q79" s="92">
        <f t="shared" si="5"/>
        <v>0</v>
      </c>
      <c r="R79" s="93">
        <v>0</v>
      </c>
      <c r="S79" s="106">
        <v>0</v>
      </c>
      <c r="T79" s="106">
        <v>0</v>
      </c>
      <c r="U79" s="93">
        <f t="shared" si="6"/>
        <v>0</v>
      </c>
      <c r="V79" s="93">
        <f t="shared" si="7"/>
        <v>0</v>
      </c>
      <c r="W79" s="94">
        <v>0</v>
      </c>
      <c r="X79" s="107">
        <v>0</v>
      </c>
      <c r="Y79" s="107">
        <v>0</v>
      </c>
      <c r="Z79" s="94">
        <f t="shared" si="8"/>
        <v>0</v>
      </c>
      <c r="AA79" s="94">
        <f t="shared" si="9"/>
        <v>0</v>
      </c>
    </row>
    <row r="80" spans="1:27" ht="14.25" customHeight="1">
      <c r="A80" s="97"/>
      <c r="B80" s="97"/>
      <c r="C80" s="44">
        <v>0</v>
      </c>
      <c r="D80" s="43">
        <v>0</v>
      </c>
      <c r="E80" s="43">
        <v>0</v>
      </c>
      <c r="F80" s="44">
        <f t="shared" si="0"/>
        <v>0</v>
      </c>
      <c r="G80" s="44">
        <f t="shared" si="1"/>
        <v>0</v>
      </c>
      <c r="H80" s="91">
        <v>0</v>
      </c>
      <c r="I80" s="104">
        <v>0</v>
      </c>
      <c r="J80" s="104">
        <v>0</v>
      </c>
      <c r="K80" s="91">
        <f t="shared" si="2"/>
        <v>0</v>
      </c>
      <c r="L80" s="91">
        <f t="shared" si="3"/>
        <v>0</v>
      </c>
      <c r="M80" s="92">
        <v>0</v>
      </c>
      <c r="N80" s="105">
        <v>0</v>
      </c>
      <c r="O80" s="105">
        <v>0</v>
      </c>
      <c r="P80" s="92">
        <f t="shared" si="4"/>
        <v>0</v>
      </c>
      <c r="Q80" s="92">
        <f t="shared" si="5"/>
        <v>0</v>
      </c>
      <c r="R80" s="93">
        <v>0</v>
      </c>
      <c r="S80" s="106">
        <v>0</v>
      </c>
      <c r="T80" s="106">
        <v>0</v>
      </c>
      <c r="U80" s="93">
        <f t="shared" si="6"/>
        <v>0</v>
      </c>
      <c r="V80" s="93">
        <f t="shared" si="7"/>
        <v>0</v>
      </c>
      <c r="W80" s="94">
        <v>0</v>
      </c>
      <c r="X80" s="107">
        <v>0</v>
      </c>
      <c r="Y80" s="107">
        <v>0</v>
      </c>
      <c r="Z80" s="94">
        <f t="shared" si="8"/>
        <v>0</v>
      </c>
      <c r="AA80" s="94">
        <f t="shared" si="9"/>
        <v>0</v>
      </c>
    </row>
    <row r="81" spans="1:27" ht="14.25" customHeight="1">
      <c r="A81" s="97"/>
      <c r="B81" s="97"/>
      <c r="C81" s="44">
        <v>0</v>
      </c>
      <c r="D81" s="43">
        <v>0</v>
      </c>
      <c r="E81" s="43">
        <v>0</v>
      </c>
      <c r="F81" s="44">
        <f t="shared" si="0"/>
        <v>0</v>
      </c>
      <c r="G81" s="44">
        <f t="shared" si="1"/>
        <v>0</v>
      </c>
      <c r="H81" s="91">
        <v>0</v>
      </c>
      <c r="I81" s="104">
        <v>0</v>
      </c>
      <c r="J81" s="104">
        <v>0</v>
      </c>
      <c r="K81" s="91">
        <f t="shared" si="2"/>
        <v>0</v>
      </c>
      <c r="L81" s="91">
        <f t="shared" si="3"/>
        <v>0</v>
      </c>
      <c r="M81" s="92">
        <v>0</v>
      </c>
      <c r="N81" s="105">
        <v>0</v>
      </c>
      <c r="O81" s="105">
        <v>0</v>
      </c>
      <c r="P81" s="92">
        <f t="shared" si="4"/>
        <v>0</v>
      </c>
      <c r="Q81" s="92">
        <f t="shared" si="5"/>
        <v>0</v>
      </c>
      <c r="R81" s="93">
        <v>0</v>
      </c>
      <c r="S81" s="106">
        <v>0</v>
      </c>
      <c r="T81" s="106">
        <v>0</v>
      </c>
      <c r="U81" s="93">
        <f t="shared" si="6"/>
        <v>0</v>
      </c>
      <c r="V81" s="93">
        <f t="shared" si="7"/>
        <v>0</v>
      </c>
      <c r="W81" s="94">
        <v>0</v>
      </c>
      <c r="X81" s="107">
        <v>0</v>
      </c>
      <c r="Y81" s="107">
        <v>0</v>
      </c>
      <c r="Z81" s="94">
        <f t="shared" si="8"/>
        <v>0</v>
      </c>
      <c r="AA81" s="94">
        <f t="shared" si="9"/>
        <v>0</v>
      </c>
    </row>
    <row r="82" spans="1:27" ht="14.25" customHeight="1">
      <c r="A82" s="97"/>
      <c r="B82" s="97"/>
      <c r="C82" s="44">
        <v>0</v>
      </c>
      <c r="D82" s="43">
        <v>0</v>
      </c>
      <c r="E82" s="43">
        <v>0</v>
      </c>
      <c r="F82" s="44">
        <f t="shared" si="0"/>
        <v>0</v>
      </c>
      <c r="G82" s="44">
        <f t="shared" si="1"/>
        <v>0</v>
      </c>
      <c r="H82" s="91">
        <v>0</v>
      </c>
      <c r="I82" s="104">
        <v>0</v>
      </c>
      <c r="J82" s="104">
        <v>0</v>
      </c>
      <c r="K82" s="91">
        <f t="shared" si="2"/>
        <v>0</v>
      </c>
      <c r="L82" s="91">
        <f t="shared" si="3"/>
        <v>0</v>
      </c>
      <c r="M82" s="92">
        <v>0</v>
      </c>
      <c r="N82" s="105">
        <v>0</v>
      </c>
      <c r="O82" s="105">
        <v>0</v>
      </c>
      <c r="P82" s="92">
        <f t="shared" si="4"/>
        <v>0</v>
      </c>
      <c r="Q82" s="92">
        <f t="shared" si="5"/>
        <v>0</v>
      </c>
      <c r="R82" s="93">
        <v>0</v>
      </c>
      <c r="S82" s="106">
        <v>0</v>
      </c>
      <c r="T82" s="106">
        <v>0</v>
      </c>
      <c r="U82" s="93">
        <f t="shared" si="6"/>
        <v>0</v>
      </c>
      <c r="V82" s="93">
        <f t="shared" si="7"/>
        <v>0</v>
      </c>
      <c r="W82" s="94">
        <v>0</v>
      </c>
      <c r="X82" s="107">
        <v>0</v>
      </c>
      <c r="Y82" s="107">
        <v>0</v>
      </c>
      <c r="Z82" s="94">
        <f t="shared" si="8"/>
        <v>0</v>
      </c>
      <c r="AA82" s="94">
        <f t="shared" si="9"/>
        <v>0</v>
      </c>
    </row>
    <row r="83" spans="1:27" ht="14.25" customHeight="1">
      <c r="A83" s="97"/>
      <c r="B83" s="97"/>
      <c r="C83" s="44">
        <v>0</v>
      </c>
      <c r="D83" s="43">
        <v>0</v>
      </c>
      <c r="E83" s="43">
        <v>0</v>
      </c>
      <c r="F83" s="44">
        <f t="shared" si="0"/>
        <v>0</v>
      </c>
      <c r="G83" s="44">
        <f t="shared" si="1"/>
        <v>0</v>
      </c>
      <c r="H83" s="91">
        <v>0</v>
      </c>
      <c r="I83" s="104">
        <v>0</v>
      </c>
      <c r="J83" s="104">
        <v>0</v>
      </c>
      <c r="K83" s="91">
        <f t="shared" si="2"/>
        <v>0</v>
      </c>
      <c r="L83" s="91">
        <f t="shared" si="3"/>
        <v>0</v>
      </c>
      <c r="M83" s="92">
        <v>0</v>
      </c>
      <c r="N83" s="105">
        <v>0</v>
      </c>
      <c r="O83" s="105">
        <v>0</v>
      </c>
      <c r="P83" s="92">
        <f t="shared" si="4"/>
        <v>0</v>
      </c>
      <c r="Q83" s="92">
        <f t="shared" si="5"/>
        <v>0</v>
      </c>
      <c r="R83" s="93">
        <v>0</v>
      </c>
      <c r="S83" s="106">
        <v>0</v>
      </c>
      <c r="T83" s="106">
        <v>0</v>
      </c>
      <c r="U83" s="93">
        <f t="shared" si="6"/>
        <v>0</v>
      </c>
      <c r="V83" s="93">
        <f t="shared" si="7"/>
        <v>0</v>
      </c>
      <c r="W83" s="94">
        <v>0</v>
      </c>
      <c r="X83" s="107">
        <v>0</v>
      </c>
      <c r="Y83" s="107">
        <v>0</v>
      </c>
      <c r="Z83" s="94">
        <f t="shared" si="8"/>
        <v>0</v>
      </c>
      <c r="AA83" s="94">
        <f t="shared" si="9"/>
        <v>0</v>
      </c>
    </row>
    <row r="84" spans="1:27" ht="14.25" customHeight="1">
      <c r="A84" s="97"/>
      <c r="B84" s="97"/>
      <c r="C84" s="44">
        <v>0</v>
      </c>
      <c r="D84" s="43">
        <v>0</v>
      </c>
      <c r="E84" s="43">
        <v>0</v>
      </c>
      <c r="F84" s="44">
        <f t="shared" si="0"/>
        <v>0</v>
      </c>
      <c r="G84" s="44">
        <f t="shared" si="1"/>
        <v>0</v>
      </c>
      <c r="H84" s="91">
        <v>0</v>
      </c>
      <c r="I84" s="104">
        <v>0</v>
      </c>
      <c r="J84" s="104">
        <v>0</v>
      </c>
      <c r="K84" s="91">
        <f t="shared" si="2"/>
        <v>0</v>
      </c>
      <c r="L84" s="91">
        <f t="shared" si="3"/>
        <v>0</v>
      </c>
      <c r="M84" s="92">
        <v>0</v>
      </c>
      <c r="N84" s="105">
        <v>0</v>
      </c>
      <c r="O84" s="105">
        <v>0</v>
      </c>
      <c r="P84" s="92">
        <f t="shared" si="4"/>
        <v>0</v>
      </c>
      <c r="Q84" s="92">
        <f t="shared" si="5"/>
        <v>0</v>
      </c>
      <c r="R84" s="93">
        <v>0</v>
      </c>
      <c r="S84" s="106">
        <v>0</v>
      </c>
      <c r="T84" s="106">
        <v>0</v>
      </c>
      <c r="U84" s="93">
        <f t="shared" si="6"/>
        <v>0</v>
      </c>
      <c r="V84" s="93">
        <f t="shared" si="7"/>
        <v>0</v>
      </c>
      <c r="W84" s="94">
        <v>0</v>
      </c>
      <c r="X84" s="107">
        <v>0</v>
      </c>
      <c r="Y84" s="107">
        <v>0</v>
      </c>
      <c r="Z84" s="94">
        <f t="shared" si="8"/>
        <v>0</v>
      </c>
      <c r="AA84" s="94">
        <f t="shared" si="9"/>
        <v>0</v>
      </c>
    </row>
    <row r="85" spans="1:27" ht="14.25" customHeight="1">
      <c r="A85" s="97"/>
      <c r="B85" s="97"/>
      <c r="C85" s="44">
        <v>0</v>
      </c>
      <c r="D85" s="43">
        <v>0</v>
      </c>
      <c r="E85" s="43">
        <v>0</v>
      </c>
      <c r="F85" s="44">
        <f t="shared" si="0"/>
        <v>0</v>
      </c>
      <c r="G85" s="44">
        <f t="shared" si="1"/>
        <v>0</v>
      </c>
      <c r="H85" s="91">
        <v>0</v>
      </c>
      <c r="I85" s="104">
        <v>0</v>
      </c>
      <c r="J85" s="104">
        <v>0</v>
      </c>
      <c r="K85" s="91">
        <f t="shared" si="2"/>
        <v>0</v>
      </c>
      <c r="L85" s="91">
        <f t="shared" si="3"/>
        <v>0</v>
      </c>
      <c r="M85" s="92">
        <v>0</v>
      </c>
      <c r="N85" s="105">
        <v>0</v>
      </c>
      <c r="O85" s="105">
        <v>0</v>
      </c>
      <c r="P85" s="92">
        <f t="shared" si="4"/>
        <v>0</v>
      </c>
      <c r="Q85" s="92">
        <f t="shared" si="5"/>
        <v>0</v>
      </c>
      <c r="R85" s="93">
        <v>0</v>
      </c>
      <c r="S85" s="106">
        <v>0</v>
      </c>
      <c r="T85" s="106">
        <v>0</v>
      </c>
      <c r="U85" s="93">
        <f t="shared" si="6"/>
        <v>0</v>
      </c>
      <c r="V85" s="93">
        <f t="shared" si="7"/>
        <v>0</v>
      </c>
      <c r="W85" s="94">
        <v>0</v>
      </c>
      <c r="X85" s="107">
        <v>0</v>
      </c>
      <c r="Y85" s="107">
        <v>0</v>
      </c>
      <c r="Z85" s="94">
        <f t="shared" si="8"/>
        <v>0</v>
      </c>
      <c r="AA85" s="94">
        <f t="shared" si="9"/>
        <v>0</v>
      </c>
    </row>
    <row r="86" spans="1:27" ht="14.25" customHeight="1">
      <c r="A86" s="97"/>
      <c r="B86" s="97"/>
      <c r="C86" s="44">
        <v>0</v>
      </c>
      <c r="D86" s="43">
        <v>0</v>
      </c>
      <c r="E86" s="43">
        <v>0</v>
      </c>
      <c r="F86" s="44">
        <f t="shared" si="0"/>
        <v>0</v>
      </c>
      <c r="G86" s="44">
        <f t="shared" si="1"/>
        <v>0</v>
      </c>
      <c r="H86" s="91">
        <v>0</v>
      </c>
      <c r="I86" s="104">
        <v>0</v>
      </c>
      <c r="J86" s="104">
        <v>0</v>
      </c>
      <c r="K86" s="91">
        <f t="shared" si="2"/>
        <v>0</v>
      </c>
      <c r="L86" s="91">
        <f t="shared" si="3"/>
        <v>0</v>
      </c>
      <c r="M86" s="92">
        <v>0</v>
      </c>
      <c r="N86" s="105">
        <v>0</v>
      </c>
      <c r="O86" s="105">
        <v>0</v>
      </c>
      <c r="P86" s="92">
        <f t="shared" si="4"/>
        <v>0</v>
      </c>
      <c r="Q86" s="92">
        <f t="shared" si="5"/>
        <v>0</v>
      </c>
      <c r="R86" s="93">
        <v>0</v>
      </c>
      <c r="S86" s="106">
        <v>0</v>
      </c>
      <c r="T86" s="106">
        <v>0</v>
      </c>
      <c r="U86" s="93">
        <f t="shared" si="6"/>
        <v>0</v>
      </c>
      <c r="V86" s="93">
        <f t="shared" si="7"/>
        <v>0</v>
      </c>
      <c r="W86" s="94">
        <v>0</v>
      </c>
      <c r="X86" s="107">
        <v>0</v>
      </c>
      <c r="Y86" s="107">
        <v>0</v>
      </c>
      <c r="Z86" s="94">
        <f t="shared" si="8"/>
        <v>0</v>
      </c>
      <c r="AA86" s="94">
        <f t="shared" si="9"/>
        <v>0</v>
      </c>
    </row>
    <row r="87" spans="1:27" ht="14.25" customHeight="1">
      <c r="A87" s="97"/>
      <c r="B87" s="97"/>
      <c r="C87" s="44">
        <v>0</v>
      </c>
      <c r="D87" s="43">
        <v>0</v>
      </c>
      <c r="E87" s="43">
        <v>0</v>
      </c>
      <c r="F87" s="44">
        <f t="shared" si="0"/>
        <v>0</v>
      </c>
      <c r="G87" s="44">
        <f t="shared" si="1"/>
        <v>0</v>
      </c>
      <c r="H87" s="91">
        <v>0</v>
      </c>
      <c r="I87" s="104">
        <v>0</v>
      </c>
      <c r="J87" s="104">
        <v>0</v>
      </c>
      <c r="K87" s="91">
        <f t="shared" si="2"/>
        <v>0</v>
      </c>
      <c r="L87" s="91">
        <f t="shared" si="3"/>
        <v>0</v>
      </c>
      <c r="M87" s="92">
        <v>0</v>
      </c>
      <c r="N87" s="105">
        <v>0</v>
      </c>
      <c r="O87" s="105">
        <v>0</v>
      </c>
      <c r="P87" s="92">
        <f t="shared" si="4"/>
        <v>0</v>
      </c>
      <c r="Q87" s="92">
        <f t="shared" si="5"/>
        <v>0</v>
      </c>
      <c r="R87" s="93">
        <v>0</v>
      </c>
      <c r="S87" s="106">
        <v>0</v>
      </c>
      <c r="T87" s="106">
        <v>0</v>
      </c>
      <c r="U87" s="93">
        <f t="shared" si="6"/>
        <v>0</v>
      </c>
      <c r="V87" s="93">
        <f t="shared" si="7"/>
        <v>0</v>
      </c>
      <c r="W87" s="94">
        <v>0</v>
      </c>
      <c r="X87" s="107">
        <v>0</v>
      </c>
      <c r="Y87" s="107">
        <v>0</v>
      </c>
      <c r="Z87" s="94">
        <f t="shared" si="8"/>
        <v>0</v>
      </c>
      <c r="AA87" s="94">
        <f t="shared" si="9"/>
        <v>0</v>
      </c>
    </row>
    <row r="88" spans="1:27" ht="14.25" customHeight="1">
      <c r="A88" s="97"/>
      <c r="B88" s="97"/>
      <c r="C88" s="44">
        <v>0</v>
      </c>
      <c r="D88" s="43">
        <v>0</v>
      </c>
      <c r="E88" s="43">
        <v>0</v>
      </c>
      <c r="F88" s="44">
        <f t="shared" si="0"/>
        <v>0</v>
      </c>
      <c r="G88" s="44">
        <f t="shared" si="1"/>
        <v>0</v>
      </c>
      <c r="H88" s="91">
        <v>0</v>
      </c>
      <c r="I88" s="104">
        <v>0</v>
      </c>
      <c r="J88" s="104">
        <v>0</v>
      </c>
      <c r="K88" s="91">
        <f t="shared" si="2"/>
        <v>0</v>
      </c>
      <c r="L88" s="91">
        <f t="shared" si="3"/>
        <v>0</v>
      </c>
      <c r="M88" s="92">
        <v>0</v>
      </c>
      <c r="N88" s="105">
        <v>0</v>
      </c>
      <c r="O88" s="105">
        <v>0</v>
      </c>
      <c r="P88" s="92">
        <f t="shared" si="4"/>
        <v>0</v>
      </c>
      <c r="Q88" s="92">
        <f t="shared" si="5"/>
        <v>0</v>
      </c>
      <c r="R88" s="93">
        <v>0</v>
      </c>
      <c r="S88" s="106">
        <v>0</v>
      </c>
      <c r="T88" s="106">
        <v>0</v>
      </c>
      <c r="U88" s="93">
        <f t="shared" si="6"/>
        <v>0</v>
      </c>
      <c r="V88" s="93">
        <f t="shared" si="7"/>
        <v>0</v>
      </c>
      <c r="W88" s="94">
        <v>0</v>
      </c>
      <c r="X88" s="107">
        <v>0</v>
      </c>
      <c r="Y88" s="107">
        <v>0</v>
      </c>
      <c r="Z88" s="94">
        <f t="shared" si="8"/>
        <v>0</v>
      </c>
      <c r="AA88" s="94">
        <f t="shared" si="9"/>
        <v>0</v>
      </c>
    </row>
    <row r="89" spans="1:27" ht="14.25" customHeight="1">
      <c r="A89" s="97"/>
      <c r="B89" s="97"/>
      <c r="C89" s="44">
        <v>0</v>
      </c>
      <c r="D89" s="43">
        <v>0</v>
      </c>
      <c r="E89" s="43">
        <v>0</v>
      </c>
      <c r="F89" s="44">
        <f t="shared" si="0"/>
        <v>0</v>
      </c>
      <c r="G89" s="44">
        <f t="shared" si="1"/>
        <v>0</v>
      </c>
      <c r="H89" s="91">
        <v>0</v>
      </c>
      <c r="I89" s="104">
        <v>0</v>
      </c>
      <c r="J89" s="104">
        <v>0</v>
      </c>
      <c r="K89" s="91">
        <f t="shared" si="2"/>
        <v>0</v>
      </c>
      <c r="L89" s="91">
        <f t="shared" si="3"/>
        <v>0</v>
      </c>
      <c r="M89" s="92">
        <v>0</v>
      </c>
      <c r="N89" s="105">
        <v>0</v>
      </c>
      <c r="O89" s="105">
        <v>0</v>
      </c>
      <c r="P89" s="92">
        <f t="shared" si="4"/>
        <v>0</v>
      </c>
      <c r="Q89" s="92">
        <f t="shared" si="5"/>
        <v>0</v>
      </c>
      <c r="R89" s="93">
        <v>0</v>
      </c>
      <c r="S89" s="106">
        <v>0</v>
      </c>
      <c r="T89" s="106">
        <v>0</v>
      </c>
      <c r="U89" s="93">
        <f t="shared" si="6"/>
        <v>0</v>
      </c>
      <c r="V89" s="93">
        <f t="shared" si="7"/>
        <v>0</v>
      </c>
      <c r="W89" s="94">
        <v>0</v>
      </c>
      <c r="X89" s="107">
        <v>0</v>
      </c>
      <c r="Y89" s="107">
        <v>0</v>
      </c>
      <c r="Z89" s="94">
        <f t="shared" si="8"/>
        <v>0</v>
      </c>
      <c r="AA89" s="94">
        <f t="shared" si="9"/>
        <v>0</v>
      </c>
    </row>
    <row r="90" spans="1:27" ht="14.25" customHeight="1">
      <c r="A90" s="97"/>
      <c r="B90" s="97"/>
      <c r="C90" s="44">
        <v>0</v>
      </c>
      <c r="D90" s="43">
        <v>0</v>
      </c>
      <c r="E90" s="43">
        <v>0</v>
      </c>
      <c r="F90" s="44">
        <f t="shared" si="0"/>
        <v>0</v>
      </c>
      <c r="G90" s="44">
        <f t="shared" si="1"/>
        <v>0</v>
      </c>
      <c r="H90" s="91">
        <v>0</v>
      </c>
      <c r="I90" s="104">
        <v>0</v>
      </c>
      <c r="J90" s="104">
        <v>0</v>
      </c>
      <c r="K90" s="91">
        <f t="shared" si="2"/>
        <v>0</v>
      </c>
      <c r="L90" s="91">
        <f t="shared" si="3"/>
        <v>0</v>
      </c>
      <c r="M90" s="92">
        <v>0</v>
      </c>
      <c r="N90" s="105">
        <v>0</v>
      </c>
      <c r="O90" s="105">
        <v>0</v>
      </c>
      <c r="P90" s="92">
        <f t="shared" si="4"/>
        <v>0</v>
      </c>
      <c r="Q90" s="92">
        <f t="shared" si="5"/>
        <v>0</v>
      </c>
      <c r="R90" s="93">
        <v>0</v>
      </c>
      <c r="S90" s="106">
        <v>0</v>
      </c>
      <c r="T90" s="106">
        <v>0</v>
      </c>
      <c r="U90" s="93">
        <f t="shared" si="6"/>
        <v>0</v>
      </c>
      <c r="V90" s="93">
        <f t="shared" si="7"/>
        <v>0</v>
      </c>
      <c r="W90" s="94">
        <v>0</v>
      </c>
      <c r="X90" s="107">
        <v>0</v>
      </c>
      <c r="Y90" s="107">
        <v>0</v>
      </c>
      <c r="Z90" s="94">
        <f t="shared" si="8"/>
        <v>0</v>
      </c>
      <c r="AA90" s="94">
        <f t="shared" si="9"/>
        <v>0</v>
      </c>
    </row>
    <row r="91" spans="1:27" ht="14.25" customHeight="1">
      <c r="A91" s="97"/>
      <c r="B91" s="97"/>
      <c r="C91" s="44">
        <v>0</v>
      </c>
      <c r="D91" s="43">
        <v>0</v>
      </c>
      <c r="E91" s="43">
        <v>0</v>
      </c>
      <c r="F91" s="44">
        <f t="shared" si="0"/>
        <v>0</v>
      </c>
      <c r="G91" s="44">
        <f t="shared" si="1"/>
        <v>0</v>
      </c>
      <c r="H91" s="91">
        <v>0</v>
      </c>
      <c r="I91" s="104">
        <v>0</v>
      </c>
      <c r="J91" s="104">
        <v>0</v>
      </c>
      <c r="K91" s="91">
        <f t="shared" si="2"/>
        <v>0</v>
      </c>
      <c r="L91" s="91">
        <f t="shared" si="3"/>
        <v>0</v>
      </c>
      <c r="M91" s="92">
        <v>0</v>
      </c>
      <c r="N91" s="105">
        <v>0</v>
      </c>
      <c r="O91" s="105">
        <v>0</v>
      </c>
      <c r="P91" s="92">
        <f t="shared" si="4"/>
        <v>0</v>
      </c>
      <c r="Q91" s="92">
        <f t="shared" si="5"/>
        <v>0</v>
      </c>
      <c r="R91" s="93">
        <v>0</v>
      </c>
      <c r="S91" s="106">
        <v>0</v>
      </c>
      <c r="T91" s="106">
        <v>0</v>
      </c>
      <c r="U91" s="93">
        <f t="shared" si="6"/>
        <v>0</v>
      </c>
      <c r="V91" s="93">
        <f t="shared" si="7"/>
        <v>0</v>
      </c>
      <c r="W91" s="94">
        <v>0</v>
      </c>
      <c r="X91" s="107">
        <v>0</v>
      </c>
      <c r="Y91" s="107">
        <v>0</v>
      </c>
      <c r="Z91" s="94">
        <f t="shared" si="8"/>
        <v>0</v>
      </c>
      <c r="AA91" s="94">
        <f t="shared" si="9"/>
        <v>0</v>
      </c>
    </row>
    <row r="92" spans="1:27" ht="14.25" customHeight="1">
      <c r="A92" s="97"/>
      <c r="B92" s="97"/>
      <c r="C92" s="44">
        <v>0</v>
      </c>
      <c r="D92" s="43">
        <v>0</v>
      </c>
      <c r="E92" s="43">
        <v>0</v>
      </c>
      <c r="F92" s="44">
        <f t="shared" si="0"/>
        <v>0</v>
      </c>
      <c r="G92" s="44">
        <f t="shared" si="1"/>
        <v>0</v>
      </c>
      <c r="H92" s="91">
        <v>0</v>
      </c>
      <c r="I92" s="104">
        <v>0</v>
      </c>
      <c r="J92" s="104">
        <v>0</v>
      </c>
      <c r="K92" s="91">
        <f t="shared" si="2"/>
        <v>0</v>
      </c>
      <c r="L92" s="91">
        <f t="shared" si="3"/>
        <v>0</v>
      </c>
      <c r="M92" s="92">
        <v>0</v>
      </c>
      <c r="N92" s="105">
        <v>0</v>
      </c>
      <c r="O92" s="105">
        <v>0</v>
      </c>
      <c r="P92" s="92">
        <f t="shared" si="4"/>
        <v>0</v>
      </c>
      <c r="Q92" s="92">
        <f t="shared" si="5"/>
        <v>0</v>
      </c>
      <c r="R92" s="93">
        <v>0</v>
      </c>
      <c r="S92" s="106">
        <v>0</v>
      </c>
      <c r="T92" s="106">
        <v>0</v>
      </c>
      <c r="U92" s="93">
        <f t="shared" si="6"/>
        <v>0</v>
      </c>
      <c r="V92" s="93">
        <f t="shared" si="7"/>
        <v>0</v>
      </c>
      <c r="W92" s="94">
        <v>0</v>
      </c>
      <c r="X92" s="107">
        <v>0</v>
      </c>
      <c r="Y92" s="107">
        <v>0</v>
      </c>
      <c r="Z92" s="94">
        <f t="shared" si="8"/>
        <v>0</v>
      </c>
      <c r="AA92" s="94">
        <f t="shared" si="9"/>
        <v>0</v>
      </c>
    </row>
    <row r="93" spans="1:27" ht="14.25" customHeight="1">
      <c r="A93" s="97"/>
      <c r="B93" s="97"/>
      <c r="C93" s="44">
        <v>0</v>
      </c>
      <c r="D93" s="43">
        <v>0</v>
      </c>
      <c r="E93" s="43">
        <v>0</v>
      </c>
      <c r="F93" s="44">
        <f t="shared" si="0"/>
        <v>0</v>
      </c>
      <c r="G93" s="44">
        <f t="shared" si="1"/>
        <v>0</v>
      </c>
      <c r="H93" s="91">
        <v>0</v>
      </c>
      <c r="I93" s="104">
        <v>0</v>
      </c>
      <c r="J93" s="104">
        <v>0</v>
      </c>
      <c r="K93" s="91">
        <f t="shared" si="2"/>
        <v>0</v>
      </c>
      <c r="L93" s="91">
        <f t="shared" si="3"/>
        <v>0</v>
      </c>
      <c r="M93" s="92">
        <v>0</v>
      </c>
      <c r="N93" s="105">
        <v>0</v>
      </c>
      <c r="O93" s="105">
        <v>0</v>
      </c>
      <c r="P93" s="92">
        <f t="shared" si="4"/>
        <v>0</v>
      </c>
      <c r="Q93" s="92">
        <f t="shared" si="5"/>
        <v>0</v>
      </c>
      <c r="R93" s="93">
        <v>0</v>
      </c>
      <c r="S93" s="106">
        <v>0</v>
      </c>
      <c r="T93" s="106">
        <v>0</v>
      </c>
      <c r="U93" s="93">
        <f t="shared" si="6"/>
        <v>0</v>
      </c>
      <c r="V93" s="93">
        <f t="shared" si="7"/>
        <v>0</v>
      </c>
      <c r="W93" s="94">
        <v>0</v>
      </c>
      <c r="X93" s="107">
        <v>0</v>
      </c>
      <c r="Y93" s="107">
        <v>0</v>
      </c>
      <c r="Z93" s="94">
        <f t="shared" si="8"/>
        <v>0</v>
      </c>
      <c r="AA93" s="94">
        <f t="shared" si="9"/>
        <v>0</v>
      </c>
    </row>
    <row r="94" spans="1:27" ht="14.25" customHeight="1">
      <c r="A94" s="97"/>
      <c r="B94" s="97"/>
      <c r="C94" s="44">
        <v>0</v>
      </c>
      <c r="D94" s="43">
        <v>0</v>
      </c>
      <c r="E94" s="43">
        <v>0</v>
      </c>
      <c r="F94" s="44">
        <f t="shared" si="0"/>
        <v>0</v>
      </c>
      <c r="G94" s="44">
        <f t="shared" si="1"/>
        <v>0</v>
      </c>
      <c r="H94" s="91">
        <v>0</v>
      </c>
      <c r="I94" s="104">
        <v>0</v>
      </c>
      <c r="J94" s="104">
        <v>0</v>
      </c>
      <c r="K94" s="91">
        <f t="shared" si="2"/>
        <v>0</v>
      </c>
      <c r="L94" s="91">
        <f t="shared" si="3"/>
        <v>0</v>
      </c>
      <c r="M94" s="92">
        <v>0</v>
      </c>
      <c r="N94" s="105">
        <v>0</v>
      </c>
      <c r="O94" s="105">
        <v>0</v>
      </c>
      <c r="P94" s="92">
        <f t="shared" si="4"/>
        <v>0</v>
      </c>
      <c r="Q94" s="92">
        <f t="shared" si="5"/>
        <v>0</v>
      </c>
      <c r="R94" s="93">
        <v>0</v>
      </c>
      <c r="S94" s="106">
        <v>0</v>
      </c>
      <c r="T94" s="106">
        <v>0</v>
      </c>
      <c r="U94" s="93">
        <f t="shared" si="6"/>
        <v>0</v>
      </c>
      <c r="V94" s="93">
        <f t="shared" si="7"/>
        <v>0</v>
      </c>
      <c r="W94" s="94">
        <v>0</v>
      </c>
      <c r="X94" s="107">
        <v>0</v>
      </c>
      <c r="Y94" s="107">
        <v>0</v>
      </c>
      <c r="Z94" s="94">
        <f t="shared" si="8"/>
        <v>0</v>
      </c>
      <c r="AA94" s="94">
        <f t="shared" si="9"/>
        <v>0</v>
      </c>
    </row>
    <row r="95" spans="1:27" ht="14.25" customHeight="1">
      <c r="A95" s="97"/>
      <c r="B95" s="97"/>
      <c r="C95" s="44">
        <v>0</v>
      </c>
      <c r="D95" s="43">
        <v>0</v>
      </c>
      <c r="E95" s="43">
        <v>0</v>
      </c>
      <c r="F95" s="44">
        <f t="shared" si="0"/>
        <v>0</v>
      </c>
      <c r="G95" s="44">
        <f t="shared" si="1"/>
        <v>0</v>
      </c>
      <c r="H95" s="91">
        <v>0</v>
      </c>
      <c r="I95" s="104">
        <v>0</v>
      </c>
      <c r="J95" s="104">
        <v>0</v>
      </c>
      <c r="K95" s="91">
        <f t="shared" si="2"/>
        <v>0</v>
      </c>
      <c r="L95" s="91">
        <f t="shared" si="3"/>
        <v>0</v>
      </c>
      <c r="M95" s="92">
        <v>0</v>
      </c>
      <c r="N95" s="105">
        <v>0</v>
      </c>
      <c r="O95" s="105">
        <v>0</v>
      </c>
      <c r="P95" s="92">
        <f t="shared" si="4"/>
        <v>0</v>
      </c>
      <c r="Q95" s="92">
        <f t="shared" si="5"/>
        <v>0</v>
      </c>
      <c r="R95" s="93">
        <v>0</v>
      </c>
      <c r="S95" s="106">
        <v>0</v>
      </c>
      <c r="T95" s="106">
        <v>0</v>
      </c>
      <c r="U95" s="93">
        <f t="shared" si="6"/>
        <v>0</v>
      </c>
      <c r="V95" s="93">
        <f t="shared" si="7"/>
        <v>0</v>
      </c>
      <c r="W95" s="94">
        <v>0</v>
      </c>
      <c r="X95" s="107">
        <v>0</v>
      </c>
      <c r="Y95" s="107">
        <v>0</v>
      </c>
      <c r="Z95" s="94">
        <f t="shared" si="8"/>
        <v>0</v>
      </c>
      <c r="AA95" s="94">
        <f t="shared" si="9"/>
        <v>0</v>
      </c>
    </row>
    <row r="96" spans="1:27" ht="14.25" customHeight="1">
      <c r="A96" s="97"/>
      <c r="B96" s="97"/>
      <c r="C96" s="44">
        <v>0</v>
      </c>
      <c r="D96" s="43">
        <v>0</v>
      </c>
      <c r="E96" s="43">
        <v>0</v>
      </c>
      <c r="F96" s="44">
        <f t="shared" si="0"/>
        <v>0</v>
      </c>
      <c r="G96" s="44">
        <f t="shared" si="1"/>
        <v>0</v>
      </c>
      <c r="H96" s="91">
        <v>0</v>
      </c>
      <c r="I96" s="104">
        <v>0</v>
      </c>
      <c r="J96" s="104">
        <v>0</v>
      </c>
      <c r="K96" s="91">
        <f t="shared" si="2"/>
        <v>0</v>
      </c>
      <c r="L96" s="91">
        <f t="shared" si="3"/>
        <v>0</v>
      </c>
      <c r="M96" s="92">
        <v>0</v>
      </c>
      <c r="N96" s="105">
        <v>0</v>
      </c>
      <c r="O96" s="105">
        <v>0</v>
      </c>
      <c r="P96" s="92">
        <f t="shared" si="4"/>
        <v>0</v>
      </c>
      <c r="Q96" s="92">
        <f t="shared" si="5"/>
        <v>0</v>
      </c>
      <c r="R96" s="93">
        <v>0</v>
      </c>
      <c r="S96" s="106">
        <v>0</v>
      </c>
      <c r="T96" s="106">
        <v>0</v>
      </c>
      <c r="U96" s="93">
        <f t="shared" si="6"/>
        <v>0</v>
      </c>
      <c r="V96" s="93">
        <f t="shared" si="7"/>
        <v>0</v>
      </c>
      <c r="W96" s="94">
        <v>0</v>
      </c>
      <c r="X96" s="107">
        <v>0</v>
      </c>
      <c r="Y96" s="107">
        <v>0</v>
      </c>
      <c r="Z96" s="94">
        <f t="shared" si="8"/>
        <v>0</v>
      </c>
      <c r="AA96" s="94">
        <f t="shared" si="9"/>
        <v>0</v>
      </c>
    </row>
    <row r="97" spans="1:27" ht="14.25" customHeight="1">
      <c r="A97" s="97"/>
      <c r="B97" s="97"/>
      <c r="C97" s="44">
        <v>0</v>
      </c>
      <c r="D97" s="43">
        <v>0</v>
      </c>
      <c r="E97" s="43">
        <v>0</v>
      </c>
      <c r="F97" s="44">
        <f t="shared" si="0"/>
        <v>0</v>
      </c>
      <c r="G97" s="44">
        <f t="shared" si="1"/>
        <v>0</v>
      </c>
      <c r="H97" s="91">
        <v>0</v>
      </c>
      <c r="I97" s="104">
        <v>0</v>
      </c>
      <c r="J97" s="104">
        <v>0</v>
      </c>
      <c r="K97" s="91">
        <f t="shared" si="2"/>
        <v>0</v>
      </c>
      <c r="L97" s="91">
        <f t="shared" si="3"/>
        <v>0</v>
      </c>
      <c r="M97" s="92">
        <v>0</v>
      </c>
      <c r="N97" s="105">
        <v>0</v>
      </c>
      <c r="O97" s="105">
        <v>0</v>
      </c>
      <c r="P97" s="92">
        <f t="shared" si="4"/>
        <v>0</v>
      </c>
      <c r="Q97" s="92">
        <f t="shared" si="5"/>
        <v>0</v>
      </c>
      <c r="R97" s="93">
        <v>0</v>
      </c>
      <c r="S97" s="106">
        <v>0</v>
      </c>
      <c r="T97" s="106">
        <v>0</v>
      </c>
      <c r="U97" s="93">
        <f t="shared" si="6"/>
        <v>0</v>
      </c>
      <c r="V97" s="93">
        <f t="shared" si="7"/>
        <v>0</v>
      </c>
      <c r="W97" s="94">
        <v>0</v>
      </c>
      <c r="X97" s="107">
        <v>0</v>
      </c>
      <c r="Y97" s="107">
        <v>0</v>
      </c>
      <c r="Z97" s="94">
        <f t="shared" si="8"/>
        <v>0</v>
      </c>
      <c r="AA97" s="94">
        <f t="shared" si="9"/>
        <v>0</v>
      </c>
    </row>
    <row r="98" spans="1:27" ht="14.25" customHeight="1">
      <c r="A98" s="97"/>
      <c r="B98" s="97"/>
      <c r="C98" s="44">
        <v>0</v>
      </c>
      <c r="D98" s="43">
        <v>0</v>
      </c>
      <c r="E98" s="43">
        <v>0</v>
      </c>
      <c r="F98" s="44">
        <f t="shared" si="0"/>
        <v>0</v>
      </c>
      <c r="G98" s="44">
        <f t="shared" si="1"/>
        <v>0</v>
      </c>
      <c r="H98" s="91">
        <v>0</v>
      </c>
      <c r="I98" s="104">
        <v>0</v>
      </c>
      <c r="J98" s="104">
        <v>0</v>
      </c>
      <c r="K98" s="91">
        <f t="shared" si="2"/>
        <v>0</v>
      </c>
      <c r="L98" s="91">
        <f t="shared" si="3"/>
        <v>0</v>
      </c>
      <c r="M98" s="92">
        <v>0</v>
      </c>
      <c r="N98" s="105">
        <v>0</v>
      </c>
      <c r="O98" s="105">
        <v>0</v>
      </c>
      <c r="P98" s="92">
        <f t="shared" si="4"/>
        <v>0</v>
      </c>
      <c r="Q98" s="92">
        <f t="shared" si="5"/>
        <v>0</v>
      </c>
      <c r="R98" s="93">
        <v>0</v>
      </c>
      <c r="S98" s="106">
        <v>0</v>
      </c>
      <c r="T98" s="106">
        <v>0</v>
      </c>
      <c r="U98" s="93">
        <f t="shared" si="6"/>
        <v>0</v>
      </c>
      <c r="V98" s="93">
        <f t="shared" si="7"/>
        <v>0</v>
      </c>
      <c r="W98" s="94">
        <v>0</v>
      </c>
      <c r="X98" s="107">
        <v>0</v>
      </c>
      <c r="Y98" s="107">
        <v>0</v>
      </c>
      <c r="Z98" s="94">
        <f t="shared" si="8"/>
        <v>0</v>
      </c>
      <c r="AA98" s="94">
        <f t="shared" si="9"/>
        <v>0</v>
      </c>
    </row>
    <row r="99" spans="1:27" ht="14.25" customHeight="1">
      <c r="A99" s="97"/>
      <c r="B99" s="97"/>
      <c r="C99" s="44">
        <v>0</v>
      </c>
      <c r="D99" s="43">
        <v>0</v>
      </c>
      <c r="E99" s="43">
        <v>0</v>
      </c>
      <c r="F99" s="44">
        <f t="shared" si="0"/>
        <v>0</v>
      </c>
      <c r="G99" s="44">
        <f t="shared" si="1"/>
        <v>0</v>
      </c>
      <c r="H99" s="91">
        <v>0</v>
      </c>
      <c r="I99" s="104">
        <v>0</v>
      </c>
      <c r="J99" s="104">
        <v>0</v>
      </c>
      <c r="K99" s="91">
        <f t="shared" si="2"/>
        <v>0</v>
      </c>
      <c r="L99" s="91">
        <f t="shared" si="3"/>
        <v>0</v>
      </c>
      <c r="M99" s="92">
        <v>0</v>
      </c>
      <c r="N99" s="105">
        <v>0</v>
      </c>
      <c r="O99" s="105">
        <v>0</v>
      </c>
      <c r="P99" s="92">
        <f t="shared" si="4"/>
        <v>0</v>
      </c>
      <c r="Q99" s="92">
        <f t="shared" si="5"/>
        <v>0</v>
      </c>
      <c r="R99" s="93">
        <v>0</v>
      </c>
      <c r="S99" s="106">
        <v>0</v>
      </c>
      <c r="T99" s="106">
        <v>0</v>
      </c>
      <c r="U99" s="93">
        <f t="shared" si="6"/>
        <v>0</v>
      </c>
      <c r="V99" s="93">
        <f t="shared" si="7"/>
        <v>0</v>
      </c>
      <c r="W99" s="94">
        <v>0</v>
      </c>
      <c r="X99" s="107">
        <v>0</v>
      </c>
      <c r="Y99" s="107">
        <v>0</v>
      </c>
      <c r="Z99" s="94">
        <f t="shared" si="8"/>
        <v>0</v>
      </c>
      <c r="AA99" s="94">
        <f t="shared" si="9"/>
        <v>0</v>
      </c>
    </row>
    <row r="100" spans="1:27" ht="14.25" customHeight="1">
      <c r="A100" s="97"/>
      <c r="B100" s="97"/>
      <c r="C100" s="44">
        <v>0</v>
      </c>
      <c r="D100" s="43">
        <v>0</v>
      </c>
      <c r="E100" s="43">
        <v>0</v>
      </c>
      <c r="F100" s="44">
        <f t="shared" si="0"/>
        <v>0</v>
      </c>
      <c r="G100" s="44">
        <f t="shared" si="1"/>
        <v>0</v>
      </c>
      <c r="H100" s="91">
        <v>0</v>
      </c>
      <c r="I100" s="104">
        <v>0</v>
      </c>
      <c r="J100" s="104">
        <v>0</v>
      </c>
      <c r="K100" s="91">
        <f t="shared" si="2"/>
        <v>0</v>
      </c>
      <c r="L100" s="91">
        <f t="shared" si="3"/>
        <v>0</v>
      </c>
      <c r="M100" s="92">
        <v>0</v>
      </c>
      <c r="N100" s="105">
        <v>0</v>
      </c>
      <c r="O100" s="105">
        <v>0</v>
      </c>
      <c r="P100" s="92">
        <f t="shared" si="4"/>
        <v>0</v>
      </c>
      <c r="Q100" s="92">
        <f t="shared" si="5"/>
        <v>0</v>
      </c>
      <c r="R100" s="93">
        <v>0</v>
      </c>
      <c r="S100" s="106">
        <v>0</v>
      </c>
      <c r="T100" s="106">
        <v>0</v>
      </c>
      <c r="U100" s="93">
        <f t="shared" si="6"/>
        <v>0</v>
      </c>
      <c r="V100" s="93">
        <f t="shared" si="7"/>
        <v>0</v>
      </c>
      <c r="W100" s="94">
        <v>0</v>
      </c>
      <c r="X100" s="107">
        <v>0</v>
      </c>
      <c r="Y100" s="107">
        <v>0</v>
      </c>
      <c r="Z100" s="94">
        <f t="shared" si="8"/>
        <v>0</v>
      </c>
      <c r="AA100" s="94">
        <f t="shared" si="9"/>
        <v>0</v>
      </c>
    </row>
    <row r="101" spans="1:27" ht="14.25" customHeight="1">
      <c r="A101" s="97"/>
      <c r="B101" s="97"/>
      <c r="C101" s="44">
        <v>0</v>
      </c>
      <c r="D101" s="43">
        <v>0</v>
      </c>
      <c r="E101" s="43">
        <v>0</v>
      </c>
      <c r="F101" s="44">
        <f t="shared" si="0"/>
        <v>0</v>
      </c>
      <c r="G101" s="44">
        <f t="shared" si="1"/>
        <v>0</v>
      </c>
      <c r="H101" s="91">
        <v>0</v>
      </c>
      <c r="I101" s="104">
        <v>0</v>
      </c>
      <c r="J101" s="104">
        <v>0</v>
      </c>
      <c r="K101" s="91">
        <f t="shared" si="2"/>
        <v>0</v>
      </c>
      <c r="L101" s="91">
        <f t="shared" si="3"/>
        <v>0</v>
      </c>
      <c r="M101" s="92">
        <v>0</v>
      </c>
      <c r="N101" s="105">
        <v>0</v>
      </c>
      <c r="O101" s="105">
        <v>0</v>
      </c>
      <c r="P101" s="92">
        <f t="shared" si="4"/>
        <v>0</v>
      </c>
      <c r="Q101" s="92">
        <f t="shared" si="5"/>
        <v>0</v>
      </c>
      <c r="R101" s="93">
        <v>0</v>
      </c>
      <c r="S101" s="106">
        <v>0</v>
      </c>
      <c r="T101" s="106">
        <v>0</v>
      </c>
      <c r="U101" s="93">
        <f t="shared" si="6"/>
        <v>0</v>
      </c>
      <c r="V101" s="93">
        <f t="shared" si="7"/>
        <v>0</v>
      </c>
      <c r="W101" s="94">
        <v>0</v>
      </c>
      <c r="X101" s="107">
        <v>0</v>
      </c>
      <c r="Y101" s="107">
        <v>0</v>
      </c>
      <c r="Z101" s="94">
        <f t="shared" si="8"/>
        <v>0</v>
      </c>
      <c r="AA101" s="94">
        <f t="shared" si="9"/>
        <v>0</v>
      </c>
    </row>
    <row r="102" spans="1:27" ht="14.25" customHeight="1">
      <c r="A102" s="97"/>
      <c r="B102" s="97"/>
      <c r="C102" s="44">
        <v>0</v>
      </c>
      <c r="D102" s="43">
        <v>0</v>
      </c>
      <c r="E102" s="43">
        <v>0</v>
      </c>
      <c r="F102" s="44">
        <f t="shared" si="0"/>
        <v>0</v>
      </c>
      <c r="G102" s="44">
        <f t="shared" si="1"/>
        <v>0</v>
      </c>
      <c r="H102" s="91">
        <v>0</v>
      </c>
      <c r="I102" s="104">
        <v>0</v>
      </c>
      <c r="J102" s="104">
        <v>0</v>
      </c>
      <c r="K102" s="91">
        <f t="shared" si="2"/>
        <v>0</v>
      </c>
      <c r="L102" s="91">
        <f t="shared" si="3"/>
        <v>0</v>
      </c>
      <c r="M102" s="92">
        <v>0</v>
      </c>
      <c r="N102" s="105">
        <v>0</v>
      </c>
      <c r="O102" s="105">
        <v>0</v>
      </c>
      <c r="P102" s="92">
        <f t="shared" si="4"/>
        <v>0</v>
      </c>
      <c r="Q102" s="92">
        <f t="shared" si="5"/>
        <v>0</v>
      </c>
      <c r="R102" s="93">
        <v>0</v>
      </c>
      <c r="S102" s="106">
        <v>0</v>
      </c>
      <c r="T102" s="106">
        <v>0</v>
      </c>
      <c r="U102" s="93">
        <f t="shared" si="6"/>
        <v>0</v>
      </c>
      <c r="V102" s="93">
        <f t="shared" si="7"/>
        <v>0</v>
      </c>
      <c r="W102" s="94">
        <v>0</v>
      </c>
      <c r="X102" s="107">
        <v>0</v>
      </c>
      <c r="Y102" s="107">
        <v>0</v>
      </c>
      <c r="Z102" s="94">
        <f t="shared" si="8"/>
        <v>0</v>
      </c>
      <c r="AA102" s="94">
        <f t="shared" si="9"/>
        <v>0</v>
      </c>
    </row>
    <row r="103" spans="1:27" ht="14.25" customHeight="1">
      <c r="A103" s="97"/>
      <c r="B103" s="97"/>
      <c r="C103" s="44">
        <v>0</v>
      </c>
      <c r="D103" s="43">
        <v>0</v>
      </c>
      <c r="E103" s="43">
        <v>0</v>
      </c>
      <c r="F103" s="44">
        <f t="shared" si="0"/>
        <v>0</v>
      </c>
      <c r="G103" s="44">
        <f t="shared" si="1"/>
        <v>0</v>
      </c>
      <c r="H103" s="91">
        <v>0</v>
      </c>
      <c r="I103" s="104">
        <v>0</v>
      </c>
      <c r="J103" s="104">
        <v>0</v>
      </c>
      <c r="K103" s="91">
        <f t="shared" si="2"/>
        <v>0</v>
      </c>
      <c r="L103" s="91">
        <f t="shared" si="3"/>
        <v>0</v>
      </c>
      <c r="M103" s="92">
        <v>0</v>
      </c>
      <c r="N103" s="105">
        <v>0</v>
      </c>
      <c r="O103" s="105">
        <v>0</v>
      </c>
      <c r="P103" s="92">
        <f t="shared" si="4"/>
        <v>0</v>
      </c>
      <c r="Q103" s="92">
        <f t="shared" si="5"/>
        <v>0</v>
      </c>
      <c r="R103" s="93">
        <v>0</v>
      </c>
      <c r="S103" s="106">
        <v>0</v>
      </c>
      <c r="T103" s="106">
        <v>0</v>
      </c>
      <c r="U103" s="93">
        <f t="shared" si="6"/>
        <v>0</v>
      </c>
      <c r="V103" s="93">
        <f t="shared" si="7"/>
        <v>0</v>
      </c>
      <c r="W103" s="94">
        <v>0</v>
      </c>
      <c r="X103" s="107">
        <v>0</v>
      </c>
      <c r="Y103" s="107">
        <v>0</v>
      </c>
      <c r="Z103" s="94">
        <f t="shared" si="8"/>
        <v>0</v>
      </c>
      <c r="AA103" s="94">
        <f t="shared" si="9"/>
        <v>0</v>
      </c>
    </row>
    <row r="104" spans="1:27" ht="14.25" customHeight="1">
      <c r="A104" s="97"/>
      <c r="B104" s="97"/>
      <c r="C104" s="44">
        <v>0</v>
      </c>
      <c r="D104" s="43">
        <v>0</v>
      </c>
      <c r="E104" s="43">
        <v>0</v>
      </c>
      <c r="F104" s="44">
        <f t="shared" si="0"/>
        <v>0</v>
      </c>
      <c r="G104" s="44">
        <f t="shared" si="1"/>
        <v>0</v>
      </c>
      <c r="H104" s="91">
        <v>0</v>
      </c>
      <c r="I104" s="104">
        <v>0</v>
      </c>
      <c r="J104" s="104">
        <v>0</v>
      </c>
      <c r="K104" s="91">
        <f t="shared" si="2"/>
        <v>0</v>
      </c>
      <c r="L104" s="91">
        <f t="shared" si="3"/>
        <v>0</v>
      </c>
      <c r="M104" s="92">
        <v>0</v>
      </c>
      <c r="N104" s="105">
        <v>0</v>
      </c>
      <c r="O104" s="105">
        <v>0</v>
      </c>
      <c r="P104" s="92">
        <f t="shared" si="4"/>
        <v>0</v>
      </c>
      <c r="Q104" s="92">
        <f t="shared" si="5"/>
        <v>0</v>
      </c>
      <c r="R104" s="93">
        <v>0</v>
      </c>
      <c r="S104" s="106">
        <v>0</v>
      </c>
      <c r="T104" s="106">
        <v>0</v>
      </c>
      <c r="U104" s="93">
        <f t="shared" si="6"/>
        <v>0</v>
      </c>
      <c r="V104" s="93">
        <f t="shared" si="7"/>
        <v>0</v>
      </c>
      <c r="W104" s="94">
        <v>0</v>
      </c>
      <c r="X104" s="107">
        <v>0</v>
      </c>
      <c r="Y104" s="107">
        <v>0</v>
      </c>
      <c r="Z104" s="94">
        <f t="shared" si="8"/>
        <v>0</v>
      </c>
      <c r="AA104" s="94">
        <f t="shared" si="9"/>
        <v>0</v>
      </c>
    </row>
    <row r="105" spans="1:27" ht="14.25" customHeight="1">
      <c r="A105" s="97"/>
      <c r="B105" s="97"/>
      <c r="C105" s="44">
        <v>0</v>
      </c>
      <c r="D105" s="43">
        <v>0</v>
      </c>
      <c r="E105" s="43">
        <v>0</v>
      </c>
      <c r="F105" s="44">
        <f t="shared" si="0"/>
        <v>0</v>
      </c>
      <c r="G105" s="44">
        <f t="shared" si="1"/>
        <v>0</v>
      </c>
      <c r="H105" s="91">
        <v>0</v>
      </c>
      <c r="I105" s="104">
        <v>0</v>
      </c>
      <c r="J105" s="104">
        <v>0</v>
      </c>
      <c r="K105" s="91">
        <f t="shared" si="2"/>
        <v>0</v>
      </c>
      <c r="L105" s="91">
        <f t="shared" si="3"/>
        <v>0</v>
      </c>
      <c r="M105" s="92">
        <v>0</v>
      </c>
      <c r="N105" s="105">
        <v>0</v>
      </c>
      <c r="O105" s="105">
        <v>0</v>
      </c>
      <c r="P105" s="92">
        <f t="shared" si="4"/>
        <v>0</v>
      </c>
      <c r="Q105" s="92">
        <f t="shared" si="5"/>
        <v>0</v>
      </c>
      <c r="R105" s="93">
        <v>0</v>
      </c>
      <c r="S105" s="106">
        <v>0</v>
      </c>
      <c r="T105" s="106">
        <v>0</v>
      </c>
      <c r="U105" s="93">
        <f t="shared" si="6"/>
        <v>0</v>
      </c>
      <c r="V105" s="93">
        <f t="shared" si="7"/>
        <v>0</v>
      </c>
      <c r="W105" s="94">
        <v>0</v>
      </c>
      <c r="X105" s="107">
        <v>0</v>
      </c>
      <c r="Y105" s="107">
        <v>0</v>
      </c>
      <c r="Z105" s="94">
        <f t="shared" si="8"/>
        <v>0</v>
      </c>
      <c r="AA105" s="94">
        <f t="shared" si="9"/>
        <v>0</v>
      </c>
    </row>
    <row r="106" spans="1:27" ht="14.25" customHeight="1">
      <c r="A106" s="97"/>
      <c r="B106" s="97"/>
      <c r="C106" s="44">
        <v>0</v>
      </c>
      <c r="D106" s="43">
        <v>0</v>
      </c>
      <c r="E106" s="43">
        <v>0</v>
      </c>
      <c r="F106" s="44">
        <f t="shared" si="0"/>
        <v>0</v>
      </c>
      <c r="G106" s="44">
        <f t="shared" si="1"/>
        <v>0</v>
      </c>
      <c r="H106" s="91">
        <v>0</v>
      </c>
      <c r="I106" s="104">
        <v>0</v>
      </c>
      <c r="J106" s="104">
        <v>0</v>
      </c>
      <c r="K106" s="91">
        <f t="shared" si="2"/>
        <v>0</v>
      </c>
      <c r="L106" s="91">
        <f t="shared" si="3"/>
        <v>0</v>
      </c>
      <c r="M106" s="92">
        <v>0</v>
      </c>
      <c r="N106" s="105">
        <v>0</v>
      </c>
      <c r="O106" s="105">
        <v>0</v>
      </c>
      <c r="P106" s="92">
        <f t="shared" si="4"/>
        <v>0</v>
      </c>
      <c r="Q106" s="92">
        <f t="shared" si="5"/>
        <v>0</v>
      </c>
      <c r="R106" s="93">
        <v>0</v>
      </c>
      <c r="S106" s="106">
        <v>0</v>
      </c>
      <c r="T106" s="106">
        <v>0</v>
      </c>
      <c r="U106" s="93">
        <f t="shared" si="6"/>
        <v>0</v>
      </c>
      <c r="V106" s="93">
        <f t="shared" si="7"/>
        <v>0</v>
      </c>
      <c r="W106" s="94">
        <v>0</v>
      </c>
      <c r="X106" s="107">
        <v>0</v>
      </c>
      <c r="Y106" s="107">
        <v>0</v>
      </c>
      <c r="Z106" s="94">
        <f t="shared" si="8"/>
        <v>0</v>
      </c>
      <c r="AA106" s="94">
        <f t="shared" si="9"/>
        <v>0</v>
      </c>
    </row>
    <row r="107" spans="1:27" ht="14.25" customHeight="1">
      <c r="A107" s="97"/>
      <c r="B107" s="97"/>
      <c r="C107" s="44">
        <v>0</v>
      </c>
      <c r="D107" s="43">
        <v>0</v>
      </c>
      <c r="E107" s="43">
        <v>0</v>
      </c>
      <c r="F107" s="44">
        <f t="shared" si="0"/>
        <v>0</v>
      </c>
      <c r="G107" s="44">
        <f t="shared" si="1"/>
        <v>0</v>
      </c>
      <c r="H107" s="91">
        <v>0</v>
      </c>
      <c r="I107" s="104">
        <v>0</v>
      </c>
      <c r="J107" s="104">
        <v>0</v>
      </c>
      <c r="K107" s="91">
        <f t="shared" si="2"/>
        <v>0</v>
      </c>
      <c r="L107" s="91">
        <f t="shared" si="3"/>
        <v>0</v>
      </c>
      <c r="M107" s="92">
        <v>0</v>
      </c>
      <c r="N107" s="105">
        <v>0</v>
      </c>
      <c r="O107" s="105">
        <v>0</v>
      </c>
      <c r="P107" s="92">
        <f t="shared" si="4"/>
        <v>0</v>
      </c>
      <c r="Q107" s="92">
        <f t="shared" si="5"/>
        <v>0</v>
      </c>
      <c r="R107" s="93">
        <v>0</v>
      </c>
      <c r="S107" s="106">
        <v>0</v>
      </c>
      <c r="T107" s="106">
        <v>0</v>
      </c>
      <c r="U107" s="93">
        <f t="shared" si="6"/>
        <v>0</v>
      </c>
      <c r="V107" s="93">
        <f t="shared" si="7"/>
        <v>0</v>
      </c>
      <c r="W107" s="94">
        <v>0</v>
      </c>
      <c r="X107" s="107">
        <v>0</v>
      </c>
      <c r="Y107" s="107">
        <v>0</v>
      </c>
      <c r="Z107" s="94">
        <f t="shared" si="8"/>
        <v>0</v>
      </c>
      <c r="AA107" s="94">
        <f t="shared" si="9"/>
        <v>0</v>
      </c>
    </row>
    <row r="108" spans="1:27" ht="14.25" customHeight="1">
      <c r="A108" s="97"/>
      <c r="B108" s="97"/>
      <c r="C108" s="44">
        <v>0</v>
      </c>
      <c r="D108" s="43">
        <v>0</v>
      </c>
      <c r="E108" s="43">
        <v>0</v>
      </c>
      <c r="F108" s="44">
        <f t="shared" si="0"/>
        <v>0</v>
      </c>
      <c r="G108" s="44">
        <f t="shared" si="1"/>
        <v>0</v>
      </c>
      <c r="H108" s="91">
        <v>0</v>
      </c>
      <c r="I108" s="104">
        <v>0</v>
      </c>
      <c r="J108" s="104">
        <v>0</v>
      </c>
      <c r="K108" s="91">
        <f t="shared" si="2"/>
        <v>0</v>
      </c>
      <c r="L108" s="91">
        <f t="shared" si="3"/>
        <v>0</v>
      </c>
      <c r="M108" s="92">
        <v>0</v>
      </c>
      <c r="N108" s="105">
        <v>0</v>
      </c>
      <c r="O108" s="105">
        <v>0</v>
      </c>
      <c r="P108" s="92">
        <f t="shared" si="4"/>
        <v>0</v>
      </c>
      <c r="Q108" s="92">
        <f t="shared" si="5"/>
        <v>0</v>
      </c>
      <c r="R108" s="93">
        <v>0</v>
      </c>
      <c r="S108" s="106">
        <v>0</v>
      </c>
      <c r="T108" s="106">
        <v>0</v>
      </c>
      <c r="U108" s="93">
        <f t="shared" si="6"/>
        <v>0</v>
      </c>
      <c r="V108" s="93">
        <f t="shared" si="7"/>
        <v>0</v>
      </c>
      <c r="W108" s="94">
        <v>0</v>
      </c>
      <c r="X108" s="107">
        <v>0</v>
      </c>
      <c r="Y108" s="107">
        <v>0</v>
      </c>
      <c r="Z108" s="94">
        <f t="shared" si="8"/>
        <v>0</v>
      </c>
      <c r="AA108" s="94">
        <f t="shared" si="9"/>
        <v>0</v>
      </c>
    </row>
    <row r="109" spans="1:27" ht="14.25" customHeight="1">
      <c r="A109" s="97"/>
      <c r="B109" s="97"/>
      <c r="C109" s="44">
        <v>0</v>
      </c>
      <c r="D109" s="43">
        <v>0</v>
      </c>
      <c r="E109" s="43">
        <v>0</v>
      </c>
      <c r="F109" s="44">
        <f t="shared" si="0"/>
        <v>0</v>
      </c>
      <c r="G109" s="44">
        <f t="shared" si="1"/>
        <v>0</v>
      </c>
      <c r="H109" s="91">
        <v>0</v>
      </c>
      <c r="I109" s="104">
        <v>0</v>
      </c>
      <c r="J109" s="104">
        <v>0</v>
      </c>
      <c r="K109" s="91">
        <f t="shared" si="2"/>
        <v>0</v>
      </c>
      <c r="L109" s="91">
        <f t="shared" si="3"/>
        <v>0</v>
      </c>
      <c r="M109" s="92">
        <v>0</v>
      </c>
      <c r="N109" s="105">
        <v>0</v>
      </c>
      <c r="O109" s="105">
        <v>0</v>
      </c>
      <c r="P109" s="92">
        <f t="shared" si="4"/>
        <v>0</v>
      </c>
      <c r="Q109" s="92">
        <f t="shared" si="5"/>
        <v>0</v>
      </c>
      <c r="R109" s="93">
        <v>0</v>
      </c>
      <c r="S109" s="106">
        <v>0</v>
      </c>
      <c r="T109" s="106">
        <v>0</v>
      </c>
      <c r="U109" s="93">
        <f t="shared" si="6"/>
        <v>0</v>
      </c>
      <c r="V109" s="93">
        <f t="shared" si="7"/>
        <v>0</v>
      </c>
      <c r="W109" s="94">
        <v>0</v>
      </c>
      <c r="X109" s="107">
        <v>0</v>
      </c>
      <c r="Y109" s="107">
        <v>0</v>
      </c>
      <c r="Z109" s="94">
        <f t="shared" si="8"/>
        <v>0</v>
      </c>
      <c r="AA109" s="94">
        <f t="shared" si="9"/>
        <v>0</v>
      </c>
    </row>
    <row r="110" spans="1:27" ht="14.25" customHeight="1">
      <c r="A110" s="97"/>
      <c r="B110" s="97"/>
      <c r="C110" s="44">
        <v>0</v>
      </c>
      <c r="D110" s="43">
        <v>0</v>
      </c>
      <c r="E110" s="43">
        <v>0</v>
      </c>
      <c r="F110" s="44">
        <f t="shared" si="0"/>
        <v>0</v>
      </c>
      <c r="G110" s="44">
        <f t="shared" si="1"/>
        <v>0</v>
      </c>
      <c r="H110" s="91">
        <v>0</v>
      </c>
      <c r="I110" s="104">
        <v>0</v>
      </c>
      <c r="J110" s="104">
        <v>0</v>
      </c>
      <c r="K110" s="91">
        <f t="shared" si="2"/>
        <v>0</v>
      </c>
      <c r="L110" s="91">
        <f t="shared" si="3"/>
        <v>0</v>
      </c>
      <c r="M110" s="92">
        <v>0</v>
      </c>
      <c r="N110" s="105">
        <v>0</v>
      </c>
      <c r="O110" s="105">
        <v>0</v>
      </c>
      <c r="P110" s="92">
        <f t="shared" si="4"/>
        <v>0</v>
      </c>
      <c r="Q110" s="92">
        <f t="shared" si="5"/>
        <v>0</v>
      </c>
      <c r="R110" s="93">
        <v>0</v>
      </c>
      <c r="S110" s="106">
        <v>0</v>
      </c>
      <c r="T110" s="106">
        <v>0</v>
      </c>
      <c r="U110" s="93">
        <f t="shared" si="6"/>
        <v>0</v>
      </c>
      <c r="V110" s="93">
        <f t="shared" si="7"/>
        <v>0</v>
      </c>
      <c r="W110" s="94">
        <v>0</v>
      </c>
      <c r="X110" s="107">
        <v>0</v>
      </c>
      <c r="Y110" s="107">
        <v>0</v>
      </c>
      <c r="Z110" s="94">
        <f t="shared" si="8"/>
        <v>0</v>
      </c>
      <c r="AA110" s="94">
        <f t="shared" si="9"/>
        <v>0</v>
      </c>
    </row>
    <row r="111" spans="1:27" ht="14.25" customHeight="1">
      <c r="A111" s="97"/>
      <c r="B111" s="97"/>
      <c r="C111" s="44">
        <v>0</v>
      </c>
      <c r="D111" s="43">
        <v>0</v>
      </c>
      <c r="E111" s="43">
        <v>0</v>
      </c>
      <c r="F111" s="44">
        <f t="shared" si="0"/>
        <v>0</v>
      </c>
      <c r="G111" s="44">
        <f t="shared" si="1"/>
        <v>0</v>
      </c>
      <c r="H111" s="91">
        <v>0</v>
      </c>
      <c r="I111" s="104">
        <v>0</v>
      </c>
      <c r="J111" s="104">
        <v>0</v>
      </c>
      <c r="K111" s="91">
        <f t="shared" si="2"/>
        <v>0</v>
      </c>
      <c r="L111" s="91">
        <f t="shared" si="3"/>
        <v>0</v>
      </c>
      <c r="M111" s="92">
        <v>0</v>
      </c>
      <c r="N111" s="105">
        <v>0</v>
      </c>
      <c r="O111" s="105">
        <v>0</v>
      </c>
      <c r="P111" s="92">
        <f t="shared" si="4"/>
        <v>0</v>
      </c>
      <c r="Q111" s="92">
        <f t="shared" si="5"/>
        <v>0</v>
      </c>
      <c r="R111" s="93">
        <v>0</v>
      </c>
      <c r="S111" s="106">
        <v>0</v>
      </c>
      <c r="T111" s="106">
        <v>0</v>
      </c>
      <c r="U111" s="93">
        <f t="shared" si="6"/>
        <v>0</v>
      </c>
      <c r="V111" s="93">
        <f t="shared" si="7"/>
        <v>0</v>
      </c>
      <c r="W111" s="94">
        <v>0</v>
      </c>
      <c r="X111" s="107">
        <v>0</v>
      </c>
      <c r="Y111" s="107">
        <v>0</v>
      </c>
      <c r="Z111" s="94">
        <f t="shared" si="8"/>
        <v>0</v>
      </c>
      <c r="AA111" s="94">
        <f t="shared" si="9"/>
        <v>0</v>
      </c>
    </row>
    <row r="112" spans="1:27" ht="14.25" customHeight="1">
      <c r="A112" s="97"/>
      <c r="B112" s="97"/>
      <c r="C112" s="44">
        <v>0</v>
      </c>
      <c r="D112" s="43">
        <v>0</v>
      </c>
      <c r="E112" s="43">
        <v>0</v>
      </c>
      <c r="F112" s="44">
        <f t="shared" si="0"/>
        <v>0</v>
      </c>
      <c r="G112" s="44">
        <f t="shared" si="1"/>
        <v>0</v>
      </c>
      <c r="H112" s="91">
        <v>0</v>
      </c>
      <c r="I112" s="104">
        <v>0</v>
      </c>
      <c r="J112" s="104">
        <v>0</v>
      </c>
      <c r="K112" s="91">
        <f t="shared" si="2"/>
        <v>0</v>
      </c>
      <c r="L112" s="91">
        <f t="shared" si="3"/>
        <v>0</v>
      </c>
      <c r="M112" s="92">
        <v>0</v>
      </c>
      <c r="N112" s="105">
        <v>0</v>
      </c>
      <c r="O112" s="105">
        <v>0</v>
      </c>
      <c r="P112" s="92">
        <f t="shared" si="4"/>
        <v>0</v>
      </c>
      <c r="Q112" s="92">
        <f t="shared" si="5"/>
        <v>0</v>
      </c>
      <c r="R112" s="93">
        <v>0</v>
      </c>
      <c r="S112" s="106">
        <v>0</v>
      </c>
      <c r="T112" s="106">
        <v>0</v>
      </c>
      <c r="U112" s="93">
        <f t="shared" si="6"/>
        <v>0</v>
      </c>
      <c r="V112" s="93">
        <f t="shared" si="7"/>
        <v>0</v>
      </c>
      <c r="W112" s="94">
        <v>0</v>
      </c>
      <c r="X112" s="107">
        <v>0</v>
      </c>
      <c r="Y112" s="107">
        <v>0</v>
      </c>
      <c r="Z112" s="94">
        <f t="shared" si="8"/>
        <v>0</v>
      </c>
      <c r="AA112" s="94">
        <f t="shared" si="9"/>
        <v>0</v>
      </c>
    </row>
    <row r="113" spans="1:27" ht="14.25" customHeight="1">
      <c r="A113" s="97"/>
      <c r="B113" s="97"/>
      <c r="C113" s="44">
        <v>0</v>
      </c>
      <c r="D113" s="43">
        <v>0</v>
      </c>
      <c r="E113" s="43">
        <v>0</v>
      </c>
      <c r="F113" s="44">
        <f t="shared" si="0"/>
        <v>0</v>
      </c>
      <c r="G113" s="44">
        <f t="shared" si="1"/>
        <v>0</v>
      </c>
      <c r="H113" s="91">
        <v>0</v>
      </c>
      <c r="I113" s="104">
        <v>0</v>
      </c>
      <c r="J113" s="104">
        <v>0</v>
      </c>
      <c r="K113" s="91">
        <f t="shared" si="2"/>
        <v>0</v>
      </c>
      <c r="L113" s="91">
        <f t="shared" si="3"/>
        <v>0</v>
      </c>
      <c r="M113" s="92">
        <v>0</v>
      </c>
      <c r="N113" s="105">
        <v>0</v>
      </c>
      <c r="O113" s="105">
        <v>0</v>
      </c>
      <c r="P113" s="92">
        <f t="shared" si="4"/>
        <v>0</v>
      </c>
      <c r="Q113" s="92">
        <f t="shared" si="5"/>
        <v>0</v>
      </c>
      <c r="R113" s="93">
        <v>0</v>
      </c>
      <c r="S113" s="106">
        <v>0</v>
      </c>
      <c r="T113" s="106">
        <v>0</v>
      </c>
      <c r="U113" s="93">
        <f t="shared" si="6"/>
        <v>0</v>
      </c>
      <c r="V113" s="93">
        <f t="shared" si="7"/>
        <v>0</v>
      </c>
      <c r="W113" s="94">
        <v>0</v>
      </c>
      <c r="X113" s="107">
        <v>0</v>
      </c>
      <c r="Y113" s="107">
        <v>0</v>
      </c>
      <c r="Z113" s="94">
        <f t="shared" si="8"/>
        <v>0</v>
      </c>
      <c r="AA113" s="94">
        <f t="shared" si="9"/>
        <v>0</v>
      </c>
    </row>
    <row r="114" spans="1:27" ht="14.25" customHeight="1">
      <c r="A114" s="97"/>
      <c r="B114" s="97"/>
      <c r="C114" s="44">
        <v>0</v>
      </c>
      <c r="D114" s="43">
        <v>0</v>
      </c>
      <c r="E114" s="43">
        <v>0</v>
      </c>
      <c r="F114" s="44">
        <f t="shared" si="0"/>
        <v>0</v>
      </c>
      <c r="G114" s="44">
        <f t="shared" si="1"/>
        <v>0</v>
      </c>
      <c r="H114" s="91">
        <v>0</v>
      </c>
      <c r="I114" s="104">
        <v>0</v>
      </c>
      <c r="J114" s="104">
        <v>0</v>
      </c>
      <c r="K114" s="91">
        <f t="shared" si="2"/>
        <v>0</v>
      </c>
      <c r="L114" s="91">
        <f t="shared" si="3"/>
        <v>0</v>
      </c>
      <c r="M114" s="92">
        <v>0</v>
      </c>
      <c r="N114" s="105">
        <v>0</v>
      </c>
      <c r="O114" s="105">
        <v>0</v>
      </c>
      <c r="P114" s="92">
        <f t="shared" si="4"/>
        <v>0</v>
      </c>
      <c r="Q114" s="92">
        <f t="shared" si="5"/>
        <v>0</v>
      </c>
      <c r="R114" s="93">
        <v>0</v>
      </c>
      <c r="S114" s="106">
        <v>0</v>
      </c>
      <c r="T114" s="106">
        <v>0</v>
      </c>
      <c r="U114" s="93">
        <f t="shared" si="6"/>
        <v>0</v>
      </c>
      <c r="V114" s="93">
        <f t="shared" si="7"/>
        <v>0</v>
      </c>
      <c r="W114" s="94">
        <v>0</v>
      </c>
      <c r="X114" s="107">
        <v>0</v>
      </c>
      <c r="Y114" s="107">
        <v>0</v>
      </c>
      <c r="Z114" s="94">
        <f t="shared" si="8"/>
        <v>0</v>
      </c>
      <c r="AA114" s="94">
        <f t="shared" si="9"/>
        <v>0</v>
      </c>
    </row>
    <row r="115" spans="1:27" ht="14.25" customHeight="1">
      <c r="A115" s="97"/>
      <c r="B115" s="97"/>
      <c r="C115" s="44">
        <v>0</v>
      </c>
      <c r="D115" s="43">
        <v>0</v>
      </c>
      <c r="E115" s="43">
        <v>0</v>
      </c>
      <c r="F115" s="44">
        <f t="shared" si="0"/>
        <v>0</v>
      </c>
      <c r="G115" s="44">
        <f t="shared" si="1"/>
        <v>0</v>
      </c>
      <c r="H115" s="91">
        <v>0</v>
      </c>
      <c r="I115" s="104">
        <v>0</v>
      </c>
      <c r="J115" s="104">
        <v>0</v>
      </c>
      <c r="K115" s="91">
        <f t="shared" si="2"/>
        <v>0</v>
      </c>
      <c r="L115" s="91">
        <f t="shared" si="3"/>
        <v>0</v>
      </c>
      <c r="M115" s="92">
        <v>0</v>
      </c>
      <c r="N115" s="105">
        <v>0</v>
      </c>
      <c r="O115" s="105">
        <v>0</v>
      </c>
      <c r="P115" s="92">
        <f t="shared" si="4"/>
        <v>0</v>
      </c>
      <c r="Q115" s="92">
        <f t="shared" si="5"/>
        <v>0</v>
      </c>
      <c r="R115" s="93">
        <v>0</v>
      </c>
      <c r="S115" s="106">
        <v>0</v>
      </c>
      <c r="T115" s="106">
        <v>0</v>
      </c>
      <c r="U115" s="93">
        <f t="shared" si="6"/>
        <v>0</v>
      </c>
      <c r="V115" s="93">
        <f t="shared" si="7"/>
        <v>0</v>
      </c>
      <c r="W115" s="94">
        <v>0</v>
      </c>
      <c r="X115" s="107">
        <v>0</v>
      </c>
      <c r="Y115" s="107">
        <v>0</v>
      </c>
      <c r="Z115" s="94">
        <f t="shared" si="8"/>
        <v>0</v>
      </c>
      <c r="AA115" s="94">
        <f t="shared" si="9"/>
        <v>0</v>
      </c>
    </row>
    <row r="116" spans="1:27" ht="14.25" customHeight="1">
      <c r="A116" s="97"/>
      <c r="B116" s="97"/>
      <c r="C116" s="44"/>
      <c r="D116" s="43"/>
      <c r="E116" s="43"/>
      <c r="F116" s="44">
        <f t="shared" si="0"/>
        <v>0</v>
      </c>
      <c r="G116" s="44">
        <f t="shared" si="1"/>
        <v>0</v>
      </c>
      <c r="H116" s="96"/>
      <c r="I116" s="97"/>
      <c r="J116" s="97"/>
      <c r="K116" s="96">
        <f t="shared" si="2"/>
        <v>0</v>
      </c>
      <c r="L116" s="96">
        <f t="shared" si="3"/>
        <v>0</v>
      </c>
      <c r="M116" s="92"/>
      <c r="N116" s="105"/>
      <c r="O116" s="105"/>
      <c r="P116" s="92">
        <f t="shared" si="4"/>
        <v>0</v>
      </c>
      <c r="Q116" s="92">
        <f t="shared" si="5"/>
        <v>0</v>
      </c>
      <c r="R116" s="93"/>
      <c r="S116" s="106"/>
      <c r="T116" s="106"/>
      <c r="U116" s="93">
        <f t="shared" si="6"/>
        <v>0</v>
      </c>
      <c r="V116" s="93">
        <f t="shared" si="7"/>
        <v>0</v>
      </c>
      <c r="W116" s="94"/>
      <c r="X116" s="107"/>
      <c r="Y116" s="107"/>
      <c r="Z116" s="94">
        <f t="shared" si="8"/>
        <v>0</v>
      </c>
      <c r="AA116" s="94">
        <f t="shared" si="9"/>
        <v>0</v>
      </c>
    </row>
    <row r="117" spans="1:27" ht="14.25" customHeight="1">
      <c r="A117" s="97"/>
      <c r="B117" s="97"/>
      <c r="C117" s="44"/>
      <c r="D117" s="43"/>
      <c r="E117" s="43"/>
      <c r="F117" s="44">
        <f t="shared" si="0"/>
        <v>0</v>
      </c>
      <c r="G117" s="44">
        <f t="shared" si="1"/>
        <v>0</v>
      </c>
      <c r="H117" s="96"/>
      <c r="I117" s="97"/>
      <c r="J117" s="97"/>
      <c r="K117" s="96">
        <f t="shared" si="2"/>
        <v>0</v>
      </c>
      <c r="L117" s="96">
        <f t="shared" si="3"/>
        <v>0</v>
      </c>
      <c r="M117" s="92"/>
      <c r="N117" s="105"/>
      <c r="O117" s="105"/>
      <c r="P117" s="92">
        <f t="shared" si="4"/>
        <v>0</v>
      </c>
      <c r="Q117" s="92">
        <f t="shared" si="5"/>
        <v>0</v>
      </c>
      <c r="R117" s="93"/>
      <c r="S117" s="106"/>
      <c r="T117" s="106"/>
      <c r="U117" s="93">
        <f t="shared" si="6"/>
        <v>0</v>
      </c>
      <c r="V117" s="93">
        <f t="shared" si="7"/>
        <v>0</v>
      </c>
      <c r="W117" s="94"/>
      <c r="X117" s="107"/>
      <c r="Y117" s="107"/>
      <c r="Z117" s="94">
        <f t="shared" si="8"/>
        <v>0</v>
      </c>
      <c r="AA117" s="94">
        <f t="shared" si="9"/>
        <v>0</v>
      </c>
    </row>
    <row r="118" spans="1:27" ht="14.25" customHeight="1">
      <c r="A118" s="97"/>
      <c r="B118" s="97"/>
      <c r="C118" s="43"/>
      <c r="D118" s="43"/>
      <c r="E118" s="43"/>
      <c r="F118" s="43"/>
      <c r="G118" s="43"/>
      <c r="H118" s="108"/>
      <c r="I118" s="108"/>
      <c r="J118" s="108"/>
      <c r="K118" s="108"/>
      <c r="L118" s="108"/>
      <c r="M118" s="105"/>
      <c r="N118" s="105"/>
      <c r="O118" s="105"/>
      <c r="P118" s="105"/>
      <c r="Q118" s="105"/>
      <c r="R118" s="106"/>
      <c r="S118" s="106"/>
      <c r="T118" s="106"/>
      <c r="U118" s="106"/>
      <c r="V118" s="106"/>
      <c r="W118" s="107"/>
      <c r="X118" s="107"/>
      <c r="Y118" s="107"/>
      <c r="Z118" s="107"/>
      <c r="AA118" s="107"/>
    </row>
    <row r="119" spans="1:27" ht="14.25" customHeight="1">
      <c r="A119" s="97"/>
      <c r="B119" s="97"/>
      <c r="C119" s="44"/>
      <c r="D119" s="160" t="s">
        <v>43</v>
      </c>
      <c r="E119" s="43"/>
      <c r="F119" s="43"/>
      <c r="G119" s="43"/>
      <c r="H119" s="160" t="s">
        <v>43</v>
      </c>
      <c r="I119" s="108"/>
      <c r="J119" s="108"/>
      <c r="K119" s="108"/>
      <c r="L119" s="108"/>
      <c r="M119" s="160" t="s">
        <v>43</v>
      </c>
      <c r="N119" s="105"/>
      <c r="O119" s="105"/>
      <c r="P119" s="105"/>
      <c r="Q119" s="105"/>
      <c r="R119" s="93"/>
      <c r="S119" s="106"/>
      <c r="T119" s="160" t="s">
        <v>43</v>
      </c>
      <c r="U119" s="106"/>
      <c r="V119" s="106"/>
      <c r="W119" s="160" t="s">
        <v>43</v>
      </c>
      <c r="X119" s="107"/>
      <c r="Y119" s="107"/>
      <c r="Z119" s="107"/>
      <c r="AA119" s="107"/>
    </row>
    <row r="120" spans="1:27" ht="14.25" customHeight="1">
      <c r="A120" s="97"/>
      <c r="B120" s="97"/>
      <c r="C120" s="44"/>
      <c r="D120" s="43"/>
      <c r="E120" s="110"/>
      <c r="F120" s="43"/>
      <c r="G120" s="43"/>
      <c r="H120" s="109"/>
      <c r="I120" s="108"/>
      <c r="J120" s="111"/>
      <c r="K120" s="108"/>
      <c r="L120" s="108"/>
      <c r="M120" s="92"/>
      <c r="N120" s="105"/>
      <c r="O120" s="112"/>
      <c r="P120" s="105"/>
      <c r="Q120" s="105"/>
      <c r="R120" s="93"/>
      <c r="S120" s="106"/>
      <c r="T120" s="113"/>
      <c r="U120" s="106"/>
      <c r="V120" s="106"/>
      <c r="W120" s="94"/>
      <c r="X120" s="107"/>
      <c r="Y120" s="114"/>
      <c r="Z120" s="107"/>
      <c r="AA120" s="107"/>
    </row>
    <row r="121" spans="1:27" ht="14.25" customHeight="1">
      <c r="A121" s="97"/>
      <c r="B121" s="97"/>
      <c r="C121" s="44"/>
      <c r="D121" s="43"/>
      <c r="E121" s="43"/>
      <c r="F121" s="43"/>
      <c r="G121" s="43"/>
      <c r="H121" s="109"/>
      <c r="I121" s="108"/>
      <c r="J121" s="108"/>
      <c r="K121" s="108"/>
      <c r="L121" s="108"/>
      <c r="M121" s="92"/>
      <c r="N121" s="105"/>
      <c r="O121" s="105"/>
      <c r="P121" s="105"/>
      <c r="Q121" s="105"/>
      <c r="R121" s="93"/>
      <c r="S121" s="106"/>
      <c r="T121" s="106"/>
      <c r="U121" s="106"/>
      <c r="V121" s="106"/>
      <c r="W121" s="94"/>
      <c r="X121" s="107"/>
      <c r="Y121" s="107"/>
      <c r="Z121" s="107"/>
      <c r="AA121" s="107"/>
    </row>
    <row r="122" spans="1:27" ht="14.25" customHeight="1">
      <c r="A122" s="97"/>
      <c r="B122" s="97"/>
      <c r="C122" s="96"/>
      <c r="D122" s="97"/>
      <c r="E122" s="97"/>
      <c r="F122" s="97"/>
      <c r="G122" s="97"/>
      <c r="M122" s="115"/>
      <c r="N122" s="115"/>
      <c r="O122" s="115"/>
      <c r="P122" s="115"/>
      <c r="Q122" s="115"/>
      <c r="R122" s="116"/>
      <c r="S122" s="116"/>
      <c r="T122" s="116"/>
      <c r="U122" s="116"/>
      <c r="V122" s="116"/>
      <c r="W122" s="117"/>
      <c r="X122" s="117"/>
      <c r="Y122" s="117"/>
      <c r="Z122" s="117"/>
      <c r="AA122" s="117"/>
    </row>
    <row r="123" spans="1:27" ht="14.25" customHeight="1">
      <c r="A123" s="97"/>
      <c r="B123" s="97"/>
      <c r="C123" s="96"/>
      <c r="D123" s="97"/>
      <c r="E123" s="97"/>
      <c r="F123" s="97"/>
      <c r="G123" s="97"/>
      <c r="M123" s="115"/>
      <c r="N123" s="115"/>
      <c r="O123" s="115"/>
      <c r="P123" s="115"/>
      <c r="Q123" s="115"/>
      <c r="W123" s="117"/>
      <c r="X123" s="117"/>
      <c r="Y123" s="117"/>
      <c r="Z123" s="117"/>
      <c r="AA123" s="117"/>
    </row>
    <row r="124" spans="1:27" ht="14.25" customHeight="1">
      <c r="A124" s="97"/>
      <c r="B124" s="97"/>
      <c r="C124" s="96"/>
      <c r="D124" s="97"/>
      <c r="E124" s="97"/>
      <c r="F124" s="97"/>
      <c r="G124" s="97"/>
      <c r="M124" s="115"/>
      <c r="N124" s="115"/>
      <c r="O124" s="115"/>
      <c r="P124" s="115"/>
      <c r="Q124" s="115"/>
      <c r="W124" s="117"/>
      <c r="X124" s="117"/>
      <c r="Y124" s="117"/>
      <c r="Z124" s="117"/>
      <c r="AA124" s="117"/>
    </row>
    <row r="125" spans="1:27" ht="14.25" customHeight="1">
      <c r="A125" s="97"/>
      <c r="B125" s="97"/>
      <c r="C125" s="96"/>
      <c r="D125" s="97"/>
      <c r="E125" s="97"/>
      <c r="F125" s="97"/>
      <c r="G125" s="97"/>
    </row>
    <row r="126" spans="1:27" ht="14.25" customHeight="1">
      <c r="A126" s="97"/>
      <c r="B126" s="97"/>
      <c r="C126" s="96"/>
      <c r="D126" s="97"/>
      <c r="E126" s="97"/>
      <c r="F126" s="97"/>
      <c r="G126" s="97"/>
    </row>
    <row r="127" spans="1:27" ht="14.25" customHeight="1">
      <c r="A127" s="97"/>
      <c r="B127" s="97"/>
      <c r="C127" s="96"/>
      <c r="D127" s="97"/>
      <c r="E127" s="97"/>
      <c r="F127" s="97"/>
      <c r="G127" s="97"/>
    </row>
    <row r="128" spans="1:27" ht="14.25" customHeight="1">
      <c r="A128" s="97"/>
      <c r="B128" s="97"/>
      <c r="C128" s="96"/>
      <c r="D128" s="97"/>
      <c r="E128" s="97"/>
      <c r="F128" s="97"/>
      <c r="G128" s="97"/>
    </row>
    <row r="129" spans="1:7" ht="14.25" customHeight="1">
      <c r="A129" s="97"/>
      <c r="B129" s="97"/>
      <c r="C129" s="96"/>
      <c r="D129" s="97"/>
      <c r="E129" s="97"/>
      <c r="F129" s="97"/>
      <c r="G129" s="97"/>
    </row>
    <row r="130" spans="1:7" ht="14.25" customHeight="1">
      <c r="A130" s="97"/>
      <c r="B130" s="97"/>
      <c r="C130" s="96"/>
      <c r="D130" s="97"/>
      <c r="E130" s="97"/>
      <c r="F130" s="97"/>
      <c r="G130" s="97"/>
    </row>
    <row r="131" spans="1:7" ht="14.25" customHeight="1">
      <c r="A131" s="97"/>
      <c r="B131" s="97"/>
      <c r="C131" s="96"/>
      <c r="D131" s="97"/>
      <c r="E131" s="97"/>
      <c r="F131" s="97"/>
      <c r="G131" s="97"/>
    </row>
    <row r="132" spans="1:7" ht="14.25" customHeight="1">
      <c r="A132" s="97"/>
      <c r="B132" s="97"/>
      <c r="C132" s="96"/>
      <c r="D132" s="97"/>
      <c r="E132" s="97"/>
      <c r="F132" s="97"/>
      <c r="G132" s="97"/>
    </row>
    <row r="133" spans="1:7" ht="14.25" customHeight="1">
      <c r="A133" s="97"/>
      <c r="B133" s="97"/>
      <c r="C133" s="96"/>
      <c r="D133" s="97"/>
      <c r="E133" s="97"/>
      <c r="F133" s="97"/>
      <c r="G133" s="97"/>
    </row>
    <row r="134" spans="1:7" ht="14.25" customHeight="1">
      <c r="A134" s="97"/>
      <c r="B134" s="97"/>
      <c r="C134" s="96"/>
      <c r="D134" s="97"/>
      <c r="E134" s="97"/>
      <c r="F134" s="97"/>
      <c r="G134" s="97"/>
    </row>
    <row r="135" spans="1:7" ht="14.25" customHeight="1">
      <c r="A135" s="97"/>
      <c r="B135" s="97"/>
      <c r="C135" s="96"/>
      <c r="D135" s="97"/>
      <c r="E135" s="97"/>
      <c r="F135" s="97"/>
      <c r="G135" s="97"/>
    </row>
    <row r="136" spans="1:7" ht="14.25" customHeight="1">
      <c r="A136" s="97"/>
      <c r="B136" s="97"/>
      <c r="C136" s="96"/>
      <c r="D136" s="97"/>
      <c r="E136" s="97"/>
      <c r="F136" s="97"/>
      <c r="G136" s="97"/>
    </row>
    <row r="137" spans="1:7" ht="14.25" customHeight="1">
      <c r="A137" s="97"/>
      <c r="B137" s="97"/>
      <c r="C137" s="96"/>
      <c r="D137" s="97"/>
      <c r="E137" s="97"/>
      <c r="F137" s="97"/>
      <c r="G137" s="97"/>
    </row>
    <row r="138" spans="1:7" ht="14.25" customHeight="1">
      <c r="A138" s="97"/>
      <c r="B138" s="97"/>
      <c r="C138" s="96"/>
      <c r="D138" s="97"/>
      <c r="E138" s="97"/>
      <c r="F138" s="97"/>
      <c r="G138" s="97"/>
    </row>
    <row r="139" spans="1:7" ht="14.25" customHeight="1">
      <c r="A139" s="97"/>
      <c r="B139" s="97"/>
      <c r="C139" s="96"/>
      <c r="D139" s="97"/>
      <c r="E139" s="97"/>
      <c r="F139" s="97"/>
      <c r="G139" s="97"/>
    </row>
    <row r="140" spans="1:7" ht="14.25" customHeight="1">
      <c r="A140" s="97"/>
      <c r="B140" s="97"/>
      <c r="C140" s="96"/>
      <c r="D140" s="97"/>
      <c r="E140" s="97"/>
      <c r="F140" s="97"/>
      <c r="G140" s="97"/>
    </row>
    <row r="141" spans="1:7" ht="14.25" customHeight="1">
      <c r="A141" s="97"/>
      <c r="B141" s="97"/>
      <c r="C141" s="96"/>
      <c r="D141" s="97"/>
      <c r="E141" s="97"/>
      <c r="F141" s="97"/>
      <c r="G141" s="97"/>
    </row>
    <row r="142" spans="1:7" ht="14.25" customHeight="1">
      <c r="A142" s="97"/>
      <c r="B142" s="97"/>
      <c r="C142" s="96"/>
      <c r="D142" s="97"/>
      <c r="E142" s="97"/>
      <c r="F142" s="97"/>
      <c r="G142" s="97"/>
    </row>
    <row r="143" spans="1:7" ht="14.25" customHeight="1">
      <c r="A143" s="97"/>
      <c r="B143" s="97"/>
      <c r="C143" s="96"/>
      <c r="D143" s="97"/>
      <c r="E143" s="97"/>
      <c r="F143" s="97"/>
      <c r="G143" s="97"/>
    </row>
    <row r="144" spans="1:7" ht="14.25" customHeight="1">
      <c r="A144" s="97"/>
      <c r="B144" s="97"/>
      <c r="C144" s="96"/>
      <c r="D144" s="97"/>
      <c r="E144" s="97"/>
      <c r="F144" s="97"/>
      <c r="G144" s="97"/>
    </row>
    <row r="145" spans="1:7" ht="14.25" customHeight="1">
      <c r="A145" s="97"/>
      <c r="B145" s="97"/>
      <c r="C145" s="96"/>
      <c r="D145" s="97"/>
      <c r="E145" s="97"/>
      <c r="F145" s="97"/>
      <c r="G145" s="97"/>
    </row>
    <row r="146" spans="1:7" ht="14.25" customHeight="1">
      <c r="A146" s="97"/>
      <c r="B146" s="97"/>
      <c r="C146" s="96"/>
      <c r="D146" s="97"/>
      <c r="E146" s="97"/>
      <c r="F146" s="97"/>
      <c r="G146" s="97"/>
    </row>
    <row r="147" spans="1:7" ht="14.25" customHeight="1">
      <c r="A147" s="97"/>
      <c r="B147" s="97"/>
      <c r="C147" s="96"/>
      <c r="D147" s="97"/>
      <c r="E147" s="97"/>
      <c r="F147" s="97"/>
      <c r="G147" s="97"/>
    </row>
    <row r="148" spans="1:7" ht="14.25" customHeight="1">
      <c r="A148" s="97"/>
      <c r="B148" s="97"/>
      <c r="C148" s="96"/>
      <c r="D148" s="97"/>
      <c r="E148" s="97"/>
      <c r="F148" s="97"/>
      <c r="G148" s="97"/>
    </row>
    <row r="149" spans="1:7" ht="14.25" customHeight="1">
      <c r="A149" s="97"/>
      <c r="B149" s="97"/>
      <c r="C149" s="96"/>
      <c r="D149" s="97"/>
      <c r="E149" s="97"/>
      <c r="F149" s="97"/>
      <c r="G149" s="97"/>
    </row>
    <row r="150" spans="1:7" ht="14.25" customHeight="1">
      <c r="A150" s="97"/>
      <c r="B150" s="97"/>
      <c r="C150" s="96"/>
      <c r="D150" s="97"/>
      <c r="E150" s="97"/>
      <c r="F150" s="97"/>
      <c r="G150" s="97"/>
    </row>
    <row r="151" spans="1:7" ht="14.25" customHeight="1">
      <c r="A151" s="97"/>
      <c r="B151" s="97"/>
      <c r="C151" s="96"/>
      <c r="D151" s="97"/>
      <c r="E151" s="97"/>
      <c r="F151" s="97"/>
      <c r="G151" s="97"/>
    </row>
    <row r="152" spans="1:7" ht="14.25" customHeight="1">
      <c r="A152" s="97"/>
      <c r="B152" s="97"/>
      <c r="C152" s="96"/>
      <c r="D152" s="97"/>
      <c r="E152" s="97"/>
      <c r="F152" s="97"/>
      <c r="G152" s="97"/>
    </row>
    <row r="153" spans="1:7" ht="14.25" customHeight="1">
      <c r="A153" s="97"/>
      <c r="B153" s="97"/>
      <c r="C153" s="96"/>
      <c r="D153" s="97"/>
      <c r="E153" s="97"/>
      <c r="F153" s="97"/>
      <c r="G153" s="97"/>
    </row>
    <row r="154" spans="1:7" ht="14.25" customHeight="1">
      <c r="A154" s="97"/>
      <c r="B154" s="97"/>
      <c r="C154" s="96"/>
      <c r="D154" s="97"/>
      <c r="E154" s="97"/>
      <c r="F154" s="97"/>
      <c r="G154" s="97"/>
    </row>
    <row r="155" spans="1:7" ht="14.25" customHeight="1">
      <c r="A155" s="97"/>
      <c r="B155" s="97"/>
      <c r="C155" s="96"/>
      <c r="D155" s="97"/>
      <c r="E155" s="97"/>
      <c r="F155" s="97"/>
      <c r="G155" s="97"/>
    </row>
    <row r="156" spans="1:7" ht="14.25" customHeight="1">
      <c r="A156" s="97"/>
      <c r="B156" s="97"/>
      <c r="C156" s="96"/>
      <c r="D156" s="97"/>
      <c r="E156" s="97"/>
      <c r="F156" s="97"/>
      <c r="G156" s="97"/>
    </row>
    <row r="157" spans="1:7" ht="14.25" customHeight="1">
      <c r="A157" s="97"/>
      <c r="B157" s="97"/>
      <c r="C157" s="96"/>
      <c r="D157" s="97"/>
      <c r="E157" s="97"/>
      <c r="F157" s="97"/>
      <c r="G157" s="97"/>
    </row>
    <row r="158" spans="1:7" ht="14.25" customHeight="1">
      <c r="A158" s="97"/>
      <c r="B158" s="97"/>
      <c r="C158" s="96"/>
      <c r="D158" s="97"/>
      <c r="E158" s="97"/>
      <c r="F158" s="97"/>
      <c r="G158" s="97"/>
    </row>
    <row r="159" spans="1:7" ht="14.25" customHeight="1">
      <c r="A159" s="97"/>
      <c r="B159" s="97"/>
      <c r="C159" s="96"/>
      <c r="D159" s="97"/>
      <c r="E159" s="97"/>
      <c r="F159" s="97"/>
      <c r="G159" s="97"/>
    </row>
    <row r="160" spans="1:7" ht="14.25" customHeight="1">
      <c r="A160" s="97"/>
      <c r="B160" s="97"/>
      <c r="C160" s="96"/>
      <c r="D160" s="97"/>
      <c r="E160" s="97"/>
      <c r="F160" s="97"/>
      <c r="G160" s="97"/>
    </row>
    <row r="161" spans="1:7" ht="14.25" customHeight="1">
      <c r="A161" s="97"/>
      <c r="B161" s="97"/>
      <c r="C161" s="96"/>
      <c r="D161" s="97"/>
      <c r="E161" s="97"/>
      <c r="F161" s="97"/>
      <c r="G161" s="97"/>
    </row>
    <row r="162" spans="1:7" ht="14.25" customHeight="1">
      <c r="A162" s="97"/>
      <c r="B162" s="97"/>
      <c r="C162" s="96"/>
      <c r="D162" s="97"/>
      <c r="E162" s="97"/>
      <c r="F162" s="97"/>
      <c r="G162" s="97"/>
    </row>
    <row r="163" spans="1:7" ht="14.25" customHeight="1">
      <c r="A163" s="97"/>
      <c r="B163" s="97"/>
      <c r="C163" s="96"/>
      <c r="D163" s="97"/>
      <c r="E163" s="97"/>
      <c r="F163" s="97"/>
      <c r="G163" s="97"/>
    </row>
    <row r="164" spans="1:7" ht="14.25" customHeight="1">
      <c r="A164" s="97"/>
      <c r="B164" s="97"/>
      <c r="C164" s="96"/>
      <c r="D164" s="97"/>
      <c r="E164" s="97"/>
      <c r="F164" s="97"/>
      <c r="G164" s="97"/>
    </row>
    <row r="165" spans="1:7" ht="14.25" customHeight="1">
      <c r="A165" s="97"/>
      <c r="B165" s="97"/>
      <c r="C165" s="96"/>
      <c r="D165" s="97"/>
      <c r="E165" s="97"/>
      <c r="F165" s="97"/>
      <c r="G165" s="97"/>
    </row>
    <row r="166" spans="1:7" ht="14.25" customHeight="1">
      <c r="A166" s="97"/>
      <c r="B166" s="97"/>
      <c r="C166" s="96"/>
      <c r="D166" s="97"/>
      <c r="E166" s="97"/>
      <c r="F166" s="97"/>
      <c r="G166" s="97"/>
    </row>
    <row r="167" spans="1:7" ht="14.25" customHeight="1">
      <c r="A167" s="97"/>
      <c r="B167" s="97"/>
      <c r="C167" s="96"/>
      <c r="D167" s="97"/>
      <c r="E167" s="97"/>
      <c r="F167" s="97"/>
      <c r="G167" s="97"/>
    </row>
    <row r="168" spans="1:7" ht="14.25" customHeight="1">
      <c r="A168" s="97"/>
      <c r="B168" s="97"/>
      <c r="C168" s="96"/>
      <c r="D168" s="97"/>
      <c r="E168" s="97"/>
      <c r="F168" s="97"/>
      <c r="G168" s="97"/>
    </row>
    <row r="169" spans="1:7" ht="14.25" customHeight="1">
      <c r="A169" s="97"/>
      <c r="B169" s="97"/>
      <c r="C169" s="96"/>
      <c r="D169" s="97"/>
      <c r="E169" s="97"/>
      <c r="F169" s="97"/>
      <c r="G169" s="97"/>
    </row>
    <row r="170" spans="1:7" ht="14.25" customHeight="1">
      <c r="A170" s="97"/>
      <c r="B170" s="97"/>
      <c r="C170" s="96"/>
      <c r="D170" s="97"/>
      <c r="E170" s="97"/>
      <c r="F170" s="97"/>
      <c r="G170" s="97"/>
    </row>
    <row r="171" spans="1:7" ht="14.25" customHeight="1">
      <c r="A171" s="97"/>
      <c r="B171" s="97"/>
      <c r="C171" s="96"/>
      <c r="D171" s="97"/>
      <c r="E171" s="97"/>
      <c r="F171" s="97"/>
      <c r="G171" s="97"/>
    </row>
    <row r="172" spans="1:7" ht="14.25" customHeight="1">
      <c r="A172" s="97"/>
      <c r="B172" s="97"/>
      <c r="C172" s="96"/>
      <c r="D172" s="97"/>
      <c r="E172" s="97"/>
      <c r="F172" s="97"/>
      <c r="G172" s="97"/>
    </row>
    <row r="173" spans="1:7" ht="14.25" customHeight="1">
      <c r="A173" s="97"/>
      <c r="B173" s="97"/>
      <c r="C173" s="96"/>
      <c r="D173" s="97"/>
      <c r="E173" s="97"/>
      <c r="F173" s="97"/>
      <c r="G173" s="97"/>
    </row>
    <row r="174" spans="1:7" ht="14.25" customHeight="1">
      <c r="A174" s="97"/>
      <c r="B174" s="97"/>
      <c r="C174" s="96"/>
      <c r="D174" s="97"/>
      <c r="E174" s="97"/>
      <c r="F174" s="97"/>
      <c r="G174" s="97"/>
    </row>
    <row r="175" spans="1:7" ht="14.25" customHeight="1">
      <c r="A175" s="97"/>
      <c r="B175" s="97"/>
      <c r="C175" s="96"/>
      <c r="D175" s="97"/>
      <c r="E175" s="97"/>
      <c r="F175" s="97"/>
      <c r="G175" s="97"/>
    </row>
    <row r="176" spans="1:7" ht="14.25" customHeight="1">
      <c r="A176" s="97"/>
      <c r="B176" s="97"/>
      <c r="C176" s="96"/>
      <c r="D176" s="97"/>
      <c r="E176" s="97"/>
      <c r="F176" s="97"/>
      <c r="G176" s="97"/>
    </row>
    <row r="177" spans="1:7" ht="14.25" customHeight="1">
      <c r="A177" s="97"/>
      <c r="B177" s="97"/>
      <c r="C177" s="96"/>
      <c r="D177" s="97"/>
      <c r="E177" s="97"/>
      <c r="F177" s="97"/>
      <c r="G177" s="97"/>
    </row>
    <row r="178" spans="1:7" ht="14.25" customHeight="1">
      <c r="A178" s="97"/>
      <c r="B178" s="97"/>
      <c r="C178" s="96"/>
      <c r="D178" s="97"/>
      <c r="E178" s="97"/>
      <c r="F178" s="97"/>
      <c r="G178" s="97"/>
    </row>
    <row r="179" spans="1:7" ht="14.25" customHeight="1">
      <c r="A179" s="97"/>
      <c r="B179" s="97"/>
      <c r="C179" s="96"/>
      <c r="D179" s="97"/>
      <c r="E179" s="97"/>
      <c r="F179" s="97"/>
      <c r="G179" s="97"/>
    </row>
    <row r="180" spans="1:7" ht="14.25" customHeight="1">
      <c r="A180" s="97"/>
      <c r="B180" s="97"/>
      <c r="C180" s="96"/>
      <c r="D180" s="97"/>
      <c r="E180" s="97"/>
      <c r="F180" s="97"/>
      <c r="G180" s="97"/>
    </row>
    <row r="181" spans="1:7" ht="14.25" customHeight="1">
      <c r="A181" s="97"/>
      <c r="B181" s="97"/>
      <c r="C181" s="96"/>
      <c r="D181" s="97"/>
      <c r="E181" s="97"/>
      <c r="F181" s="97"/>
      <c r="G181" s="97"/>
    </row>
    <row r="182" spans="1:7" ht="14.25" customHeight="1">
      <c r="A182" s="97"/>
      <c r="B182" s="97"/>
      <c r="C182" s="96"/>
      <c r="D182" s="97"/>
      <c r="E182" s="97"/>
      <c r="F182" s="97"/>
      <c r="G182" s="97"/>
    </row>
    <row r="183" spans="1:7" ht="14.25" customHeight="1">
      <c r="A183" s="97"/>
      <c r="B183" s="97"/>
      <c r="C183" s="96"/>
      <c r="D183" s="97"/>
      <c r="E183" s="97"/>
      <c r="F183" s="97"/>
      <c r="G183" s="97"/>
    </row>
    <row r="184" spans="1:7" ht="14.25" customHeight="1">
      <c r="A184" s="97"/>
      <c r="B184" s="97"/>
      <c r="C184" s="96"/>
      <c r="D184" s="97"/>
      <c r="E184" s="97"/>
      <c r="F184" s="97"/>
      <c r="G184" s="97"/>
    </row>
    <row r="185" spans="1:7" ht="14.25" customHeight="1">
      <c r="A185" s="97"/>
      <c r="B185" s="97"/>
      <c r="C185" s="96"/>
      <c r="D185" s="97"/>
      <c r="E185" s="97"/>
      <c r="F185" s="97"/>
      <c r="G185" s="97"/>
    </row>
    <row r="186" spans="1:7" ht="14.25" customHeight="1">
      <c r="A186" s="97"/>
      <c r="B186" s="97"/>
      <c r="C186" s="96"/>
      <c r="D186" s="97"/>
      <c r="E186" s="97"/>
      <c r="F186" s="97"/>
      <c r="G186" s="97"/>
    </row>
    <row r="187" spans="1:7" ht="14.25" customHeight="1">
      <c r="A187" s="97"/>
      <c r="B187" s="97"/>
      <c r="C187" s="96"/>
      <c r="D187" s="97"/>
      <c r="E187" s="97"/>
      <c r="F187" s="97"/>
      <c r="G187" s="97"/>
    </row>
    <row r="188" spans="1:7" ht="14.25" customHeight="1">
      <c r="A188" s="97"/>
      <c r="B188" s="97"/>
      <c r="C188" s="96"/>
      <c r="D188" s="97"/>
      <c r="E188" s="97"/>
      <c r="F188" s="97"/>
      <c r="G188" s="97"/>
    </row>
    <row r="189" spans="1:7" ht="14.25" customHeight="1">
      <c r="A189" s="97"/>
      <c r="B189" s="97"/>
      <c r="C189" s="96"/>
      <c r="D189" s="97"/>
      <c r="E189" s="97"/>
      <c r="F189" s="97"/>
      <c r="G189" s="97"/>
    </row>
    <row r="190" spans="1:7" ht="14.25" customHeight="1">
      <c r="A190" s="97"/>
      <c r="B190" s="97"/>
      <c r="C190" s="96"/>
      <c r="D190" s="97"/>
      <c r="E190" s="97"/>
      <c r="F190" s="97"/>
      <c r="G190" s="97"/>
    </row>
    <row r="191" spans="1:7" ht="14.25" customHeight="1">
      <c r="A191" s="97"/>
      <c r="B191" s="97"/>
      <c r="C191" s="96"/>
      <c r="D191" s="97"/>
      <c r="E191" s="97"/>
      <c r="F191" s="97"/>
      <c r="G191" s="97"/>
    </row>
    <row r="192" spans="1:7" ht="14.25" customHeight="1">
      <c r="A192" s="97"/>
      <c r="B192" s="97"/>
      <c r="C192" s="96"/>
      <c r="D192" s="97"/>
      <c r="E192" s="97"/>
      <c r="F192" s="97"/>
      <c r="G192" s="97"/>
    </row>
    <row r="193" spans="1:7" ht="14.25" customHeight="1">
      <c r="A193" s="97"/>
      <c r="B193" s="97"/>
      <c r="C193" s="96"/>
      <c r="D193" s="97"/>
      <c r="E193" s="97"/>
      <c r="F193" s="97"/>
      <c r="G193" s="97"/>
    </row>
    <row r="194" spans="1:7" ht="14.25" customHeight="1">
      <c r="A194" s="97"/>
      <c r="B194" s="97"/>
      <c r="C194" s="96"/>
      <c r="D194" s="97"/>
      <c r="E194" s="97"/>
      <c r="F194" s="97"/>
      <c r="G194" s="97"/>
    </row>
    <row r="195" spans="1:7" ht="14.25" customHeight="1">
      <c r="A195" s="97"/>
      <c r="B195" s="97"/>
      <c r="C195" s="96"/>
      <c r="D195" s="97"/>
      <c r="E195" s="97"/>
      <c r="F195" s="97"/>
      <c r="G195" s="97"/>
    </row>
    <row r="196" spans="1:7" ht="14.25" customHeight="1">
      <c r="A196" s="97"/>
      <c r="B196" s="97"/>
      <c r="C196" s="96"/>
      <c r="D196" s="97"/>
      <c r="E196" s="97"/>
      <c r="F196" s="97"/>
      <c r="G196" s="97"/>
    </row>
    <row r="197" spans="1:7" ht="14.25" customHeight="1">
      <c r="A197" s="97"/>
      <c r="B197" s="97"/>
      <c r="C197" s="96"/>
      <c r="D197" s="97"/>
      <c r="E197" s="97"/>
      <c r="F197" s="97"/>
      <c r="G197" s="97"/>
    </row>
    <row r="198" spans="1:7" ht="14.25" customHeight="1">
      <c r="A198" s="97"/>
      <c r="B198" s="97"/>
      <c r="C198" s="96"/>
      <c r="D198" s="97"/>
      <c r="E198" s="97"/>
      <c r="F198" s="97"/>
      <c r="G198" s="97"/>
    </row>
    <row r="199" spans="1:7" ht="14.25" customHeight="1">
      <c r="A199" s="97"/>
      <c r="B199" s="97"/>
      <c r="C199" s="96"/>
      <c r="D199" s="97"/>
      <c r="E199" s="97"/>
      <c r="F199" s="97"/>
      <c r="G199" s="97"/>
    </row>
    <row r="200" spans="1:7" ht="14.25" customHeight="1">
      <c r="A200" s="97"/>
      <c r="B200" s="97"/>
      <c r="C200" s="96"/>
      <c r="D200" s="97"/>
      <c r="E200" s="97"/>
      <c r="F200" s="97"/>
      <c r="G200" s="97"/>
    </row>
    <row r="201" spans="1:7" ht="14.25" customHeight="1">
      <c r="A201" s="97"/>
      <c r="B201" s="97"/>
      <c r="C201" s="96"/>
      <c r="D201" s="97"/>
      <c r="E201" s="97"/>
      <c r="F201" s="97"/>
      <c r="G201" s="97"/>
    </row>
    <row r="202" spans="1:7" ht="14.25" customHeight="1">
      <c r="A202" s="97"/>
      <c r="B202" s="97"/>
      <c r="C202" s="96"/>
      <c r="D202" s="97"/>
      <c r="E202" s="97"/>
      <c r="F202" s="97"/>
      <c r="G202" s="97"/>
    </row>
    <row r="203" spans="1:7" ht="14.25" customHeight="1">
      <c r="A203" s="97"/>
      <c r="B203" s="97"/>
      <c r="C203" s="96"/>
      <c r="D203" s="97"/>
      <c r="E203" s="97"/>
      <c r="F203" s="97"/>
      <c r="G203" s="97"/>
    </row>
    <row r="204" spans="1:7" ht="14.25" customHeight="1">
      <c r="A204" s="97"/>
      <c r="B204" s="97"/>
      <c r="C204" s="96"/>
      <c r="D204" s="97"/>
      <c r="E204" s="97"/>
      <c r="F204" s="97"/>
      <c r="G204" s="97"/>
    </row>
    <row r="205" spans="1:7" ht="14.25" customHeight="1">
      <c r="A205" s="97"/>
      <c r="B205" s="97"/>
      <c r="C205" s="96"/>
      <c r="D205" s="97"/>
      <c r="E205" s="97"/>
      <c r="F205" s="97"/>
      <c r="G205" s="97"/>
    </row>
    <row r="206" spans="1:7" ht="14.25" customHeight="1">
      <c r="A206" s="97"/>
      <c r="B206" s="97"/>
      <c r="C206" s="96"/>
      <c r="D206" s="97"/>
      <c r="E206" s="97"/>
      <c r="F206" s="97"/>
      <c r="G206" s="97"/>
    </row>
    <row r="207" spans="1:7" ht="14.25" customHeight="1">
      <c r="A207" s="97"/>
      <c r="B207" s="97"/>
      <c r="C207" s="96"/>
      <c r="D207" s="97"/>
      <c r="E207" s="97"/>
      <c r="F207" s="97"/>
      <c r="G207" s="97"/>
    </row>
    <row r="208" spans="1:7" ht="14.25" customHeight="1">
      <c r="A208" s="97"/>
      <c r="B208" s="97"/>
      <c r="C208" s="96"/>
      <c r="D208" s="97"/>
      <c r="E208" s="97"/>
      <c r="F208" s="97"/>
      <c r="G208" s="97"/>
    </row>
    <row r="209" spans="1:7" ht="14.25" customHeight="1">
      <c r="A209" s="97"/>
      <c r="B209" s="97"/>
      <c r="C209" s="96"/>
      <c r="D209" s="97"/>
      <c r="E209" s="97"/>
      <c r="F209" s="97"/>
      <c r="G209" s="97"/>
    </row>
    <row r="210" spans="1:7" ht="14.25" customHeight="1">
      <c r="A210" s="97"/>
      <c r="B210" s="97"/>
      <c r="C210" s="96"/>
      <c r="D210" s="97"/>
      <c r="E210" s="97"/>
      <c r="F210" s="97"/>
      <c r="G210" s="97"/>
    </row>
    <row r="211" spans="1:7" ht="14.25" customHeight="1">
      <c r="A211" s="97"/>
      <c r="B211" s="97"/>
      <c r="C211" s="96"/>
      <c r="D211" s="97"/>
      <c r="E211" s="97"/>
      <c r="F211" s="97"/>
      <c r="G211" s="97"/>
    </row>
    <row r="212" spans="1:7" ht="14.25" customHeight="1">
      <c r="A212" s="97"/>
      <c r="B212" s="97"/>
      <c r="C212" s="96"/>
      <c r="D212" s="97"/>
      <c r="E212" s="97"/>
      <c r="F212" s="97"/>
      <c r="G212" s="97"/>
    </row>
    <row r="213" spans="1:7" ht="14.25" customHeight="1">
      <c r="A213" s="97"/>
      <c r="B213" s="97"/>
      <c r="C213" s="96"/>
      <c r="D213" s="97"/>
      <c r="E213" s="97"/>
      <c r="F213" s="97"/>
      <c r="G213" s="97"/>
    </row>
    <row r="214" spans="1:7" ht="14.25" customHeight="1">
      <c r="A214" s="97"/>
      <c r="B214" s="97"/>
      <c r="C214" s="96"/>
      <c r="D214" s="97"/>
      <c r="E214" s="97"/>
      <c r="F214" s="97"/>
      <c r="G214" s="97"/>
    </row>
    <row r="215" spans="1:7" ht="14.25" customHeight="1">
      <c r="A215" s="97"/>
      <c r="B215" s="97"/>
      <c r="C215" s="96"/>
      <c r="D215" s="97"/>
      <c r="E215" s="97"/>
      <c r="F215" s="97"/>
      <c r="G215" s="97"/>
    </row>
    <row r="216" spans="1:7" ht="14.25" customHeight="1">
      <c r="A216" s="97"/>
      <c r="B216" s="97"/>
      <c r="C216" s="96"/>
      <c r="D216" s="97"/>
      <c r="E216" s="97"/>
      <c r="F216" s="97"/>
      <c r="G216" s="97"/>
    </row>
    <row r="217" spans="1:7" ht="14.25" customHeight="1">
      <c r="A217" s="97"/>
      <c r="B217" s="97"/>
      <c r="C217" s="96"/>
      <c r="D217" s="97"/>
      <c r="E217" s="97"/>
      <c r="F217" s="97"/>
      <c r="G217" s="97"/>
    </row>
    <row r="218" spans="1:7" ht="14.25" customHeight="1">
      <c r="A218" s="97"/>
      <c r="B218" s="97"/>
      <c r="C218" s="96"/>
      <c r="D218" s="97"/>
      <c r="E218" s="97"/>
      <c r="F218" s="97"/>
      <c r="G218" s="97"/>
    </row>
    <row r="219" spans="1:7" ht="14.25" customHeight="1">
      <c r="A219" s="97"/>
      <c r="B219" s="97"/>
      <c r="C219" s="96"/>
      <c r="D219" s="97"/>
      <c r="E219" s="97"/>
      <c r="F219" s="97"/>
      <c r="G219" s="97"/>
    </row>
    <row r="220" spans="1:7" ht="14.25" customHeight="1">
      <c r="A220" s="97"/>
      <c r="B220" s="97"/>
      <c r="C220" s="96"/>
      <c r="D220" s="97"/>
      <c r="E220" s="97"/>
      <c r="F220" s="97"/>
      <c r="G220" s="97"/>
    </row>
    <row r="221" spans="1:7" ht="14.25" customHeight="1">
      <c r="A221" s="97"/>
      <c r="B221" s="97"/>
      <c r="C221" s="96"/>
      <c r="D221" s="97"/>
      <c r="E221" s="97"/>
      <c r="F221" s="97"/>
      <c r="G221" s="97"/>
    </row>
    <row r="222" spans="1:7" ht="14.25" customHeight="1">
      <c r="A222" s="97"/>
      <c r="B222" s="97"/>
      <c r="C222" s="96"/>
      <c r="D222" s="97"/>
      <c r="E222" s="97"/>
      <c r="F222" s="97"/>
      <c r="G222" s="97"/>
    </row>
    <row r="223" spans="1:7" ht="14.25" customHeight="1">
      <c r="A223" s="97"/>
      <c r="B223" s="97"/>
      <c r="C223" s="96"/>
      <c r="D223" s="97"/>
      <c r="E223" s="97"/>
      <c r="F223" s="97"/>
      <c r="G223" s="97"/>
    </row>
    <row r="224" spans="1:7" ht="14.25" customHeight="1">
      <c r="A224" s="97"/>
      <c r="B224" s="97"/>
      <c r="C224" s="96"/>
      <c r="D224" s="97"/>
      <c r="E224" s="97"/>
      <c r="F224" s="97"/>
      <c r="G224" s="97"/>
    </row>
    <row r="225" spans="1:7" ht="14.25" customHeight="1">
      <c r="A225" s="97"/>
      <c r="B225" s="97"/>
      <c r="C225" s="96"/>
      <c r="D225" s="97"/>
      <c r="E225" s="97"/>
      <c r="F225" s="97"/>
      <c r="G225" s="97"/>
    </row>
    <row r="226" spans="1:7" ht="14.25" customHeight="1">
      <c r="A226" s="97"/>
      <c r="B226" s="97"/>
      <c r="C226" s="96"/>
      <c r="D226" s="97"/>
      <c r="E226" s="97"/>
      <c r="F226" s="97"/>
      <c r="G226" s="97"/>
    </row>
    <row r="227" spans="1:7" ht="14.25" customHeight="1">
      <c r="A227" s="97"/>
      <c r="B227" s="97"/>
      <c r="C227" s="96"/>
      <c r="D227" s="97"/>
      <c r="E227" s="97"/>
      <c r="F227" s="97"/>
      <c r="G227" s="97"/>
    </row>
    <row r="228" spans="1:7" ht="14.25" customHeight="1">
      <c r="A228" s="97"/>
      <c r="B228" s="97"/>
      <c r="C228" s="96"/>
      <c r="D228" s="97"/>
      <c r="E228" s="97"/>
      <c r="F228" s="97"/>
      <c r="G228" s="97"/>
    </row>
    <row r="229" spans="1:7" ht="14.25" customHeight="1">
      <c r="A229" s="97"/>
      <c r="B229" s="97"/>
      <c r="C229" s="96"/>
      <c r="D229" s="97"/>
      <c r="E229" s="97"/>
      <c r="F229" s="97"/>
      <c r="G229" s="97"/>
    </row>
    <row r="230" spans="1:7" ht="14.25" customHeight="1">
      <c r="A230" s="97"/>
      <c r="B230" s="97"/>
      <c r="C230" s="96"/>
      <c r="D230" s="97"/>
      <c r="E230" s="97"/>
      <c r="F230" s="97"/>
      <c r="G230" s="97"/>
    </row>
    <row r="231" spans="1:7" ht="14.25" customHeight="1">
      <c r="A231" s="97"/>
      <c r="B231" s="97"/>
      <c r="C231" s="96"/>
      <c r="D231" s="97"/>
      <c r="E231" s="97"/>
      <c r="F231" s="97"/>
      <c r="G231" s="97"/>
    </row>
    <row r="232" spans="1:7" ht="14.25" customHeight="1">
      <c r="A232" s="97"/>
      <c r="B232" s="97"/>
      <c r="C232" s="96"/>
      <c r="D232" s="97"/>
      <c r="E232" s="97"/>
      <c r="F232" s="97"/>
      <c r="G232" s="97"/>
    </row>
    <row r="233" spans="1:7" ht="14.25" customHeight="1">
      <c r="A233" s="97"/>
      <c r="B233" s="97"/>
      <c r="C233" s="96"/>
      <c r="D233" s="97"/>
      <c r="E233" s="97"/>
      <c r="F233" s="97"/>
      <c r="G233" s="97"/>
    </row>
    <row r="234" spans="1:7" ht="14.25" customHeight="1">
      <c r="A234" s="97"/>
      <c r="B234" s="97"/>
      <c r="C234" s="96"/>
      <c r="D234" s="97"/>
      <c r="E234" s="97"/>
      <c r="F234" s="97"/>
      <c r="G234" s="97"/>
    </row>
    <row r="235" spans="1:7" ht="14.25" customHeight="1">
      <c r="A235" s="97"/>
      <c r="B235" s="97"/>
      <c r="C235" s="96"/>
      <c r="D235" s="97"/>
      <c r="E235" s="97"/>
      <c r="F235" s="97"/>
      <c r="G235" s="97"/>
    </row>
    <row r="236" spans="1:7" ht="14.25" customHeight="1">
      <c r="A236" s="97"/>
      <c r="B236" s="97"/>
      <c r="C236" s="96"/>
      <c r="D236" s="97"/>
      <c r="E236" s="97"/>
      <c r="F236" s="97"/>
      <c r="G236" s="97"/>
    </row>
    <row r="237" spans="1:7" ht="14.25" customHeight="1">
      <c r="A237" s="97"/>
      <c r="B237" s="97"/>
      <c r="C237" s="96"/>
      <c r="D237" s="97"/>
      <c r="E237" s="97"/>
      <c r="F237" s="97"/>
      <c r="G237" s="97"/>
    </row>
    <row r="238" spans="1:7" ht="14.25" customHeight="1">
      <c r="A238" s="97"/>
      <c r="B238" s="97"/>
      <c r="C238" s="96"/>
      <c r="D238" s="97"/>
      <c r="E238" s="97"/>
      <c r="F238" s="97"/>
      <c r="G238" s="97"/>
    </row>
    <row r="239" spans="1:7" ht="14.25" customHeight="1">
      <c r="A239" s="97"/>
      <c r="B239" s="97"/>
      <c r="C239" s="96"/>
      <c r="D239" s="97"/>
      <c r="E239" s="97"/>
      <c r="F239" s="97"/>
      <c r="G239" s="97"/>
    </row>
    <row r="240" spans="1:7" ht="14.25" customHeight="1">
      <c r="A240" s="97"/>
      <c r="B240" s="97"/>
      <c r="C240" s="96"/>
      <c r="D240" s="97"/>
      <c r="E240" s="97"/>
      <c r="F240" s="97"/>
      <c r="G240" s="97"/>
    </row>
    <row r="241" spans="1:7" ht="14.25" customHeight="1">
      <c r="A241" s="97"/>
      <c r="B241" s="97"/>
      <c r="C241" s="96"/>
      <c r="D241" s="97"/>
      <c r="E241" s="97"/>
      <c r="F241" s="97"/>
      <c r="G241" s="97"/>
    </row>
    <row r="242" spans="1:7" ht="14.25" customHeight="1">
      <c r="A242" s="97"/>
      <c r="B242" s="97"/>
      <c r="C242" s="96"/>
      <c r="D242" s="97"/>
      <c r="E242" s="97"/>
      <c r="F242" s="97"/>
      <c r="G242" s="97"/>
    </row>
    <row r="243" spans="1:7" ht="14.25" customHeight="1">
      <c r="A243" s="97"/>
      <c r="B243" s="97"/>
      <c r="C243" s="96"/>
      <c r="D243" s="97"/>
      <c r="E243" s="97"/>
      <c r="F243" s="97"/>
      <c r="G243" s="97"/>
    </row>
    <row r="244" spans="1:7" ht="14.25" customHeight="1">
      <c r="A244" s="97"/>
      <c r="B244" s="97"/>
      <c r="C244" s="96"/>
      <c r="D244" s="97"/>
      <c r="E244" s="97"/>
      <c r="F244" s="97"/>
      <c r="G244" s="97"/>
    </row>
    <row r="245" spans="1:7" ht="14.25" customHeight="1">
      <c r="A245" s="97"/>
      <c r="B245" s="97"/>
      <c r="C245" s="96"/>
      <c r="D245" s="97"/>
      <c r="E245" s="97"/>
      <c r="F245" s="97"/>
      <c r="G245" s="97"/>
    </row>
    <row r="246" spans="1:7" ht="14.25" customHeight="1">
      <c r="A246" s="97"/>
      <c r="B246" s="97"/>
      <c r="C246" s="96"/>
      <c r="D246" s="97"/>
      <c r="E246" s="97"/>
      <c r="F246" s="97"/>
      <c r="G246" s="97"/>
    </row>
    <row r="247" spans="1:7" ht="14.25" customHeight="1">
      <c r="A247" s="97"/>
      <c r="B247" s="97"/>
      <c r="C247" s="96"/>
      <c r="D247" s="97"/>
      <c r="E247" s="97"/>
      <c r="F247" s="97"/>
      <c r="G247" s="97"/>
    </row>
    <row r="248" spans="1:7" ht="14.25" customHeight="1">
      <c r="A248" s="97"/>
      <c r="B248" s="97"/>
      <c r="C248" s="96"/>
      <c r="D248" s="97"/>
      <c r="E248" s="97"/>
      <c r="F248" s="97"/>
      <c r="G248" s="97"/>
    </row>
    <row r="249" spans="1:7" ht="14.25" customHeight="1">
      <c r="A249" s="97"/>
      <c r="B249" s="97"/>
      <c r="C249" s="96"/>
      <c r="D249" s="97"/>
      <c r="E249" s="97"/>
      <c r="F249" s="97"/>
      <c r="G249" s="97"/>
    </row>
    <row r="250" spans="1:7" ht="14.25" customHeight="1">
      <c r="A250" s="97"/>
      <c r="B250" s="97"/>
      <c r="C250" s="96"/>
      <c r="D250" s="97"/>
      <c r="E250" s="97"/>
      <c r="F250" s="97"/>
      <c r="G250" s="97"/>
    </row>
    <row r="251" spans="1:7" ht="14.25" customHeight="1">
      <c r="A251" s="97"/>
      <c r="B251" s="97"/>
      <c r="C251" s="96"/>
      <c r="D251" s="97"/>
      <c r="E251" s="97"/>
      <c r="F251" s="97"/>
      <c r="G251" s="97"/>
    </row>
    <row r="252" spans="1:7" ht="14.25" customHeight="1">
      <c r="A252" s="97"/>
      <c r="B252" s="97"/>
      <c r="C252" s="96"/>
      <c r="D252" s="97"/>
      <c r="E252" s="97"/>
      <c r="F252" s="97"/>
      <c r="G252" s="97"/>
    </row>
    <row r="253" spans="1:7" ht="14.25" customHeight="1">
      <c r="A253" s="97"/>
      <c r="B253" s="97"/>
      <c r="C253" s="96"/>
      <c r="D253" s="97"/>
      <c r="E253" s="97"/>
      <c r="F253" s="97"/>
      <c r="G253" s="97"/>
    </row>
    <row r="254" spans="1:7" ht="14.25" customHeight="1">
      <c r="A254" s="97"/>
      <c r="B254" s="97"/>
      <c r="C254" s="96"/>
      <c r="D254" s="97"/>
      <c r="E254" s="97"/>
      <c r="F254" s="97"/>
      <c r="G254" s="97"/>
    </row>
    <row r="255" spans="1:7" ht="14.25" customHeight="1">
      <c r="A255" s="97"/>
      <c r="B255" s="97"/>
      <c r="C255" s="96"/>
      <c r="D255" s="97"/>
      <c r="E255" s="97"/>
      <c r="F255" s="97"/>
      <c r="G255" s="97"/>
    </row>
    <row r="256" spans="1:7" ht="14.25" customHeight="1">
      <c r="A256" s="97"/>
      <c r="B256" s="97"/>
      <c r="C256" s="96"/>
      <c r="D256" s="97"/>
      <c r="E256" s="97"/>
      <c r="F256" s="97"/>
      <c r="G256" s="97"/>
    </row>
    <row r="257" spans="1:7" ht="14.25" customHeight="1">
      <c r="A257" s="97"/>
      <c r="B257" s="97"/>
      <c r="C257" s="96"/>
      <c r="D257" s="97"/>
      <c r="E257" s="97"/>
      <c r="F257" s="97"/>
      <c r="G257" s="97"/>
    </row>
    <row r="258" spans="1:7" ht="14.25" customHeight="1">
      <c r="A258" s="97"/>
      <c r="B258" s="97"/>
      <c r="C258" s="96"/>
      <c r="D258" s="97"/>
      <c r="E258" s="97"/>
      <c r="F258" s="97"/>
      <c r="G258" s="97"/>
    </row>
    <row r="259" spans="1:7" ht="14.25" customHeight="1">
      <c r="A259" s="97"/>
      <c r="B259" s="97"/>
      <c r="C259" s="96"/>
      <c r="D259" s="97"/>
      <c r="E259" s="97"/>
      <c r="F259" s="97"/>
      <c r="G259" s="97"/>
    </row>
    <row r="260" spans="1:7" ht="14.25" customHeight="1">
      <c r="A260" s="97"/>
      <c r="B260" s="97"/>
      <c r="C260" s="96"/>
      <c r="D260" s="97"/>
      <c r="E260" s="97"/>
      <c r="F260" s="97"/>
      <c r="G260" s="97"/>
    </row>
    <row r="261" spans="1:7" ht="14.25" customHeight="1">
      <c r="A261" s="97"/>
      <c r="B261" s="97"/>
      <c r="C261" s="96"/>
      <c r="D261" s="97"/>
      <c r="E261" s="97"/>
      <c r="F261" s="97"/>
      <c r="G261" s="97"/>
    </row>
    <row r="262" spans="1:7" ht="14.25" customHeight="1">
      <c r="A262" s="97"/>
      <c r="B262" s="97"/>
      <c r="C262" s="96"/>
      <c r="D262" s="97"/>
      <c r="E262" s="97"/>
      <c r="F262" s="97"/>
      <c r="G262" s="97"/>
    </row>
    <row r="263" spans="1:7" ht="14.25" customHeight="1">
      <c r="A263" s="97"/>
      <c r="B263" s="97"/>
      <c r="C263" s="96"/>
      <c r="D263" s="97"/>
      <c r="E263" s="97"/>
      <c r="F263" s="97"/>
      <c r="G263" s="97"/>
    </row>
    <row r="264" spans="1:7" ht="14.25" customHeight="1">
      <c r="A264" s="97"/>
      <c r="B264" s="97"/>
      <c r="C264" s="96"/>
      <c r="D264" s="97"/>
      <c r="E264" s="97"/>
      <c r="F264" s="97"/>
      <c r="G264" s="97"/>
    </row>
    <row r="265" spans="1:7" ht="14.25" customHeight="1">
      <c r="A265" s="97"/>
      <c r="B265" s="97"/>
      <c r="C265" s="96"/>
      <c r="D265" s="97"/>
      <c r="E265" s="97"/>
      <c r="F265" s="97"/>
      <c r="G265" s="97"/>
    </row>
    <row r="266" spans="1:7" ht="14.25" customHeight="1">
      <c r="A266" s="97"/>
      <c r="B266" s="97"/>
      <c r="C266" s="96"/>
      <c r="D266" s="97"/>
      <c r="E266" s="97"/>
      <c r="F266" s="97"/>
      <c r="G266" s="97"/>
    </row>
    <row r="267" spans="1:7" ht="14.25" customHeight="1">
      <c r="A267" s="97"/>
      <c r="B267" s="97"/>
      <c r="C267" s="96"/>
      <c r="D267" s="97"/>
      <c r="E267" s="97"/>
      <c r="F267" s="97"/>
      <c r="G267" s="97"/>
    </row>
    <row r="268" spans="1:7" ht="14.25" customHeight="1">
      <c r="A268" s="97"/>
      <c r="B268" s="97"/>
      <c r="C268" s="96"/>
      <c r="D268" s="97"/>
      <c r="E268" s="97"/>
      <c r="F268" s="97"/>
      <c r="G268" s="97"/>
    </row>
    <row r="269" spans="1:7" ht="14.25" customHeight="1">
      <c r="A269" s="97"/>
      <c r="B269" s="97"/>
      <c r="C269" s="96"/>
      <c r="D269" s="97"/>
      <c r="E269" s="97"/>
      <c r="F269" s="97"/>
      <c r="G269" s="97"/>
    </row>
    <row r="270" spans="1:7" ht="14.25" customHeight="1">
      <c r="A270" s="97"/>
      <c r="B270" s="97"/>
      <c r="C270" s="96"/>
      <c r="D270" s="97"/>
      <c r="E270" s="97"/>
      <c r="F270" s="97"/>
      <c r="G270" s="97"/>
    </row>
    <row r="271" spans="1:7" ht="14.25" customHeight="1">
      <c r="A271" s="97"/>
      <c r="B271" s="97"/>
      <c r="C271" s="96"/>
      <c r="D271" s="97"/>
      <c r="E271" s="97"/>
      <c r="F271" s="97"/>
      <c r="G271" s="97"/>
    </row>
    <row r="272" spans="1:7" ht="14.25" customHeight="1">
      <c r="A272" s="97"/>
      <c r="B272" s="97"/>
      <c r="C272" s="96"/>
      <c r="D272" s="97"/>
      <c r="E272" s="97"/>
      <c r="F272" s="97"/>
      <c r="G272" s="97"/>
    </row>
    <row r="273" spans="1:7" ht="14.25" customHeight="1">
      <c r="A273" s="97"/>
      <c r="B273" s="97"/>
      <c r="C273" s="96"/>
      <c r="D273" s="97"/>
      <c r="E273" s="97"/>
      <c r="F273" s="97"/>
      <c r="G273" s="97"/>
    </row>
    <row r="274" spans="1:7" ht="14.25" customHeight="1">
      <c r="A274" s="97"/>
      <c r="B274" s="97"/>
      <c r="C274" s="96"/>
      <c r="D274" s="97"/>
      <c r="E274" s="97"/>
      <c r="F274" s="97"/>
      <c r="G274" s="97"/>
    </row>
    <row r="275" spans="1:7" ht="14.25" customHeight="1">
      <c r="A275" s="97"/>
      <c r="B275" s="97"/>
      <c r="C275" s="96"/>
      <c r="D275" s="97"/>
      <c r="E275" s="97"/>
      <c r="F275" s="97"/>
      <c r="G275" s="97"/>
    </row>
    <row r="276" spans="1:7" ht="14.25" customHeight="1">
      <c r="A276" s="97"/>
      <c r="B276" s="97"/>
      <c r="C276" s="96"/>
      <c r="D276" s="97"/>
      <c r="E276" s="97"/>
      <c r="F276" s="97"/>
      <c r="G276" s="97"/>
    </row>
    <row r="277" spans="1:7" ht="14.25" customHeight="1">
      <c r="A277" s="97"/>
      <c r="B277" s="97"/>
      <c r="C277" s="96"/>
      <c r="D277" s="97"/>
      <c r="E277" s="97"/>
      <c r="F277" s="97"/>
      <c r="G277" s="97"/>
    </row>
    <row r="278" spans="1:7" ht="14.25" customHeight="1">
      <c r="A278" s="97"/>
      <c r="B278" s="97"/>
      <c r="C278" s="96"/>
      <c r="D278" s="97"/>
      <c r="E278" s="97"/>
      <c r="F278" s="97"/>
      <c r="G278" s="97"/>
    </row>
    <row r="279" spans="1:7" ht="14.25" customHeight="1">
      <c r="A279" s="97"/>
      <c r="B279" s="97"/>
      <c r="C279" s="96"/>
      <c r="D279" s="97"/>
      <c r="E279" s="97"/>
      <c r="F279" s="97"/>
      <c r="G279" s="97"/>
    </row>
    <row r="280" spans="1:7" ht="14.25" customHeight="1">
      <c r="A280" s="97"/>
      <c r="B280" s="97"/>
      <c r="C280" s="96"/>
      <c r="D280" s="97"/>
      <c r="E280" s="97"/>
      <c r="F280" s="97"/>
      <c r="G280" s="97"/>
    </row>
    <row r="281" spans="1:7" ht="14.25" customHeight="1">
      <c r="A281" s="97"/>
      <c r="B281" s="97"/>
      <c r="C281" s="96"/>
      <c r="D281" s="97"/>
      <c r="E281" s="97"/>
      <c r="F281" s="97"/>
      <c r="G281" s="97"/>
    </row>
    <row r="282" spans="1:7" ht="14.25" customHeight="1">
      <c r="A282" s="97"/>
      <c r="B282" s="97"/>
      <c r="C282" s="96"/>
      <c r="D282" s="97"/>
      <c r="E282" s="97"/>
      <c r="F282" s="97"/>
      <c r="G282" s="97"/>
    </row>
    <row r="283" spans="1:7" ht="14.25" customHeight="1">
      <c r="A283" s="97"/>
      <c r="B283" s="97"/>
      <c r="C283" s="96"/>
      <c r="D283" s="97"/>
      <c r="E283" s="97"/>
      <c r="F283" s="97"/>
      <c r="G283" s="97"/>
    </row>
    <row r="284" spans="1:7" ht="14.25" customHeight="1">
      <c r="A284" s="97"/>
      <c r="B284" s="97"/>
      <c r="C284" s="96"/>
      <c r="D284" s="97"/>
      <c r="E284" s="97"/>
      <c r="F284" s="97"/>
      <c r="G284" s="97"/>
    </row>
    <row r="285" spans="1:7" ht="14.25" customHeight="1">
      <c r="A285" s="97"/>
      <c r="B285" s="97"/>
      <c r="C285" s="96"/>
      <c r="D285" s="97"/>
      <c r="E285" s="97"/>
      <c r="F285" s="97"/>
      <c r="G285" s="97"/>
    </row>
    <row r="286" spans="1:7" ht="14.25" customHeight="1">
      <c r="A286" s="97"/>
      <c r="B286" s="97"/>
      <c r="C286" s="96"/>
      <c r="D286" s="97"/>
      <c r="E286" s="97"/>
      <c r="F286" s="97"/>
      <c r="G286" s="97"/>
    </row>
    <row r="287" spans="1:7" ht="14.25" customHeight="1">
      <c r="A287" s="97"/>
      <c r="B287" s="97"/>
      <c r="C287" s="96"/>
      <c r="D287" s="97"/>
      <c r="E287" s="97"/>
      <c r="F287" s="97"/>
      <c r="G287" s="97"/>
    </row>
    <row r="288" spans="1:7" ht="14.25" customHeight="1">
      <c r="A288" s="97"/>
      <c r="B288" s="97"/>
      <c r="C288" s="96"/>
      <c r="D288" s="97"/>
      <c r="E288" s="97"/>
      <c r="F288" s="97"/>
      <c r="G288" s="97"/>
    </row>
    <row r="289" spans="1:7" ht="14.25" customHeight="1">
      <c r="A289" s="97"/>
      <c r="B289" s="97"/>
      <c r="C289" s="96"/>
      <c r="D289" s="97"/>
      <c r="E289" s="97"/>
      <c r="F289" s="97"/>
      <c r="G289" s="97"/>
    </row>
    <row r="290" spans="1:7" ht="14.25" customHeight="1">
      <c r="A290" s="97"/>
      <c r="B290" s="97"/>
      <c r="C290" s="96"/>
      <c r="D290" s="97"/>
      <c r="E290" s="97"/>
      <c r="F290" s="97"/>
      <c r="G290" s="97"/>
    </row>
    <row r="291" spans="1:7" ht="14.25" customHeight="1">
      <c r="A291" s="97"/>
      <c r="B291" s="97"/>
      <c r="C291" s="96"/>
      <c r="D291" s="97"/>
      <c r="E291" s="97"/>
      <c r="F291" s="97"/>
      <c r="G291" s="97"/>
    </row>
    <row r="292" spans="1:7" ht="14.25" customHeight="1">
      <c r="A292" s="97"/>
      <c r="B292" s="97"/>
      <c r="C292" s="96"/>
      <c r="D292" s="97"/>
      <c r="E292" s="97"/>
      <c r="F292" s="97"/>
      <c r="G292" s="97"/>
    </row>
    <row r="293" spans="1:7" ht="14.25" customHeight="1">
      <c r="A293" s="97"/>
      <c r="B293" s="97"/>
      <c r="C293" s="96"/>
      <c r="D293" s="97"/>
      <c r="E293" s="97"/>
      <c r="F293" s="97"/>
      <c r="G293" s="97"/>
    </row>
    <row r="294" spans="1:7" ht="14.25" customHeight="1">
      <c r="A294" s="97"/>
      <c r="B294" s="97"/>
      <c r="C294" s="96"/>
      <c r="D294" s="97"/>
      <c r="E294" s="97"/>
      <c r="F294" s="97"/>
      <c r="G294" s="97"/>
    </row>
    <row r="295" spans="1:7" ht="14.25" customHeight="1">
      <c r="A295" s="97"/>
      <c r="B295" s="97"/>
      <c r="C295" s="96"/>
      <c r="D295" s="97"/>
      <c r="E295" s="97"/>
      <c r="F295" s="97"/>
      <c r="G295" s="97"/>
    </row>
    <row r="296" spans="1:7" ht="14.25" customHeight="1">
      <c r="A296" s="97"/>
      <c r="B296" s="97"/>
      <c r="C296" s="96"/>
      <c r="D296" s="97"/>
      <c r="E296" s="97"/>
      <c r="F296" s="97"/>
      <c r="G296" s="97"/>
    </row>
    <row r="297" spans="1:7" ht="14.25" customHeight="1">
      <c r="A297" s="97"/>
      <c r="B297" s="97"/>
      <c r="C297" s="96"/>
      <c r="D297" s="97"/>
      <c r="E297" s="97"/>
      <c r="F297" s="97"/>
      <c r="G297" s="97"/>
    </row>
    <row r="298" spans="1:7" ht="14.25" customHeight="1">
      <c r="A298" s="97"/>
      <c r="B298" s="97"/>
      <c r="C298" s="96"/>
      <c r="D298" s="97"/>
      <c r="E298" s="97"/>
      <c r="F298" s="97"/>
      <c r="G298" s="97"/>
    </row>
    <row r="299" spans="1:7" ht="14.25" customHeight="1">
      <c r="A299" s="97"/>
      <c r="B299" s="97"/>
      <c r="C299" s="96"/>
      <c r="D299" s="97"/>
      <c r="E299" s="97"/>
      <c r="F299" s="97"/>
      <c r="G299" s="97"/>
    </row>
    <row r="300" spans="1:7" ht="14.25" customHeight="1">
      <c r="A300" s="97"/>
      <c r="B300" s="97"/>
      <c r="C300" s="96"/>
      <c r="D300" s="97"/>
      <c r="E300" s="97"/>
      <c r="F300" s="97"/>
      <c r="G300" s="97"/>
    </row>
    <row r="301" spans="1:7" ht="14.25" customHeight="1">
      <c r="A301" s="97"/>
      <c r="B301" s="97"/>
      <c r="C301" s="96"/>
      <c r="D301" s="97"/>
      <c r="E301" s="97"/>
      <c r="F301" s="97"/>
      <c r="G301" s="97"/>
    </row>
    <row r="302" spans="1:7" ht="14.25" customHeight="1">
      <c r="A302" s="97"/>
      <c r="B302" s="97"/>
      <c r="C302" s="96"/>
      <c r="D302" s="97"/>
      <c r="E302" s="97"/>
      <c r="F302" s="97"/>
      <c r="G302" s="97"/>
    </row>
    <row r="303" spans="1:7" ht="14.25" customHeight="1">
      <c r="A303" s="97"/>
      <c r="B303" s="97"/>
      <c r="C303" s="96"/>
      <c r="D303" s="97"/>
      <c r="E303" s="97"/>
      <c r="F303" s="97"/>
      <c r="G303" s="97"/>
    </row>
    <row r="304" spans="1:7" ht="14.25" customHeight="1">
      <c r="A304" s="97"/>
      <c r="B304" s="97"/>
      <c r="C304" s="96"/>
      <c r="D304" s="97"/>
      <c r="E304" s="97"/>
      <c r="F304" s="97"/>
      <c r="G304" s="97"/>
    </row>
    <row r="305" spans="1:7" ht="14.25" customHeight="1">
      <c r="A305" s="97"/>
      <c r="B305" s="97"/>
      <c r="C305" s="96"/>
      <c r="D305" s="97"/>
      <c r="E305" s="97"/>
      <c r="F305" s="97"/>
      <c r="G305" s="97"/>
    </row>
    <row r="306" spans="1:7" ht="14.25" customHeight="1">
      <c r="A306" s="97"/>
      <c r="B306" s="97"/>
      <c r="C306" s="96"/>
      <c r="D306" s="97"/>
      <c r="E306" s="97"/>
      <c r="F306" s="97"/>
      <c r="G306" s="97"/>
    </row>
    <row r="307" spans="1:7" ht="14.25" customHeight="1">
      <c r="A307" s="97"/>
      <c r="B307" s="97"/>
      <c r="C307" s="96"/>
      <c r="D307" s="97"/>
      <c r="E307" s="97"/>
      <c r="F307" s="97"/>
      <c r="G307" s="97"/>
    </row>
    <row r="308" spans="1:7" ht="14.25" customHeight="1">
      <c r="A308" s="97"/>
      <c r="B308" s="97"/>
      <c r="C308" s="96"/>
      <c r="D308" s="97"/>
      <c r="E308" s="97"/>
      <c r="F308" s="97"/>
      <c r="G308" s="97"/>
    </row>
    <row r="309" spans="1:7" ht="14.25" customHeight="1">
      <c r="A309" s="97"/>
      <c r="B309" s="97"/>
      <c r="C309" s="96"/>
      <c r="D309" s="97"/>
      <c r="E309" s="97"/>
      <c r="F309" s="97"/>
      <c r="G309" s="97"/>
    </row>
    <row r="310" spans="1:7" ht="14.25" customHeight="1">
      <c r="A310" s="97"/>
      <c r="B310" s="97"/>
      <c r="C310" s="96"/>
      <c r="D310" s="97"/>
      <c r="E310" s="97"/>
      <c r="F310" s="97"/>
      <c r="G310" s="97"/>
    </row>
    <row r="311" spans="1:7" ht="14.25" customHeight="1">
      <c r="A311" s="97"/>
      <c r="B311" s="97"/>
      <c r="C311" s="96"/>
      <c r="D311" s="97"/>
      <c r="E311" s="97"/>
      <c r="F311" s="97"/>
      <c r="G311" s="97"/>
    </row>
    <row r="312" spans="1:7" ht="14.25" customHeight="1">
      <c r="A312" s="97"/>
      <c r="B312" s="97"/>
      <c r="C312" s="96"/>
      <c r="D312" s="97"/>
      <c r="E312" s="97"/>
      <c r="F312" s="97"/>
      <c r="G312" s="97"/>
    </row>
    <row r="313" spans="1:7" ht="14.25" customHeight="1">
      <c r="A313" s="97"/>
      <c r="B313" s="97"/>
      <c r="C313" s="96"/>
      <c r="D313" s="97"/>
      <c r="E313" s="97"/>
      <c r="F313" s="97"/>
      <c r="G313" s="97"/>
    </row>
    <row r="314" spans="1:7" ht="14.25" customHeight="1">
      <c r="A314" s="97"/>
      <c r="B314" s="97"/>
      <c r="C314" s="96"/>
      <c r="D314" s="97"/>
      <c r="E314" s="97"/>
      <c r="F314" s="97"/>
      <c r="G314" s="97"/>
    </row>
    <row r="315" spans="1:7" ht="14.25" customHeight="1">
      <c r="A315" s="97"/>
      <c r="B315" s="97"/>
      <c r="C315" s="96"/>
      <c r="D315" s="97"/>
      <c r="E315" s="97"/>
      <c r="F315" s="97"/>
      <c r="G315" s="97"/>
    </row>
    <row r="316" spans="1:7" ht="14.25" customHeight="1">
      <c r="A316" s="97"/>
      <c r="B316" s="97"/>
      <c r="C316" s="96"/>
      <c r="D316" s="97"/>
      <c r="E316" s="97"/>
      <c r="F316" s="97"/>
      <c r="G316" s="97"/>
    </row>
    <row r="317" spans="1:7" ht="14.25" customHeight="1">
      <c r="A317" s="97"/>
      <c r="B317" s="97"/>
      <c r="C317" s="96"/>
      <c r="D317" s="97"/>
      <c r="E317" s="97"/>
      <c r="F317" s="97"/>
      <c r="G317" s="97"/>
    </row>
    <row r="318" spans="1:7" ht="14.25" customHeight="1">
      <c r="A318" s="97"/>
      <c r="B318" s="97"/>
      <c r="C318" s="96"/>
      <c r="D318" s="97"/>
      <c r="E318" s="97"/>
      <c r="F318" s="97"/>
      <c r="G318" s="97"/>
    </row>
    <row r="319" spans="1:7" ht="14.25" customHeight="1">
      <c r="A319" s="97"/>
      <c r="B319" s="97"/>
      <c r="C319" s="96"/>
      <c r="D319" s="97"/>
      <c r="E319" s="97"/>
      <c r="F319" s="97"/>
      <c r="G319" s="97"/>
    </row>
    <row r="320" spans="1:7" ht="14.25" customHeight="1">
      <c r="A320" s="97"/>
      <c r="B320" s="97"/>
      <c r="C320" s="96"/>
      <c r="D320" s="97"/>
      <c r="E320" s="97"/>
      <c r="F320" s="97"/>
      <c r="G320" s="97"/>
    </row>
    <row r="321" spans="1:7" ht="14.25" customHeight="1">
      <c r="A321" s="97"/>
      <c r="B321" s="97"/>
      <c r="C321" s="96"/>
      <c r="D321" s="97"/>
      <c r="E321" s="97"/>
      <c r="F321" s="97"/>
      <c r="G321" s="97"/>
    </row>
    <row r="322" spans="1:7" ht="14.25" customHeight="1">
      <c r="A322" s="97"/>
      <c r="B322" s="97"/>
      <c r="C322" s="96"/>
      <c r="D322" s="97"/>
      <c r="E322" s="97"/>
      <c r="F322" s="97"/>
      <c r="G322" s="97"/>
    </row>
    <row r="323" spans="1:7" ht="14.25" customHeight="1">
      <c r="A323" s="97"/>
      <c r="B323" s="97"/>
      <c r="C323" s="96"/>
      <c r="D323" s="97"/>
      <c r="E323" s="97"/>
      <c r="F323" s="97"/>
      <c r="G323" s="97"/>
    </row>
    <row r="324" spans="1:7" ht="14.25" customHeight="1">
      <c r="A324" s="97"/>
      <c r="B324" s="97"/>
      <c r="C324" s="96"/>
      <c r="D324" s="97"/>
      <c r="E324" s="97"/>
      <c r="F324" s="97"/>
      <c r="G324" s="97"/>
    </row>
    <row r="325" spans="1:7" ht="14.25" customHeight="1">
      <c r="A325" s="97"/>
      <c r="B325" s="97"/>
      <c r="C325" s="96"/>
      <c r="D325" s="97"/>
      <c r="E325" s="97"/>
      <c r="F325" s="97"/>
      <c r="G325" s="97"/>
    </row>
    <row r="326" spans="1:7" ht="14.25" customHeight="1">
      <c r="A326" s="97"/>
      <c r="B326" s="97"/>
      <c r="C326" s="96"/>
      <c r="D326" s="97"/>
      <c r="E326" s="97"/>
      <c r="F326" s="97"/>
      <c r="G326" s="97"/>
    </row>
    <row r="327" spans="1:7" ht="14.25" customHeight="1">
      <c r="A327" s="97"/>
      <c r="B327" s="97"/>
      <c r="C327" s="96"/>
      <c r="D327" s="97"/>
      <c r="E327" s="97"/>
      <c r="F327" s="97"/>
      <c r="G327" s="97"/>
    </row>
    <row r="328" spans="1:7" ht="14.25" customHeight="1">
      <c r="A328" s="97"/>
      <c r="B328" s="97"/>
      <c r="C328" s="96"/>
      <c r="D328" s="97"/>
      <c r="E328" s="97"/>
      <c r="F328" s="97"/>
      <c r="G328" s="97"/>
    </row>
    <row r="329" spans="1:7" ht="14.25" customHeight="1">
      <c r="A329" s="97"/>
      <c r="B329" s="97"/>
      <c r="C329" s="96"/>
      <c r="D329" s="97"/>
      <c r="E329" s="97"/>
      <c r="F329" s="97"/>
      <c r="G329" s="97"/>
    </row>
    <row r="330" spans="1:7" ht="14.25" customHeight="1">
      <c r="A330" s="97"/>
      <c r="B330" s="97"/>
      <c r="C330" s="96"/>
      <c r="D330" s="97"/>
      <c r="E330" s="97"/>
      <c r="F330" s="97"/>
      <c r="G330" s="97"/>
    </row>
    <row r="331" spans="1:7" ht="14.25" customHeight="1">
      <c r="A331" s="97"/>
      <c r="B331" s="97"/>
      <c r="C331" s="96"/>
      <c r="D331" s="97"/>
      <c r="E331" s="97"/>
      <c r="F331" s="97"/>
      <c r="G331" s="97"/>
    </row>
    <row r="332" spans="1:7" ht="14.25" customHeight="1">
      <c r="A332" s="97"/>
      <c r="B332" s="97"/>
      <c r="C332" s="96"/>
      <c r="D332" s="97"/>
      <c r="E332" s="97"/>
      <c r="F332" s="97"/>
      <c r="G332" s="97"/>
    </row>
    <row r="333" spans="1:7" ht="14.25" customHeight="1">
      <c r="A333" s="97"/>
      <c r="B333" s="97"/>
      <c r="C333" s="96"/>
      <c r="D333" s="97"/>
      <c r="E333" s="97"/>
      <c r="F333" s="97"/>
      <c r="G333" s="97"/>
    </row>
    <row r="334" spans="1:7" ht="14.25" customHeight="1">
      <c r="A334" s="97"/>
      <c r="B334" s="97"/>
      <c r="C334" s="96"/>
      <c r="D334" s="97"/>
      <c r="E334" s="97"/>
      <c r="F334" s="97"/>
      <c r="G334" s="97"/>
    </row>
    <row r="335" spans="1:7" ht="14.25" customHeight="1">
      <c r="A335" s="97"/>
      <c r="B335" s="97"/>
      <c r="C335" s="96"/>
      <c r="D335" s="97"/>
      <c r="E335" s="97"/>
      <c r="F335" s="97"/>
      <c r="G335" s="97"/>
    </row>
    <row r="336" spans="1:7" ht="14.25" customHeight="1">
      <c r="A336" s="97"/>
      <c r="B336" s="97"/>
      <c r="C336" s="96"/>
      <c r="D336" s="97"/>
      <c r="E336" s="97"/>
      <c r="F336" s="97"/>
      <c r="G336" s="97"/>
    </row>
    <row r="337" spans="1:7" ht="14.25" customHeight="1">
      <c r="A337" s="97"/>
      <c r="B337" s="97"/>
      <c r="C337" s="96"/>
      <c r="D337" s="97"/>
      <c r="E337" s="97"/>
      <c r="F337" s="97"/>
      <c r="G337" s="97"/>
    </row>
    <row r="338" spans="1:7" ht="14.25" customHeight="1">
      <c r="A338" s="97"/>
      <c r="B338" s="97"/>
      <c r="C338" s="96"/>
      <c r="D338" s="97"/>
      <c r="E338" s="97"/>
      <c r="F338" s="97"/>
      <c r="G338" s="97"/>
    </row>
    <row r="339" spans="1:7" ht="14.25" customHeight="1">
      <c r="A339" s="97"/>
      <c r="B339" s="97"/>
      <c r="C339" s="96"/>
      <c r="D339" s="97"/>
      <c r="E339" s="97"/>
      <c r="F339" s="97"/>
      <c r="G339" s="97"/>
    </row>
    <row r="340" spans="1:7" ht="14.25" customHeight="1">
      <c r="A340" s="97"/>
      <c r="B340" s="97"/>
      <c r="C340" s="96"/>
      <c r="D340" s="97"/>
      <c r="E340" s="97"/>
      <c r="F340" s="97"/>
      <c r="G340" s="97"/>
    </row>
    <row r="341" spans="1:7" ht="14.25" customHeight="1">
      <c r="A341" s="97"/>
      <c r="B341" s="97"/>
      <c r="C341" s="96"/>
      <c r="D341" s="97"/>
      <c r="E341" s="97"/>
      <c r="F341" s="97"/>
      <c r="G341" s="97"/>
    </row>
    <row r="342" spans="1:7" ht="14.25" customHeight="1">
      <c r="A342" s="97"/>
      <c r="B342" s="97"/>
      <c r="C342" s="96"/>
      <c r="D342" s="97"/>
      <c r="E342" s="97"/>
      <c r="F342" s="97"/>
      <c r="G342" s="97"/>
    </row>
    <row r="343" spans="1:7" ht="14.25" customHeight="1">
      <c r="A343" s="97"/>
      <c r="B343" s="97"/>
      <c r="C343" s="96"/>
      <c r="D343" s="97"/>
      <c r="E343" s="97"/>
      <c r="F343" s="97"/>
      <c r="G343" s="97"/>
    </row>
    <row r="344" spans="1:7" ht="14.25" customHeight="1">
      <c r="A344" s="97"/>
      <c r="B344" s="97"/>
      <c r="C344" s="96"/>
      <c r="D344" s="97"/>
      <c r="E344" s="97"/>
      <c r="F344" s="97"/>
      <c r="G344" s="97"/>
    </row>
    <row r="345" spans="1:7" ht="14.25" customHeight="1">
      <c r="A345" s="97"/>
      <c r="B345" s="97"/>
      <c r="C345" s="96"/>
      <c r="D345" s="97"/>
      <c r="E345" s="97"/>
      <c r="F345" s="97"/>
      <c r="G345" s="97"/>
    </row>
    <row r="346" spans="1:7" ht="14.25" customHeight="1">
      <c r="A346" s="97"/>
      <c r="B346" s="97"/>
      <c r="C346" s="96"/>
      <c r="D346" s="97"/>
      <c r="E346" s="97"/>
      <c r="F346" s="97"/>
      <c r="G346" s="97"/>
    </row>
    <row r="347" spans="1:7" ht="14.25" customHeight="1">
      <c r="A347" s="97"/>
      <c r="B347" s="97"/>
      <c r="C347" s="96"/>
      <c r="D347" s="97"/>
      <c r="E347" s="97"/>
      <c r="F347" s="97"/>
      <c r="G347" s="97"/>
    </row>
    <row r="348" spans="1:7" ht="14.25" customHeight="1">
      <c r="A348" s="97"/>
      <c r="B348" s="97"/>
      <c r="C348" s="96"/>
      <c r="D348" s="97"/>
      <c r="E348" s="97"/>
      <c r="F348" s="97"/>
      <c r="G348" s="97"/>
    </row>
    <row r="349" spans="1:7" ht="14.25" customHeight="1">
      <c r="A349" s="97"/>
      <c r="B349" s="97"/>
      <c r="C349" s="96"/>
      <c r="D349" s="97"/>
      <c r="E349" s="97"/>
      <c r="F349" s="97"/>
      <c r="G349" s="97"/>
    </row>
    <row r="350" spans="1:7" ht="14.25" customHeight="1">
      <c r="A350" s="97"/>
      <c r="B350" s="97"/>
      <c r="C350" s="96"/>
      <c r="D350" s="97"/>
      <c r="E350" s="97"/>
      <c r="F350" s="97"/>
      <c r="G350" s="97"/>
    </row>
    <row r="351" spans="1:7" ht="14.25" customHeight="1">
      <c r="A351" s="97"/>
      <c r="B351" s="97"/>
      <c r="C351" s="96"/>
      <c r="D351" s="97"/>
      <c r="E351" s="97"/>
      <c r="F351" s="97"/>
      <c r="G351" s="97"/>
    </row>
    <row r="352" spans="1:7" ht="14.25" customHeight="1">
      <c r="A352" s="97"/>
      <c r="B352" s="97"/>
      <c r="C352" s="96"/>
      <c r="D352" s="97"/>
      <c r="E352" s="97"/>
      <c r="F352" s="97"/>
      <c r="G352" s="97"/>
    </row>
    <row r="353" spans="1:7" ht="14.25" customHeight="1">
      <c r="A353" s="97"/>
      <c r="B353" s="97"/>
      <c r="C353" s="96"/>
      <c r="D353" s="97"/>
      <c r="E353" s="97"/>
      <c r="F353" s="97"/>
      <c r="G353" s="97"/>
    </row>
    <row r="354" spans="1:7" ht="14.25" customHeight="1">
      <c r="A354" s="97"/>
      <c r="B354" s="97"/>
      <c r="C354" s="96"/>
      <c r="D354" s="97"/>
      <c r="E354" s="97"/>
      <c r="F354" s="97"/>
      <c r="G354" s="97"/>
    </row>
    <row r="355" spans="1:7" ht="14.25" customHeight="1">
      <c r="A355" s="97"/>
      <c r="B355" s="97"/>
      <c r="C355" s="96"/>
      <c r="D355" s="97"/>
      <c r="E355" s="97"/>
      <c r="F355" s="97"/>
      <c r="G355" s="97"/>
    </row>
    <row r="356" spans="1:7" ht="14.25" customHeight="1">
      <c r="A356" s="97"/>
      <c r="B356" s="97"/>
      <c r="C356" s="96"/>
      <c r="D356" s="97"/>
      <c r="E356" s="97"/>
      <c r="F356" s="97"/>
      <c r="G356" s="97"/>
    </row>
    <row r="357" spans="1:7" ht="14.25" customHeight="1">
      <c r="A357" s="97"/>
      <c r="B357" s="97"/>
      <c r="C357" s="96"/>
      <c r="D357" s="97"/>
      <c r="E357" s="97"/>
      <c r="F357" s="97"/>
      <c r="G357" s="97"/>
    </row>
    <row r="358" spans="1:7" ht="14.25" customHeight="1">
      <c r="A358" s="97"/>
      <c r="B358" s="97"/>
      <c r="C358" s="96"/>
      <c r="D358" s="97"/>
      <c r="E358" s="97"/>
      <c r="F358" s="97"/>
      <c r="G358" s="97"/>
    </row>
    <row r="359" spans="1:7" ht="14.25" customHeight="1">
      <c r="A359" s="97"/>
      <c r="B359" s="97"/>
      <c r="C359" s="96"/>
      <c r="D359" s="97"/>
      <c r="E359" s="97"/>
      <c r="F359" s="97"/>
      <c r="G359" s="97"/>
    </row>
    <row r="360" spans="1:7" ht="14.25" customHeight="1">
      <c r="A360" s="97"/>
      <c r="B360" s="97"/>
      <c r="C360" s="96"/>
      <c r="D360" s="97"/>
      <c r="E360" s="97"/>
      <c r="F360" s="97"/>
      <c r="G360" s="97"/>
    </row>
    <row r="361" spans="1:7" ht="14.25" customHeight="1">
      <c r="A361" s="97"/>
      <c r="B361" s="97"/>
      <c r="C361" s="96"/>
      <c r="D361" s="97"/>
      <c r="E361" s="97"/>
      <c r="F361" s="97"/>
      <c r="G361" s="97"/>
    </row>
    <row r="362" spans="1:7" ht="14.25" customHeight="1">
      <c r="A362" s="97"/>
      <c r="B362" s="97"/>
      <c r="C362" s="96"/>
      <c r="D362" s="97"/>
      <c r="E362" s="97"/>
      <c r="F362" s="97"/>
      <c r="G362" s="97"/>
    </row>
    <row r="363" spans="1:7" ht="14.25" customHeight="1">
      <c r="A363" s="97"/>
      <c r="B363" s="97"/>
      <c r="C363" s="96"/>
      <c r="D363" s="97"/>
      <c r="E363" s="97"/>
      <c r="F363" s="97"/>
      <c r="G363" s="97"/>
    </row>
    <row r="364" spans="1:7" ht="14.25" customHeight="1">
      <c r="A364" s="97"/>
      <c r="B364" s="97"/>
      <c r="C364" s="96"/>
      <c r="D364" s="97"/>
      <c r="E364" s="97"/>
      <c r="F364" s="97"/>
      <c r="G364" s="97"/>
    </row>
    <row r="365" spans="1:7" ht="14.25" customHeight="1">
      <c r="A365" s="97"/>
      <c r="B365" s="97"/>
      <c r="C365" s="96"/>
      <c r="D365" s="97"/>
      <c r="E365" s="97"/>
      <c r="F365" s="97"/>
      <c r="G365" s="97"/>
    </row>
    <row r="366" spans="1:7" ht="14.25" customHeight="1">
      <c r="A366" s="97"/>
      <c r="B366" s="97"/>
      <c r="C366" s="96"/>
      <c r="D366" s="97"/>
      <c r="E366" s="97"/>
      <c r="F366" s="97"/>
      <c r="G366" s="97"/>
    </row>
    <row r="367" spans="1:7" ht="14.25" customHeight="1">
      <c r="A367" s="97"/>
      <c r="B367" s="97"/>
      <c r="C367" s="96"/>
      <c r="D367" s="97"/>
      <c r="E367" s="97"/>
      <c r="F367" s="97"/>
      <c r="G367" s="97"/>
    </row>
    <row r="368" spans="1:7" ht="14.25" customHeight="1">
      <c r="A368" s="97"/>
      <c r="B368" s="97"/>
      <c r="C368" s="96"/>
      <c r="D368" s="97"/>
      <c r="E368" s="97"/>
      <c r="F368" s="97"/>
      <c r="G368" s="97"/>
    </row>
    <row r="369" spans="1:7" ht="14.25" customHeight="1">
      <c r="A369" s="97"/>
      <c r="B369" s="97"/>
      <c r="C369" s="96"/>
      <c r="D369" s="97"/>
      <c r="E369" s="97"/>
      <c r="F369" s="97"/>
      <c r="G369" s="97"/>
    </row>
    <row r="370" spans="1:7" ht="14.25" customHeight="1">
      <c r="A370" s="97"/>
      <c r="B370" s="97"/>
      <c r="C370" s="96"/>
      <c r="D370" s="97"/>
      <c r="E370" s="97"/>
      <c r="F370" s="97"/>
      <c r="G370" s="97"/>
    </row>
    <row r="371" spans="1:7" ht="14.25" customHeight="1">
      <c r="A371" s="97"/>
      <c r="B371" s="97"/>
      <c r="C371" s="96"/>
      <c r="D371" s="97"/>
      <c r="E371" s="97"/>
      <c r="F371" s="97"/>
      <c r="G371" s="97"/>
    </row>
    <row r="372" spans="1:7" ht="14.25" customHeight="1">
      <c r="A372" s="97"/>
      <c r="B372" s="97"/>
      <c r="C372" s="96"/>
      <c r="D372" s="97"/>
      <c r="E372" s="97"/>
      <c r="F372" s="97"/>
      <c r="G372" s="97"/>
    </row>
    <row r="373" spans="1:7" ht="14.25" customHeight="1">
      <c r="A373" s="97"/>
      <c r="B373" s="97"/>
      <c r="C373" s="96"/>
      <c r="D373" s="97"/>
      <c r="E373" s="97"/>
      <c r="F373" s="97"/>
      <c r="G373" s="97"/>
    </row>
    <row r="374" spans="1:7" ht="14.25" customHeight="1">
      <c r="A374" s="97"/>
      <c r="B374" s="97"/>
      <c r="C374" s="96"/>
      <c r="D374" s="97"/>
      <c r="E374" s="97"/>
      <c r="F374" s="97"/>
      <c r="G374" s="97"/>
    </row>
    <row r="375" spans="1:7" ht="14.25" customHeight="1">
      <c r="A375" s="97"/>
      <c r="B375" s="97"/>
      <c r="C375" s="96"/>
      <c r="D375" s="97"/>
      <c r="E375" s="97"/>
      <c r="F375" s="97"/>
      <c r="G375" s="97"/>
    </row>
    <row r="376" spans="1:7" ht="14.25" customHeight="1">
      <c r="A376" s="97"/>
      <c r="B376" s="97"/>
      <c r="C376" s="96"/>
      <c r="D376" s="97"/>
      <c r="E376" s="97"/>
      <c r="F376" s="97"/>
      <c r="G376" s="97"/>
    </row>
    <row r="377" spans="1:7" ht="14.25" customHeight="1">
      <c r="A377" s="97"/>
      <c r="B377" s="97"/>
      <c r="C377" s="96"/>
      <c r="D377" s="97"/>
      <c r="E377" s="97"/>
      <c r="F377" s="97"/>
      <c r="G377" s="97"/>
    </row>
    <row r="378" spans="1:7" ht="14.25" customHeight="1">
      <c r="A378" s="97"/>
      <c r="B378" s="97"/>
      <c r="C378" s="96"/>
      <c r="D378" s="97"/>
      <c r="E378" s="97"/>
      <c r="F378" s="97"/>
      <c r="G378" s="97"/>
    </row>
    <row r="379" spans="1:7" ht="14.25" customHeight="1">
      <c r="A379" s="97"/>
      <c r="B379" s="97"/>
      <c r="C379" s="96"/>
      <c r="D379" s="97"/>
      <c r="E379" s="97"/>
      <c r="F379" s="97"/>
      <c r="G379" s="97"/>
    </row>
    <row r="380" spans="1:7" ht="14.25" customHeight="1">
      <c r="A380" s="97"/>
      <c r="B380" s="97"/>
      <c r="C380" s="96"/>
      <c r="D380" s="97"/>
      <c r="E380" s="97"/>
      <c r="F380" s="97"/>
      <c r="G380" s="97"/>
    </row>
    <row r="381" spans="1:7" ht="14.25" customHeight="1">
      <c r="A381" s="97"/>
      <c r="B381" s="97"/>
      <c r="C381" s="96"/>
      <c r="D381" s="97"/>
      <c r="E381" s="97"/>
      <c r="F381" s="97"/>
      <c r="G381" s="97"/>
    </row>
    <row r="382" spans="1:7" ht="14.25" customHeight="1">
      <c r="A382" s="97"/>
      <c r="B382" s="97"/>
      <c r="C382" s="96"/>
      <c r="D382" s="97"/>
      <c r="E382" s="97"/>
      <c r="F382" s="97"/>
      <c r="G382" s="97"/>
    </row>
    <row r="383" spans="1:7" ht="14.25" customHeight="1">
      <c r="A383" s="97"/>
      <c r="B383" s="97"/>
      <c r="C383" s="96"/>
      <c r="D383" s="97"/>
      <c r="E383" s="97"/>
      <c r="F383" s="97"/>
      <c r="G383" s="97"/>
    </row>
    <row r="384" spans="1:7" ht="14.25" customHeight="1">
      <c r="A384" s="97"/>
      <c r="B384" s="97"/>
      <c r="C384" s="96"/>
      <c r="D384" s="97"/>
      <c r="E384" s="97"/>
      <c r="F384" s="97"/>
      <c r="G384" s="97"/>
    </row>
    <row r="385" spans="1:7" ht="14.25" customHeight="1">
      <c r="A385" s="97"/>
      <c r="B385" s="97"/>
      <c r="C385" s="96"/>
      <c r="D385" s="97"/>
      <c r="E385" s="97"/>
      <c r="F385" s="97"/>
      <c r="G385" s="97"/>
    </row>
    <row r="386" spans="1:7" ht="14.25" customHeight="1">
      <c r="A386" s="97"/>
      <c r="B386" s="97"/>
      <c r="C386" s="96"/>
      <c r="D386" s="97"/>
      <c r="E386" s="97"/>
      <c r="F386" s="97"/>
      <c r="G386" s="97"/>
    </row>
    <row r="387" spans="1:7" ht="14.25" customHeight="1">
      <c r="A387" s="97"/>
      <c r="B387" s="97"/>
      <c r="C387" s="96"/>
      <c r="D387" s="97"/>
      <c r="E387" s="97"/>
      <c r="F387" s="97"/>
      <c r="G387" s="97"/>
    </row>
    <row r="388" spans="1:7" ht="14.25" customHeight="1">
      <c r="A388" s="97"/>
      <c r="B388" s="97"/>
      <c r="C388" s="96"/>
      <c r="D388" s="97"/>
      <c r="E388" s="97"/>
      <c r="F388" s="97"/>
      <c r="G388" s="97"/>
    </row>
    <row r="389" spans="1:7" ht="14.25" customHeight="1">
      <c r="A389" s="97"/>
      <c r="B389" s="97"/>
      <c r="C389" s="96"/>
      <c r="D389" s="97"/>
      <c r="E389" s="97"/>
      <c r="F389" s="97"/>
      <c r="G389" s="97"/>
    </row>
    <row r="390" spans="1:7" ht="14.25" customHeight="1">
      <c r="A390" s="97"/>
      <c r="B390" s="97"/>
      <c r="C390" s="96"/>
      <c r="D390" s="97"/>
      <c r="E390" s="97"/>
      <c r="F390" s="97"/>
      <c r="G390" s="97"/>
    </row>
    <row r="391" spans="1:7" ht="14.25" customHeight="1">
      <c r="A391" s="97"/>
      <c r="B391" s="97"/>
      <c r="C391" s="96"/>
      <c r="D391" s="97"/>
      <c r="E391" s="97"/>
      <c r="F391" s="97"/>
      <c r="G391" s="97"/>
    </row>
    <row r="392" spans="1:7" ht="14.25" customHeight="1">
      <c r="A392" s="97"/>
      <c r="B392" s="97"/>
      <c r="C392" s="96"/>
      <c r="D392" s="97"/>
      <c r="E392" s="97"/>
      <c r="F392" s="97"/>
      <c r="G392" s="97"/>
    </row>
    <row r="393" spans="1:7" ht="14.25" customHeight="1">
      <c r="A393" s="97"/>
      <c r="B393" s="97"/>
      <c r="C393" s="96"/>
      <c r="D393" s="97"/>
      <c r="E393" s="97"/>
      <c r="F393" s="97"/>
      <c r="G393" s="97"/>
    </row>
    <row r="394" spans="1:7" ht="14.25" customHeight="1">
      <c r="A394" s="97"/>
      <c r="B394" s="97"/>
      <c r="C394" s="96"/>
      <c r="D394" s="97"/>
      <c r="E394" s="97"/>
      <c r="F394" s="97"/>
      <c r="G394" s="97"/>
    </row>
    <row r="395" spans="1:7" ht="14.25" customHeight="1">
      <c r="A395" s="97"/>
      <c r="B395" s="97"/>
      <c r="C395" s="96"/>
      <c r="D395" s="97"/>
      <c r="E395" s="97"/>
      <c r="F395" s="97"/>
      <c r="G395" s="97"/>
    </row>
    <row r="396" spans="1:7" ht="14.25" customHeight="1">
      <c r="A396" s="97"/>
      <c r="B396" s="97"/>
      <c r="C396" s="96"/>
      <c r="D396" s="97"/>
      <c r="E396" s="97"/>
      <c r="F396" s="97"/>
      <c r="G396" s="97"/>
    </row>
    <row r="397" spans="1:7" ht="14.25" customHeight="1">
      <c r="A397" s="97"/>
      <c r="B397" s="97"/>
      <c r="C397" s="96"/>
      <c r="D397" s="97"/>
      <c r="E397" s="97"/>
      <c r="F397" s="97"/>
      <c r="G397" s="97"/>
    </row>
    <row r="398" spans="1:7" ht="14.25" customHeight="1">
      <c r="A398" s="97"/>
      <c r="B398" s="97"/>
      <c r="C398" s="96"/>
      <c r="D398" s="97"/>
      <c r="E398" s="97"/>
      <c r="F398" s="97"/>
      <c r="G398" s="97"/>
    </row>
    <row r="399" spans="1:7" ht="14.25" customHeight="1">
      <c r="A399" s="97"/>
      <c r="B399" s="97"/>
      <c r="C399" s="96"/>
      <c r="D399" s="97"/>
      <c r="E399" s="97"/>
      <c r="F399" s="97"/>
      <c r="G399" s="97"/>
    </row>
    <row r="400" spans="1:7" ht="14.25" customHeight="1">
      <c r="A400" s="97"/>
      <c r="B400" s="97"/>
      <c r="C400" s="96"/>
      <c r="D400" s="97"/>
      <c r="E400" s="97"/>
      <c r="F400" s="97"/>
      <c r="G400" s="97"/>
    </row>
    <row r="401" spans="1:7" ht="14.25" customHeight="1">
      <c r="A401" s="97"/>
      <c r="B401" s="97"/>
      <c r="C401" s="96"/>
      <c r="D401" s="97"/>
      <c r="E401" s="97"/>
      <c r="F401" s="97"/>
      <c r="G401" s="97"/>
    </row>
    <row r="402" spans="1:7" ht="14.25" customHeight="1">
      <c r="A402" s="97"/>
      <c r="B402" s="97"/>
      <c r="C402" s="96"/>
      <c r="D402" s="97"/>
      <c r="E402" s="97"/>
      <c r="F402" s="97"/>
      <c r="G402" s="97"/>
    </row>
    <row r="403" spans="1:7" ht="14.25" customHeight="1">
      <c r="A403" s="97"/>
      <c r="B403" s="97"/>
      <c r="C403" s="96"/>
      <c r="D403" s="97"/>
      <c r="E403" s="97"/>
      <c r="F403" s="97"/>
      <c r="G403" s="97"/>
    </row>
    <row r="404" spans="1:7" ht="14.25" customHeight="1">
      <c r="A404" s="97"/>
      <c r="B404" s="97"/>
      <c r="C404" s="96"/>
      <c r="D404" s="97"/>
      <c r="E404" s="97"/>
      <c r="F404" s="97"/>
      <c r="G404" s="97"/>
    </row>
    <row r="405" spans="1:7" ht="14.25" customHeight="1">
      <c r="A405" s="97"/>
      <c r="B405" s="97"/>
      <c r="C405" s="96"/>
      <c r="D405" s="97"/>
      <c r="E405" s="97"/>
      <c r="F405" s="97"/>
      <c r="G405" s="97"/>
    </row>
    <row r="406" spans="1:7" ht="14.25" customHeight="1">
      <c r="A406" s="97"/>
      <c r="B406" s="97"/>
      <c r="C406" s="96"/>
      <c r="D406" s="97"/>
      <c r="E406" s="97"/>
      <c r="F406" s="97"/>
      <c r="G406" s="97"/>
    </row>
    <row r="407" spans="1:7" ht="14.25" customHeight="1">
      <c r="A407" s="97"/>
      <c r="B407" s="97"/>
      <c r="C407" s="96"/>
      <c r="D407" s="97"/>
      <c r="E407" s="97"/>
      <c r="F407" s="97"/>
      <c r="G407" s="97"/>
    </row>
    <row r="408" spans="1:7" ht="14.25" customHeight="1">
      <c r="A408" s="97"/>
      <c r="B408" s="97"/>
      <c r="C408" s="96"/>
      <c r="D408" s="97"/>
      <c r="E408" s="97"/>
      <c r="F408" s="97"/>
      <c r="G408" s="97"/>
    </row>
    <row r="409" spans="1:7" ht="14.25" customHeight="1">
      <c r="A409" s="97"/>
      <c r="B409" s="97"/>
      <c r="C409" s="96"/>
      <c r="D409" s="97"/>
      <c r="E409" s="97"/>
      <c r="F409" s="97"/>
      <c r="G409" s="97"/>
    </row>
    <row r="410" spans="1:7" ht="14.25" customHeight="1">
      <c r="A410" s="97"/>
      <c r="B410" s="97"/>
      <c r="C410" s="96"/>
      <c r="D410" s="97"/>
      <c r="E410" s="97"/>
      <c r="F410" s="97"/>
      <c r="G410" s="97"/>
    </row>
    <row r="411" spans="1:7" ht="14.25" customHeight="1">
      <c r="A411" s="97"/>
      <c r="B411" s="97"/>
      <c r="C411" s="96"/>
      <c r="D411" s="97"/>
      <c r="E411" s="97"/>
      <c r="F411" s="97"/>
      <c r="G411" s="97"/>
    </row>
    <row r="412" spans="1:7" ht="14.25" customHeight="1">
      <c r="A412" s="97"/>
      <c r="B412" s="97"/>
      <c r="C412" s="96"/>
      <c r="D412" s="97"/>
      <c r="E412" s="97"/>
      <c r="F412" s="97"/>
      <c r="G412" s="97"/>
    </row>
    <row r="413" spans="1:7" ht="14.25" customHeight="1">
      <c r="A413" s="97"/>
      <c r="B413" s="97"/>
      <c r="C413" s="96"/>
      <c r="D413" s="97"/>
      <c r="E413" s="97"/>
      <c r="F413" s="97"/>
      <c r="G413" s="97"/>
    </row>
    <row r="414" spans="1:7" ht="14.25" customHeight="1">
      <c r="A414" s="97"/>
      <c r="B414" s="97"/>
      <c r="C414" s="96"/>
      <c r="D414" s="97"/>
      <c r="E414" s="97"/>
      <c r="F414" s="97"/>
      <c r="G414" s="97"/>
    </row>
    <row r="415" spans="1:7" ht="14.25" customHeight="1">
      <c r="A415" s="97"/>
      <c r="B415" s="97"/>
      <c r="C415" s="96"/>
      <c r="D415" s="97"/>
      <c r="E415" s="97"/>
      <c r="F415" s="97"/>
      <c r="G415" s="97"/>
    </row>
    <row r="416" spans="1:7" ht="14.25" customHeight="1">
      <c r="A416" s="97"/>
      <c r="B416" s="97"/>
      <c r="C416" s="96"/>
      <c r="D416" s="97"/>
      <c r="E416" s="97"/>
      <c r="F416" s="97"/>
      <c r="G416" s="97"/>
    </row>
    <row r="417" spans="1:7" ht="14.25" customHeight="1">
      <c r="A417" s="97"/>
      <c r="B417" s="97"/>
      <c r="C417" s="96"/>
      <c r="D417" s="97"/>
      <c r="E417" s="97"/>
      <c r="F417" s="97"/>
      <c r="G417" s="97"/>
    </row>
    <row r="418" spans="1:7" ht="14.25" customHeight="1">
      <c r="A418" s="97"/>
      <c r="B418" s="97"/>
      <c r="C418" s="96"/>
      <c r="D418" s="97"/>
      <c r="E418" s="97"/>
      <c r="F418" s="97"/>
      <c r="G418" s="97"/>
    </row>
    <row r="419" spans="1:7" ht="14.25" customHeight="1">
      <c r="A419" s="97"/>
      <c r="B419" s="97"/>
      <c r="C419" s="96"/>
      <c r="D419" s="97"/>
      <c r="E419" s="97"/>
      <c r="F419" s="97"/>
      <c r="G419" s="97"/>
    </row>
    <row r="420" spans="1:7" ht="14.25" customHeight="1">
      <c r="A420" s="97"/>
      <c r="B420" s="97"/>
      <c r="C420" s="96"/>
      <c r="D420" s="97"/>
      <c r="E420" s="97"/>
      <c r="F420" s="97"/>
      <c r="G420" s="97"/>
    </row>
    <row r="421" spans="1:7" ht="14.25" customHeight="1">
      <c r="A421" s="97"/>
      <c r="B421" s="97"/>
      <c r="C421" s="96"/>
      <c r="D421" s="97"/>
      <c r="E421" s="97"/>
      <c r="F421" s="97"/>
      <c r="G421" s="97"/>
    </row>
    <row r="422" spans="1:7" ht="14.25" customHeight="1">
      <c r="A422" s="97"/>
      <c r="B422" s="97"/>
      <c r="C422" s="96"/>
      <c r="D422" s="97"/>
      <c r="E422" s="97"/>
      <c r="F422" s="97"/>
      <c r="G422" s="97"/>
    </row>
    <row r="423" spans="1:7" ht="14.25" customHeight="1">
      <c r="A423" s="97"/>
      <c r="B423" s="97"/>
      <c r="C423" s="96"/>
      <c r="D423" s="97"/>
      <c r="E423" s="97"/>
      <c r="F423" s="97"/>
      <c r="G423" s="97"/>
    </row>
    <row r="424" spans="1:7" ht="14.25" customHeight="1">
      <c r="A424" s="97"/>
      <c r="B424" s="97"/>
      <c r="C424" s="96"/>
      <c r="D424" s="97"/>
      <c r="E424" s="97"/>
      <c r="F424" s="97"/>
      <c r="G424" s="97"/>
    </row>
    <row r="425" spans="1:7" ht="14.25" customHeight="1">
      <c r="A425" s="97"/>
      <c r="B425" s="97"/>
      <c r="C425" s="96"/>
      <c r="D425" s="97"/>
      <c r="E425" s="97"/>
      <c r="F425" s="97"/>
      <c r="G425" s="97"/>
    </row>
    <row r="426" spans="1:7" ht="14.25" customHeight="1">
      <c r="A426" s="97"/>
      <c r="B426" s="97"/>
      <c r="C426" s="96"/>
      <c r="D426" s="97"/>
      <c r="E426" s="97"/>
      <c r="F426" s="97"/>
      <c r="G426" s="97"/>
    </row>
    <row r="427" spans="1:7" ht="14.25" customHeight="1">
      <c r="A427" s="97"/>
      <c r="B427" s="97"/>
      <c r="C427" s="96"/>
      <c r="D427" s="97"/>
      <c r="E427" s="97"/>
      <c r="F427" s="97"/>
      <c r="G427" s="97"/>
    </row>
    <row r="428" spans="1:7" ht="14.25" customHeight="1">
      <c r="A428" s="97"/>
      <c r="B428" s="97"/>
      <c r="C428" s="96"/>
      <c r="D428" s="97"/>
      <c r="E428" s="97"/>
      <c r="F428" s="97"/>
      <c r="G428" s="97"/>
    </row>
    <row r="429" spans="1:7" ht="14.25" customHeight="1">
      <c r="A429" s="97"/>
      <c r="B429" s="97"/>
      <c r="C429" s="96"/>
      <c r="D429" s="97"/>
      <c r="E429" s="97"/>
      <c r="F429" s="97"/>
      <c r="G429" s="97"/>
    </row>
    <row r="430" spans="1:7" ht="14.25" customHeight="1">
      <c r="A430" s="97"/>
      <c r="B430" s="97"/>
      <c r="C430" s="96"/>
      <c r="D430" s="97"/>
      <c r="E430" s="97"/>
      <c r="F430" s="97"/>
      <c r="G430" s="97"/>
    </row>
    <row r="431" spans="1:7" ht="14.25" customHeight="1">
      <c r="A431" s="97"/>
      <c r="B431" s="97"/>
      <c r="C431" s="96"/>
      <c r="D431" s="97"/>
      <c r="E431" s="97"/>
      <c r="F431" s="97"/>
      <c r="G431" s="97"/>
    </row>
    <row r="432" spans="1:7" ht="14.25" customHeight="1">
      <c r="A432" s="97"/>
      <c r="B432" s="97"/>
      <c r="C432" s="96"/>
      <c r="D432" s="97"/>
      <c r="E432" s="97"/>
      <c r="F432" s="97"/>
      <c r="G432" s="97"/>
    </row>
    <row r="433" spans="1:7" ht="14.25" customHeight="1">
      <c r="A433" s="97"/>
      <c r="B433" s="97"/>
      <c r="C433" s="96"/>
      <c r="D433" s="97"/>
      <c r="E433" s="97"/>
      <c r="F433" s="97"/>
      <c r="G433" s="97"/>
    </row>
    <row r="434" spans="1:7" ht="14.25" customHeight="1">
      <c r="A434" s="97"/>
      <c r="B434" s="97"/>
      <c r="C434" s="96"/>
      <c r="D434" s="97"/>
      <c r="E434" s="97"/>
      <c r="F434" s="97"/>
      <c r="G434" s="97"/>
    </row>
    <row r="435" spans="1:7" ht="14.25" customHeight="1">
      <c r="A435" s="97"/>
      <c r="B435" s="97"/>
      <c r="C435" s="96"/>
      <c r="D435" s="97"/>
      <c r="E435" s="97"/>
      <c r="F435" s="97"/>
      <c r="G435" s="97"/>
    </row>
    <row r="436" spans="1:7" ht="14.25" customHeight="1">
      <c r="A436" s="97"/>
      <c r="B436" s="97"/>
      <c r="C436" s="96"/>
      <c r="D436" s="97"/>
      <c r="E436" s="97"/>
      <c r="F436" s="97"/>
      <c r="G436" s="97"/>
    </row>
    <row r="437" spans="1:7" ht="14.25" customHeight="1">
      <c r="A437" s="97"/>
      <c r="B437" s="97"/>
      <c r="C437" s="96"/>
      <c r="D437" s="97"/>
      <c r="E437" s="97"/>
      <c r="F437" s="97"/>
      <c r="G437" s="97"/>
    </row>
    <row r="438" spans="1:7" ht="14.25" customHeight="1">
      <c r="A438" s="97"/>
      <c r="B438" s="97"/>
      <c r="C438" s="96"/>
      <c r="D438" s="97"/>
      <c r="E438" s="97"/>
      <c r="F438" s="97"/>
      <c r="G438" s="97"/>
    </row>
    <row r="439" spans="1:7" ht="14.25" customHeight="1">
      <c r="A439" s="97"/>
      <c r="B439" s="97"/>
      <c r="C439" s="96"/>
      <c r="D439" s="97"/>
      <c r="E439" s="97"/>
      <c r="F439" s="97"/>
      <c r="G439" s="97"/>
    </row>
    <row r="440" spans="1:7" ht="14.25" customHeight="1">
      <c r="A440" s="97"/>
      <c r="B440" s="97"/>
      <c r="C440" s="96"/>
      <c r="D440" s="97"/>
      <c r="E440" s="97"/>
      <c r="F440" s="97"/>
      <c r="G440" s="97"/>
    </row>
    <row r="441" spans="1:7" ht="14.25" customHeight="1">
      <c r="A441" s="97"/>
      <c r="B441" s="97"/>
      <c r="C441" s="96"/>
      <c r="D441" s="97"/>
      <c r="E441" s="97"/>
      <c r="F441" s="97"/>
      <c r="G441" s="97"/>
    </row>
    <row r="442" spans="1:7" ht="14.25" customHeight="1">
      <c r="A442" s="97"/>
      <c r="B442" s="97"/>
      <c r="C442" s="96"/>
      <c r="D442" s="97"/>
      <c r="E442" s="97"/>
      <c r="F442" s="97"/>
      <c r="G442" s="97"/>
    </row>
    <row r="443" spans="1:7" ht="14.25" customHeight="1">
      <c r="A443" s="97"/>
      <c r="B443" s="97"/>
      <c r="C443" s="96"/>
      <c r="D443" s="97"/>
      <c r="E443" s="97"/>
      <c r="F443" s="97"/>
      <c r="G443" s="97"/>
    </row>
    <row r="444" spans="1:7" ht="14.25" customHeight="1">
      <c r="A444" s="97"/>
      <c r="B444" s="97"/>
      <c r="C444" s="96"/>
      <c r="D444" s="97"/>
      <c r="E444" s="97"/>
      <c r="F444" s="97"/>
      <c r="G444" s="97"/>
    </row>
    <row r="445" spans="1:7" ht="14.25" customHeight="1">
      <c r="A445" s="97"/>
      <c r="B445" s="97"/>
      <c r="C445" s="96"/>
      <c r="D445" s="97"/>
      <c r="E445" s="97"/>
      <c r="F445" s="97"/>
      <c r="G445" s="97"/>
    </row>
    <row r="446" spans="1:7" ht="14.25" customHeight="1">
      <c r="A446" s="97"/>
      <c r="B446" s="97"/>
      <c r="C446" s="96"/>
      <c r="D446" s="97"/>
      <c r="E446" s="97"/>
      <c r="F446" s="97"/>
      <c r="G446" s="97"/>
    </row>
    <row r="447" spans="1:7" ht="14.25" customHeight="1">
      <c r="A447" s="97"/>
      <c r="B447" s="97"/>
      <c r="C447" s="96"/>
      <c r="D447" s="97"/>
      <c r="E447" s="97"/>
      <c r="F447" s="97"/>
      <c r="G447" s="97"/>
    </row>
    <row r="448" spans="1:7" ht="14.25" customHeight="1">
      <c r="A448" s="97"/>
      <c r="B448" s="97"/>
      <c r="C448" s="96"/>
      <c r="D448" s="97"/>
      <c r="E448" s="97"/>
      <c r="F448" s="97"/>
      <c r="G448" s="97"/>
    </row>
    <row r="449" spans="1:7" ht="14.25" customHeight="1">
      <c r="A449" s="97"/>
      <c r="B449" s="97"/>
      <c r="C449" s="96"/>
      <c r="D449" s="97"/>
      <c r="E449" s="97"/>
      <c r="F449" s="97"/>
      <c r="G449" s="97"/>
    </row>
    <row r="450" spans="1:7" ht="14.25" customHeight="1">
      <c r="A450" s="97"/>
      <c r="B450" s="97"/>
      <c r="C450" s="96"/>
      <c r="D450" s="97"/>
      <c r="E450" s="97"/>
      <c r="F450" s="97"/>
      <c r="G450" s="97"/>
    </row>
    <row r="451" spans="1:7" ht="14.25" customHeight="1">
      <c r="A451" s="97"/>
      <c r="B451" s="97"/>
      <c r="C451" s="96"/>
      <c r="D451" s="97"/>
      <c r="E451" s="97"/>
      <c r="F451" s="97"/>
      <c r="G451" s="97"/>
    </row>
    <row r="452" spans="1:7" ht="14.25" customHeight="1">
      <c r="A452" s="97"/>
      <c r="B452" s="97"/>
      <c r="C452" s="96"/>
      <c r="D452" s="97"/>
      <c r="E452" s="97"/>
      <c r="F452" s="97"/>
      <c r="G452" s="97"/>
    </row>
    <row r="453" spans="1:7" ht="14.25" customHeight="1">
      <c r="A453" s="97"/>
      <c r="B453" s="97"/>
      <c r="C453" s="96"/>
      <c r="D453" s="97"/>
      <c r="E453" s="97"/>
      <c r="F453" s="97"/>
      <c r="G453" s="97"/>
    </row>
    <row r="454" spans="1:7" ht="14.25" customHeight="1">
      <c r="A454" s="97"/>
      <c r="B454" s="97"/>
      <c r="C454" s="96"/>
      <c r="D454" s="97"/>
      <c r="E454" s="97"/>
      <c r="F454" s="97"/>
      <c r="G454" s="97"/>
    </row>
    <row r="455" spans="1:7" ht="14.25" customHeight="1">
      <c r="A455" s="97"/>
      <c r="B455" s="97"/>
      <c r="C455" s="96"/>
      <c r="D455" s="97"/>
      <c r="E455" s="97"/>
      <c r="F455" s="97"/>
      <c r="G455" s="97"/>
    </row>
    <row r="456" spans="1:7" ht="14.25" customHeight="1">
      <c r="A456" s="97"/>
      <c r="B456" s="97"/>
      <c r="C456" s="96"/>
      <c r="D456" s="97"/>
      <c r="E456" s="97"/>
      <c r="F456" s="97"/>
      <c r="G456" s="97"/>
    </row>
    <row r="457" spans="1:7" ht="14.25" customHeight="1">
      <c r="A457" s="97"/>
      <c r="B457" s="97"/>
      <c r="C457" s="96"/>
      <c r="D457" s="97"/>
      <c r="E457" s="97"/>
      <c r="F457" s="97"/>
      <c r="G457" s="97"/>
    </row>
    <row r="458" spans="1:7" ht="14.25" customHeight="1">
      <c r="A458" s="97"/>
      <c r="B458" s="97"/>
      <c r="C458" s="96"/>
      <c r="D458" s="97"/>
      <c r="E458" s="97"/>
      <c r="F458" s="97"/>
      <c r="G458" s="97"/>
    </row>
    <row r="459" spans="1:7" ht="14.25" customHeight="1">
      <c r="A459" s="97"/>
      <c r="B459" s="97"/>
      <c r="C459" s="96"/>
      <c r="D459" s="97"/>
      <c r="E459" s="97"/>
      <c r="F459" s="97"/>
      <c r="G459" s="97"/>
    </row>
    <row r="460" spans="1:7" ht="14.25" customHeight="1">
      <c r="A460" s="97"/>
      <c r="B460" s="97"/>
      <c r="C460" s="96"/>
      <c r="D460" s="97"/>
      <c r="E460" s="97"/>
      <c r="F460" s="97"/>
      <c r="G460" s="97"/>
    </row>
    <row r="461" spans="1:7" ht="14.25" customHeight="1">
      <c r="A461" s="97"/>
      <c r="B461" s="97"/>
      <c r="C461" s="96"/>
      <c r="D461" s="97"/>
      <c r="E461" s="97"/>
      <c r="F461" s="97"/>
      <c r="G461" s="97"/>
    </row>
    <row r="462" spans="1:7" ht="14.25" customHeight="1">
      <c r="A462" s="97"/>
      <c r="B462" s="97"/>
      <c r="C462" s="96"/>
      <c r="D462" s="97"/>
      <c r="E462" s="97"/>
      <c r="F462" s="97"/>
      <c r="G462" s="97"/>
    </row>
    <row r="463" spans="1:7" ht="14.25" customHeight="1">
      <c r="A463" s="97"/>
      <c r="B463" s="97"/>
      <c r="C463" s="96"/>
      <c r="D463" s="97"/>
      <c r="E463" s="97"/>
      <c r="F463" s="97"/>
      <c r="G463" s="97"/>
    </row>
    <row r="464" spans="1:7" ht="14.25" customHeight="1">
      <c r="A464" s="97"/>
      <c r="B464" s="97"/>
      <c r="C464" s="96"/>
      <c r="D464" s="97"/>
      <c r="E464" s="97"/>
      <c r="F464" s="97"/>
      <c r="G464" s="97"/>
    </row>
    <row r="465" spans="1:7" ht="14.25" customHeight="1">
      <c r="A465" s="97"/>
      <c r="B465" s="97"/>
      <c r="C465" s="96"/>
      <c r="D465" s="97"/>
      <c r="E465" s="97"/>
      <c r="F465" s="97"/>
      <c r="G465" s="97"/>
    </row>
    <row r="466" spans="1:7" ht="14.25" customHeight="1">
      <c r="A466" s="97"/>
      <c r="B466" s="97"/>
      <c r="C466" s="96"/>
      <c r="D466" s="97"/>
      <c r="E466" s="97"/>
      <c r="F466" s="97"/>
      <c r="G466" s="97"/>
    </row>
    <row r="467" spans="1:7" ht="14.25" customHeight="1">
      <c r="A467" s="97"/>
      <c r="B467" s="97"/>
      <c r="C467" s="96"/>
      <c r="D467" s="97"/>
      <c r="E467" s="97"/>
      <c r="F467" s="97"/>
      <c r="G467" s="97"/>
    </row>
    <row r="468" spans="1:7" ht="14.25" customHeight="1">
      <c r="A468" s="97"/>
      <c r="B468" s="97"/>
      <c r="C468" s="96"/>
      <c r="D468" s="97"/>
      <c r="E468" s="97"/>
      <c r="F468" s="97"/>
      <c r="G468" s="97"/>
    </row>
    <row r="469" spans="1:7" ht="14.25" customHeight="1">
      <c r="A469" s="97"/>
      <c r="B469" s="97"/>
      <c r="C469" s="96"/>
      <c r="D469" s="97"/>
      <c r="E469" s="97"/>
      <c r="F469" s="97"/>
      <c r="G469" s="97"/>
    </row>
    <row r="470" spans="1:7" ht="14.25" customHeight="1">
      <c r="A470" s="97"/>
      <c r="B470" s="97"/>
      <c r="C470" s="96"/>
      <c r="D470" s="97"/>
      <c r="E470" s="97"/>
      <c r="F470" s="97"/>
      <c r="G470" s="97"/>
    </row>
    <row r="471" spans="1:7" ht="14.25" customHeight="1">
      <c r="A471" s="97"/>
      <c r="B471" s="97"/>
      <c r="C471" s="96"/>
      <c r="D471" s="97"/>
      <c r="E471" s="97"/>
      <c r="F471" s="97"/>
      <c r="G471" s="97"/>
    </row>
    <row r="472" spans="1:7" ht="14.25" customHeight="1">
      <c r="A472" s="97"/>
      <c r="B472" s="97"/>
      <c r="C472" s="96"/>
      <c r="D472" s="97"/>
      <c r="E472" s="97"/>
      <c r="F472" s="97"/>
      <c r="G472" s="97"/>
    </row>
    <row r="473" spans="1:7" ht="14.25" customHeight="1">
      <c r="A473" s="97"/>
      <c r="B473" s="97"/>
      <c r="C473" s="96"/>
      <c r="D473" s="97"/>
      <c r="E473" s="97"/>
      <c r="F473" s="97"/>
      <c r="G473" s="97"/>
    </row>
    <row r="474" spans="1:7" ht="14.25" customHeight="1">
      <c r="A474" s="97"/>
      <c r="B474" s="97"/>
      <c r="C474" s="96"/>
      <c r="D474" s="97"/>
      <c r="E474" s="97"/>
      <c r="F474" s="97"/>
      <c r="G474" s="97"/>
    </row>
    <row r="475" spans="1:7" ht="14.25" customHeight="1">
      <c r="A475" s="97"/>
      <c r="B475" s="97"/>
      <c r="C475" s="96"/>
      <c r="D475" s="97"/>
      <c r="E475" s="97"/>
      <c r="F475" s="97"/>
      <c r="G475" s="97"/>
    </row>
    <row r="476" spans="1:7" ht="14.25" customHeight="1">
      <c r="A476" s="97"/>
      <c r="B476" s="97"/>
      <c r="C476" s="96"/>
      <c r="D476" s="97"/>
      <c r="E476" s="97"/>
      <c r="F476" s="97"/>
      <c r="G476" s="97"/>
    </row>
    <row r="477" spans="1:7" ht="14.25" customHeight="1">
      <c r="A477" s="97"/>
      <c r="B477" s="97"/>
      <c r="C477" s="96"/>
      <c r="D477" s="97"/>
      <c r="E477" s="97"/>
      <c r="F477" s="97"/>
      <c r="G477" s="97"/>
    </row>
    <row r="478" spans="1:7" ht="14.25" customHeight="1">
      <c r="A478" s="97"/>
      <c r="B478" s="97"/>
      <c r="C478" s="96"/>
      <c r="D478" s="97"/>
      <c r="E478" s="97"/>
      <c r="F478" s="97"/>
      <c r="G478" s="97"/>
    </row>
    <row r="479" spans="1:7" ht="14.25" customHeight="1">
      <c r="A479" s="97"/>
      <c r="B479" s="97"/>
      <c r="C479" s="96"/>
      <c r="D479" s="97"/>
      <c r="E479" s="97"/>
      <c r="F479" s="97"/>
      <c r="G479" s="97"/>
    </row>
    <row r="480" spans="1:7" ht="14.25" customHeight="1">
      <c r="A480" s="97"/>
      <c r="B480" s="97"/>
      <c r="C480" s="96"/>
      <c r="D480" s="97"/>
      <c r="E480" s="97"/>
      <c r="F480" s="97"/>
      <c r="G480" s="97"/>
    </row>
    <row r="481" spans="1:7" ht="14.25" customHeight="1">
      <c r="A481" s="97"/>
      <c r="B481" s="97"/>
      <c r="C481" s="96"/>
      <c r="D481" s="97"/>
      <c r="E481" s="97"/>
      <c r="F481" s="97"/>
      <c r="G481" s="97"/>
    </row>
    <row r="482" spans="1:7" ht="14.25" customHeight="1">
      <c r="A482" s="97"/>
      <c r="B482" s="97"/>
      <c r="C482" s="96"/>
      <c r="D482" s="97"/>
      <c r="E482" s="97"/>
      <c r="F482" s="97"/>
      <c r="G482" s="97"/>
    </row>
    <row r="483" spans="1:7" ht="14.25" customHeight="1">
      <c r="A483" s="97"/>
      <c r="B483" s="97"/>
      <c r="C483" s="96"/>
      <c r="D483" s="97"/>
      <c r="E483" s="97"/>
      <c r="F483" s="97"/>
      <c r="G483" s="97"/>
    </row>
    <row r="484" spans="1:7" ht="14.25" customHeight="1">
      <c r="A484" s="97"/>
      <c r="B484" s="97"/>
      <c r="C484" s="96"/>
      <c r="D484" s="97"/>
      <c r="E484" s="97"/>
      <c r="F484" s="97"/>
      <c r="G484" s="97"/>
    </row>
    <row r="485" spans="1:7" ht="14.25" customHeight="1">
      <c r="A485" s="97"/>
      <c r="B485" s="97"/>
      <c r="C485" s="96"/>
      <c r="D485" s="97"/>
      <c r="E485" s="97"/>
      <c r="F485" s="97"/>
      <c r="G485" s="97"/>
    </row>
    <row r="486" spans="1:7" ht="14.25" customHeight="1">
      <c r="A486" s="97"/>
      <c r="B486" s="97"/>
      <c r="C486" s="96"/>
      <c r="D486" s="97"/>
      <c r="E486" s="97"/>
      <c r="F486" s="97"/>
      <c r="G486" s="97"/>
    </row>
    <row r="487" spans="1:7" ht="14.25" customHeight="1">
      <c r="A487" s="97"/>
      <c r="B487" s="97"/>
      <c r="C487" s="96"/>
      <c r="D487" s="97"/>
      <c r="E487" s="97"/>
      <c r="F487" s="97"/>
      <c r="G487" s="97"/>
    </row>
    <row r="488" spans="1:7" ht="14.25" customHeight="1">
      <c r="A488" s="97"/>
      <c r="B488" s="97"/>
      <c r="C488" s="96"/>
      <c r="D488" s="97"/>
      <c r="E488" s="97"/>
      <c r="F488" s="97"/>
      <c r="G488" s="97"/>
    </row>
    <row r="489" spans="1:7" ht="14.25" customHeight="1">
      <c r="A489" s="97"/>
      <c r="B489" s="97"/>
      <c r="C489" s="96"/>
      <c r="D489" s="97"/>
      <c r="E489" s="97"/>
      <c r="F489" s="97"/>
      <c r="G489" s="97"/>
    </row>
    <row r="490" spans="1:7" ht="14.25" customHeight="1">
      <c r="A490" s="97"/>
      <c r="B490" s="97"/>
      <c r="C490" s="96"/>
      <c r="D490" s="97"/>
      <c r="E490" s="97"/>
      <c r="F490" s="97"/>
      <c r="G490" s="97"/>
    </row>
    <row r="491" spans="1:7" ht="14.25" customHeight="1">
      <c r="A491" s="97"/>
      <c r="B491" s="97"/>
      <c r="C491" s="96"/>
      <c r="D491" s="97"/>
      <c r="E491" s="97"/>
      <c r="F491" s="97"/>
      <c r="G491" s="97"/>
    </row>
    <row r="492" spans="1:7" ht="14.25" customHeight="1">
      <c r="A492" s="97"/>
      <c r="B492" s="97"/>
      <c r="C492" s="96"/>
      <c r="D492" s="97"/>
      <c r="E492" s="97"/>
      <c r="F492" s="97"/>
      <c r="G492" s="97"/>
    </row>
    <row r="493" spans="1:7" ht="14.25" customHeight="1">
      <c r="A493" s="97"/>
      <c r="B493" s="97"/>
      <c r="C493" s="96"/>
      <c r="D493" s="97"/>
      <c r="E493" s="97"/>
      <c r="F493" s="97"/>
      <c r="G493" s="97"/>
    </row>
    <row r="494" spans="1:7" ht="14.25" customHeight="1">
      <c r="A494" s="97"/>
      <c r="B494" s="97"/>
      <c r="C494" s="96"/>
      <c r="D494" s="97"/>
      <c r="E494" s="97"/>
      <c r="F494" s="97"/>
      <c r="G494" s="97"/>
    </row>
    <row r="495" spans="1:7" ht="14.25" customHeight="1">
      <c r="A495" s="97"/>
      <c r="B495" s="97"/>
      <c r="C495" s="96"/>
      <c r="D495" s="97"/>
      <c r="E495" s="97"/>
      <c r="F495" s="97"/>
      <c r="G495" s="97"/>
    </row>
    <row r="496" spans="1:7" ht="14.25" customHeight="1">
      <c r="A496" s="97"/>
      <c r="B496" s="97"/>
      <c r="C496" s="96"/>
      <c r="D496" s="97"/>
      <c r="E496" s="97"/>
      <c r="F496" s="97"/>
      <c r="G496" s="97"/>
    </row>
    <row r="497" spans="1:7" ht="14.25" customHeight="1">
      <c r="A497" s="97"/>
      <c r="B497" s="97"/>
      <c r="C497" s="96"/>
      <c r="D497" s="97"/>
      <c r="E497" s="97"/>
      <c r="F497" s="97"/>
      <c r="G497" s="97"/>
    </row>
    <row r="498" spans="1:7" ht="14.25" customHeight="1">
      <c r="A498" s="97"/>
      <c r="B498" s="97"/>
      <c r="C498" s="96"/>
      <c r="D498" s="97"/>
      <c r="E498" s="97"/>
      <c r="F498" s="97"/>
      <c r="G498" s="97"/>
    </row>
    <row r="499" spans="1:7" ht="14.25" customHeight="1">
      <c r="A499" s="97"/>
      <c r="B499" s="97"/>
      <c r="C499" s="96"/>
      <c r="D499" s="97"/>
      <c r="E499" s="97"/>
      <c r="F499" s="97"/>
      <c r="G499" s="97"/>
    </row>
    <row r="500" spans="1:7" ht="14.25" customHeight="1">
      <c r="A500" s="97"/>
      <c r="B500" s="97"/>
      <c r="C500" s="96"/>
      <c r="D500" s="97"/>
      <c r="E500" s="97"/>
      <c r="F500" s="97"/>
      <c r="G500" s="97"/>
    </row>
    <row r="501" spans="1:7" ht="14.25" customHeight="1">
      <c r="A501" s="97"/>
      <c r="B501" s="97"/>
      <c r="C501" s="96"/>
      <c r="D501" s="97"/>
      <c r="E501" s="97"/>
      <c r="F501" s="97"/>
      <c r="G501" s="97"/>
    </row>
    <row r="502" spans="1:7" ht="14.25" customHeight="1">
      <c r="A502" s="97"/>
      <c r="B502" s="97"/>
      <c r="C502" s="96"/>
      <c r="D502" s="97"/>
      <c r="E502" s="97"/>
      <c r="F502" s="97"/>
      <c r="G502" s="97"/>
    </row>
    <row r="503" spans="1:7" ht="14.25" customHeight="1">
      <c r="A503" s="97"/>
      <c r="B503" s="97"/>
      <c r="C503" s="96"/>
      <c r="D503" s="97"/>
      <c r="E503" s="97"/>
      <c r="F503" s="97"/>
      <c r="G503" s="97"/>
    </row>
    <row r="504" spans="1:7" ht="14.25" customHeight="1">
      <c r="A504" s="97"/>
      <c r="B504" s="97"/>
      <c r="C504" s="96"/>
      <c r="D504" s="97"/>
      <c r="E504" s="97"/>
      <c r="F504" s="97"/>
      <c r="G504" s="97"/>
    </row>
    <row r="505" spans="1:7" ht="14.25" customHeight="1">
      <c r="A505" s="97"/>
      <c r="B505" s="97"/>
      <c r="C505" s="96"/>
      <c r="D505" s="97"/>
      <c r="E505" s="97"/>
      <c r="F505" s="97"/>
      <c r="G505" s="97"/>
    </row>
    <row r="506" spans="1:7" ht="14.25" customHeight="1">
      <c r="A506" s="97"/>
      <c r="B506" s="97"/>
      <c r="C506" s="96"/>
      <c r="D506" s="97"/>
      <c r="E506" s="97"/>
      <c r="F506" s="97"/>
      <c r="G506" s="97"/>
    </row>
    <row r="507" spans="1:7" ht="14.25" customHeight="1">
      <c r="A507" s="97"/>
      <c r="B507" s="97"/>
      <c r="C507" s="96"/>
      <c r="D507" s="97"/>
      <c r="E507" s="97"/>
      <c r="F507" s="97"/>
      <c r="G507" s="97"/>
    </row>
    <row r="508" spans="1:7" ht="14.25" customHeight="1">
      <c r="A508" s="97"/>
      <c r="B508" s="97"/>
      <c r="C508" s="96"/>
      <c r="D508" s="97"/>
      <c r="E508" s="97"/>
      <c r="F508" s="97"/>
      <c r="G508" s="97"/>
    </row>
    <row r="509" spans="1:7" ht="14.25" customHeight="1">
      <c r="A509" s="97"/>
      <c r="B509" s="97"/>
      <c r="C509" s="96"/>
      <c r="D509" s="97"/>
      <c r="E509" s="97"/>
      <c r="F509" s="97"/>
      <c r="G509" s="97"/>
    </row>
    <row r="510" spans="1:7" ht="14.25" customHeight="1">
      <c r="A510" s="97"/>
      <c r="B510" s="97"/>
      <c r="C510" s="96"/>
      <c r="D510" s="97"/>
      <c r="E510" s="97"/>
      <c r="F510" s="97"/>
      <c r="G510" s="97"/>
    </row>
    <row r="511" spans="1:7" ht="14.25" customHeight="1">
      <c r="A511" s="97"/>
      <c r="B511" s="97"/>
      <c r="C511" s="96"/>
      <c r="D511" s="97"/>
      <c r="E511" s="97"/>
      <c r="F511" s="97"/>
      <c r="G511" s="97"/>
    </row>
    <row r="512" spans="1:7" ht="14.25" customHeight="1">
      <c r="A512" s="97"/>
      <c r="B512" s="97"/>
      <c r="C512" s="96"/>
      <c r="D512" s="97"/>
      <c r="E512" s="97"/>
      <c r="F512" s="97"/>
      <c r="G512" s="97"/>
    </row>
    <row r="513" spans="1:7" ht="14.25" customHeight="1">
      <c r="A513" s="97"/>
      <c r="B513" s="97"/>
      <c r="C513" s="96"/>
      <c r="D513" s="97"/>
      <c r="E513" s="97"/>
      <c r="F513" s="97"/>
      <c r="G513" s="97"/>
    </row>
    <row r="514" spans="1:7" ht="14.25" customHeight="1">
      <c r="A514" s="97"/>
      <c r="B514" s="97"/>
      <c r="C514" s="96"/>
      <c r="D514" s="97"/>
      <c r="E514" s="97"/>
      <c r="F514" s="97"/>
      <c r="G514" s="97"/>
    </row>
    <row r="515" spans="1:7" ht="14.25" customHeight="1">
      <c r="A515" s="97"/>
      <c r="B515" s="97"/>
      <c r="C515" s="96"/>
      <c r="D515" s="97"/>
      <c r="E515" s="97"/>
      <c r="F515" s="97"/>
      <c r="G515" s="97"/>
    </row>
    <row r="516" spans="1:7" ht="14.25" customHeight="1">
      <c r="A516" s="97"/>
      <c r="B516" s="97"/>
      <c r="C516" s="96"/>
      <c r="D516" s="97"/>
      <c r="E516" s="97"/>
      <c r="F516" s="97"/>
      <c r="G516" s="97"/>
    </row>
    <row r="517" spans="1:7" ht="14.25" customHeight="1">
      <c r="A517" s="97"/>
      <c r="B517" s="97"/>
      <c r="C517" s="96"/>
      <c r="D517" s="97"/>
      <c r="E517" s="97"/>
      <c r="F517" s="97"/>
      <c r="G517" s="97"/>
    </row>
    <row r="518" spans="1:7" ht="14.25" customHeight="1">
      <c r="A518" s="97"/>
      <c r="B518" s="97"/>
      <c r="C518" s="96"/>
      <c r="D518" s="97"/>
      <c r="E518" s="97"/>
      <c r="F518" s="97"/>
      <c r="G518" s="97"/>
    </row>
    <row r="519" spans="1:7" ht="14.25" customHeight="1">
      <c r="A519" s="97"/>
      <c r="B519" s="97"/>
      <c r="C519" s="96"/>
      <c r="D519" s="97"/>
      <c r="E519" s="97"/>
      <c r="F519" s="97"/>
      <c r="G519" s="97"/>
    </row>
    <row r="520" spans="1:7" ht="14.25" customHeight="1">
      <c r="A520" s="97"/>
      <c r="B520" s="97"/>
      <c r="C520" s="96"/>
      <c r="D520" s="97"/>
      <c r="E520" s="97"/>
      <c r="F520" s="97"/>
      <c r="G520" s="97"/>
    </row>
    <row r="521" spans="1:7" ht="14.25" customHeight="1">
      <c r="A521" s="97"/>
      <c r="B521" s="97"/>
      <c r="C521" s="96"/>
      <c r="D521" s="97"/>
      <c r="E521" s="97"/>
      <c r="F521" s="97"/>
      <c r="G521" s="97"/>
    </row>
    <row r="522" spans="1:7" ht="14.25" customHeight="1">
      <c r="A522" s="97"/>
      <c r="B522" s="97"/>
      <c r="C522" s="96"/>
      <c r="D522" s="97"/>
      <c r="E522" s="97"/>
      <c r="F522" s="97"/>
      <c r="G522" s="97"/>
    </row>
    <row r="523" spans="1:7" ht="14.25" customHeight="1">
      <c r="A523" s="97"/>
      <c r="B523" s="97"/>
      <c r="C523" s="96"/>
      <c r="D523" s="97"/>
      <c r="E523" s="97"/>
      <c r="F523" s="97"/>
      <c r="G523" s="97"/>
    </row>
    <row r="524" spans="1:7" ht="14.25" customHeight="1">
      <c r="A524" s="97"/>
      <c r="B524" s="97"/>
      <c r="C524" s="96"/>
      <c r="D524" s="97"/>
      <c r="E524" s="97"/>
      <c r="F524" s="97"/>
      <c r="G524" s="97"/>
    </row>
    <row r="525" spans="1:7" ht="14.25" customHeight="1">
      <c r="A525" s="97"/>
      <c r="B525" s="97"/>
      <c r="C525" s="96"/>
      <c r="D525" s="97"/>
      <c r="E525" s="97"/>
      <c r="F525" s="97"/>
      <c r="G525" s="97"/>
    </row>
    <row r="526" spans="1:7" ht="14.25" customHeight="1">
      <c r="A526" s="97"/>
      <c r="B526" s="97"/>
      <c r="C526" s="96"/>
      <c r="D526" s="97"/>
      <c r="E526" s="97"/>
      <c r="F526" s="97"/>
      <c r="G526" s="97"/>
    </row>
    <row r="527" spans="1:7" ht="14.25" customHeight="1">
      <c r="A527" s="97"/>
      <c r="B527" s="97"/>
      <c r="C527" s="96"/>
      <c r="D527" s="97"/>
      <c r="E527" s="97"/>
      <c r="F527" s="97"/>
      <c r="G527" s="97"/>
    </row>
    <row r="528" spans="1:7" ht="14.25" customHeight="1">
      <c r="A528" s="97"/>
      <c r="B528" s="97"/>
      <c r="C528" s="96"/>
      <c r="D528" s="97"/>
      <c r="E528" s="97"/>
      <c r="F528" s="97"/>
      <c r="G528" s="97"/>
    </row>
    <row r="529" spans="1:7" ht="14.25" customHeight="1">
      <c r="A529" s="97"/>
      <c r="B529" s="97"/>
      <c r="C529" s="96"/>
      <c r="D529" s="97"/>
      <c r="E529" s="97"/>
      <c r="F529" s="97"/>
      <c r="G529" s="97"/>
    </row>
    <row r="530" spans="1:7" ht="14.25" customHeight="1">
      <c r="A530" s="97"/>
      <c r="B530" s="97"/>
      <c r="C530" s="96"/>
      <c r="D530" s="97"/>
      <c r="E530" s="97"/>
      <c r="F530" s="97"/>
      <c r="G530" s="97"/>
    </row>
    <row r="531" spans="1:7" ht="14.25" customHeight="1">
      <c r="A531" s="97"/>
      <c r="B531" s="97"/>
      <c r="C531" s="96"/>
      <c r="D531" s="97"/>
      <c r="E531" s="97"/>
      <c r="F531" s="97"/>
      <c r="G531" s="97"/>
    </row>
    <row r="532" spans="1:7" ht="14.25" customHeight="1">
      <c r="A532" s="97"/>
      <c r="B532" s="97"/>
      <c r="C532" s="96"/>
      <c r="D532" s="97"/>
      <c r="E532" s="97"/>
      <c r="F532" s="97"/>
      <c r="G532" s="97"/>
    </row>
    <row r="533" spans="1:7" ht="14.25" customHeight="1">
      <c r="A533" s="97"/>
      <c r="B533" s="97"/>
      <c r="C533" s="96"/>
      <c r="D533" s="97"/>
      <c r="E533" s="97"/>
      <c r="F533" s="97"/>
      <c r="G533" s="97"/>
    </row>
    <row r="534" spans="1:7" ht="14.25" customHeight="1">
      <c r="A534" s="97"/>
      <c r="B534" s="97"/>
      <c r="C534" s="96"/>
      <c r="D534" s="97"/>
      <c r="E534" s="97"/>
      <c r="F534" s="97"/>
      <c r="G534" s="97"/>
    </row>
    <row r="535" spans="1:7" ht="14.25" customHeight="1">
      <c r="A535" s="97"/>
      <c r="B535" s="97"/>
      <c r="C535" s="96"/>
      <c r="D535" s="97"/>
      <c r="E535" s="97"/>
      <c r="F535" s="97"/>
      <c r="G535" s="97"/>
    </row>
    <row r="536" spans="1:7" ht="14.25" customHeight="1">
      <c r="A536" s="97"/>
      <c r="B536" s="97"/>
      <c r="C536" s="96"/>
      <c r="D536" s="97"/>
      <c r="E536" s="97"/>
      <c r="F536" s="97"/>
      <c r="G536" s="97"/>
    </row>
    <row r="537" spans="1:7" ht="14.25" customHeight="1">
      <c r="A537" s="97"/>
      <c r="B537" s="97"/>
      <c r="C537" s="96"/>
      <c r="D537" s="97"/>
      <c r="E537" s="97"/>
      <c r="F537" s="97"/>
      <c r="G537" s="97"/>
    </row>
    <row r="538" spans="1:7" ht="14.25" customHeight="1">
      <c r="A538" s="97"/>
      <c r="B538" s="97"/>
      <c r="C538" s="96"/>
      <c r="D538" s="97"/>
      <c r="E538" s="97"/>
      <c r="F538" s="97"/>
      <c r="G538" s="97"/>
    </row>
    <row r="539" spans="1:7" ht="14.25" customHeight="1">
      <c r="A539" s="97"/>
      <c r="B539" s="97"/>
      <c r="C539" s="96"/>
      <c r="D539" s="97"/>
      <c r="E539" s="97"/>
      <c r="F539" s="97"/>
      <c r="G539" s="97"/>
    </row>
    <row r="540" spans="1:7" ht="14.25" customHeight="1">
      <c r="A540" s="97"/>
      <c r="B540" s="97"/>
      <c r="C540" s="96"/>
      <c r="D540" s="97"/>
      <c r="E540" s="97"/>
      <c r="F540" s="97"/>
      <c r="G540" s="97"/>
    </row>
    <row r="541" spans="1:7" ht="14.25" customHeight="1">
      <c r="A541" s="97"/>
      <c r="B541" s="97"/>
      <c r="C541" s="96"/>
      <c r="D541" s="97"/>
      <c r="E541" s="97"/>
      <c r="F541" s="97"/>
      <c r="G541" s="97"/>
    </row>
    <row r="542" spans="1:7" ht="14.25" customHeight="1">
      <c r="A542" s="97"/>
      <c r="B542" s="97"/>
      <c r="C542" s="96"/>
      <c r="D542" s="97"/>
      <c r="E542" s="97"/>
      <c r="F542" s="97"/>
      <c r="G542" s="97"/>
    </row>
    <row r="543" spans="1:7" ht="14.25" customHeight="1">
      <c r="A543" s="97"/>
      <c r="B543" s="97"/>
      <c r="C543" s="96"/>
      <c r="D543" s="97"/>
      <c r="E543" s="97"/>
      <c r="F543" s="97"/>
      <c r="G543" s="97"/>
    </row>
    <row r="544" spans="1:7" ht="14.25" customHeight="1">
      <c r="A544" s="97"/>
      <c r="B544" s="97"/>
      <c r="C544" s="96"/>
      <c r="D544" s="97"/>
      <c r="E544" s="97"/>
      <c r="F544" s="97"/>
      <c r="G544" s="97"/>
    </row>
    <row r="545" spans="1:7" ht="14.25" customHeight="1">
      <c r="A545" s="97"/>
      <c r="B545" s="97"/>
      <c r="C545" s="96"/>
      <c r="D545" s="97"/>
      <c r="E545" s="97"/>
      <c r="F545" s="97"/>
      <c r="G545" s="97"/>
    </row>
    <row r="546" spans="1:7" ht="14.25" customHeight="1">
      <c r="A546" s="97"/>
      <c r="B546" s="97"/>
      <c r="C546" s="96"/>
      <c r="D546" s="97"/>
      <c r="E546" s="97"/>
      <c r="F546" s="97"/>
      <c r="G546" s="97"/>
    </row>
    <row r="547" spans="1:7" ht="14.25" customHeight="1">
      <c r="A547" s="97"/>
      <c r="B547" s="97"/>
      <c r="C547" s="96"/>
      <c r="D547" s="97"/>
      <c r="E547" s="97"/>
      <c r="F547" s="97"/>
      <c r="G547" s="97"/>
    </row>
    <row r="548" spans="1:7" ht="14.25" customHeight="1">
      <c r="A548" s="97"/>
      <c r="B548" s="97"/>
      <c r="C548" s="96"/>
      <c r="D548" s="97"/>
      <c r="E548" s="97"/>
      <c r="F548" s="97"/>
      <c r="G548" s="97"/>
    </row>
    <row r="549" spans="1:7" ht="14.25" customHeight="1">
      <c r="A549" s="97"/>
      <c r="B549" s="97"/>
      <c r="C549" s="96"/>
      <c r="D549" s="97"/>
      <c r="E549" s="97"/>
      <c r="F549" s="97"/>
      <c r="G549" s="97"/>
    </row>
    <row r="550" spans="1:7" ht="14.25" customHeight="1">
      <c r="A550" s="97"/>
      <c r="B550" s="97"/>
      <c r="C550" s="96"/>
      <c r="D550" s="97"/>
      <c r="E550" s="97"/>
      <c r="F550" s="97"/>
      <c r="G550" s="97"/>
    </row>
    <row r="551" spans="1:7" ht="14.25" customHeight="1">
      <c r="A551" s="97"/>
      <c r="B551" s="97"/>
      <c r="C551" s="96"/>
      <c r="D551" s="97"/>
      <c r="E551" s="97"/>
      <c r="F551" s="97"/>
      <c r="G551" s="97"/>
    </row>
    <row r="552" spans="1:7" ht="14.25" customHeight="1">
      <c r="A552" s="97"/>
      <c r="B552" s="97"/>
      <c r="C552" s="96"/>
      <c r="D552" s="97"/>
      <c r="E552" s="97"/>
      <c r="F552" s="97"/>
      <c r="G552" s="97"/>
    </row>
    <row r="553" spans="1:7" ht="14.25" customHeight="1">
      <c r="A553" s="97"/>
      <c r="B553" s="97"/>
      <c r="C553" s="96"/>
      <c r="D553" s="97"/>
      <c r="E553" s="97"/>
      <c r="F553" s="97"/>
      <c r="G553" s="97"/>
    </row>
    <row r="554" spans="1:7" ht="14.25" customHeight="1">
      <c r="A554" s="97"/>
      <c r="B554" s="97"/>
      <c r="C554" s="96"/>
      <c r="D554" s="97"/>
      <c r="E554" s="97"/>
      <c r="F554" s="97"/>
      <c r="G554" s="97"/>
    </row>
    <row r="555" spans="1:7" ht="14.25" customHeight="1">
      <c r="A555" s="97"/>
      <c r="B555" s="97"/>
      <c r="C555" s="96"/>
      <c r="D555" s="97"/>
      <c r="E555" s="97"/>
      <c r="F555" s="97"/>
      <c r="G555" s="97"/>
    </row>
    <row r="556" spans="1:7" ht="14.25" customHeight="1">
      <c r="A556" s="97"/>
      <c r="B556" s="97"/>
      <c r="C556" s="96"/>
      <c r="D556" s="97"/>
      <c r="E556" s="97"/>
      <c r="F556" s="97"/>
      <c r="G556" s="97"/>
    </row>
    <row r="557" spans="1:7" ht="14.25" customHeight="1">
      <c r="A557" s="97"/>
      <c r="B557" s="97"/>
      <c r="C557" s="96"/>
      <c r="D557" s="97"/>
      <c r="E557" s="97"/>
      <c r="F557" s="97"/>
      <c r="G557" s="97"/>
    </row>
    <row r="558" spans="1:7" ht="14.25" customHeight="1">
      <c r="A558" s="97"/>
      <c r="B558" s="97"/>
      <c r="C558" s="96"/>
      <c r="D558" s="97"/>
      <c r="E558" s="97"/>
      <c r="F558" s="97"/>
      <c r="G558" s="97"/>
    </row>
    <row r="559" spans="1:7" ht="14.25" customHeight="1">
      <c r="A559" s="97"/>
      <c r="B559" s="97"/>
      <c r="C559" s="96"/>
      <c r="D559" s="97"/>
      <c r="E559" s="97"/>
      <c r="F559" s="97"/>
      <c r="G559" s="97"/>
    </row>
    <row r="560" spans="1:7" ht="14.25" customHeight="1">
      <c r="A560" s="97"/>
      <c r="B560" s="97"/>
      <c r="C560" s="96"/>
      <c r="D560" s="97"/>
      <c r="E560" s="97"/>
      <c r="F560" s="97"/>
      <c r="G560" s="97"/>
    </row>
    <row r="561" spans="1:7" ht="14.25" customHeight="1">
      <c r="A561" s="97"/>
      <c r="B561" s="97"/>
      <c r="C561" s="96"/>
      <c r="D561" s="97"/>
      <c r="E561" s="97"/>
      <c r="F561" s="97"/>
      <c r="G561" s="97"/>
    </row>
    <row r="562" spans="1:7" ht="14.25" customHeight="1">
      <c r="A562" s="97"/>
      <c r="B562" s="97"/>
      <c r="C562" s="96"/>
      <c r="D562" s="97"/>
      <c r="E562" s="97"/>
      <c r="F562" s="97"/>
      <c r="G562" s="97"/>
    </row>
    <row r="563" spans="1:7" ht="14.25" customHeight="1">
      <c r="A563" s="97"/>
      <c r="B563" s="97"/>
      <c r="C563" s="96"/>
      <c r="D563" s="97"/>
      <c r="E563" s="97"/>
      <c r="F563" s="97"/>
      <c r="G563" s="97"/>
    </row>
    <row r="564" spans="1:7" ht="14.25" customHeight="1">
      <c r="A564" s="97"/>
      <c r="B564" s="97"/>
      <c r="C564" s="96"/>
      <c r="D564" s="97"/>
      <c r="E564" s="97"/>
      <c r="F564" s="97"/>
      <c r="G564" s="97"/>
    </row>
    <row r="565" spans="1:7" ht="14.25" customHeight="1">
      <c r="A565" s="97"/>
      <c r="B565" s="97"/>
      <c r="C565" s="96"/>
      <c r="D565" s="97"/>
      <c r="E565" s="97"/>
      <c r="F565" s="97"/>
      <c r="G565" s="97"/>
    </row>
    <row r="566" spans="1:7" ht="14.25" customHeight="1">
      <c r="A566" s="97"/>
      <c r="B566" s="97"/>
      <c r="C566" s="96"/>
      <c r="D566" s="97"/>
      <c r="E566" s="97"/>
      <c r="F566" s="97"/>
      <c r="G566" s="97"/>
    </row>
    <row r="567" spans="1:7" ht="14.25" customHeight="1">
      <c r="A567" s="97"/>
      <c r="B567" s="97"/>
      <c r="C567" s="96"/>
      <c r="D567" s="97"/>
      <c r="E567" s="97"/>
      <c r="F567" s="97"/>
      <c r="G567" s="97"/>
    </row>
    <row r="568" spans="1:7" ht="14.25" customHeight="1">
      <c r="A568" s="97"/>
      <c r="B568" s="97"/>
      <c r="C568" s="96"/>
      <c r="D568" s="97"/>
      <c r="E568" s="97"/>
      <c r="F568" s="97"/>
      <c r="G568" s="97"/>
    </row>
    <row r="569" spans="1:7" ht="14.25" customHeight="1">
      <c r="A569" s="97"/>
      <c r="B569" s="97"/>
      <c r="C569" s="96"/>
      <c r="D569" s="97"/>
      <c r="E569" s="97"/>
      <c r="F569" s="97"/>
      <c r="G569" s="97"/>
    </row>
    <row r="570" spans="1:7" ht="14.25" customHeight="1">
      <c r="A570" s="97"/>
      <c r="B570" s="97"/>
      <c r="C570" s="96"/>
      <c r="D570" s="97"/>
      <c r="E570" s="97"/>
      <c r="F570" s="97"/>
      <c r="G570" s="97"/>
    </row>
    <row r="571" spans="1:7" ht="14.25" customHeight="1">
      <c r="A571" s="97"/>
      <c r="B571" s="97"/>
      <c r="C571" s="96"/>
      <c r="D571" s="97"/>
      <c r="E571" s="97"/>
      <c r="F571" s="97"/>
      <c r="G571" s="97"/>
    </row>
    <row r="572" spans="1:7" ht="14.25" customHeight="1">
      <c r="A572" s="97"/>
      <c r="B572" s="97"/>
      <c r="C572" s="96"/>
      <c r="D572" s="97"/>
      <c r="E572" s="97"/>
      <c r="F572" s="97"/>
      <c r="G572" s="97"/>
    </row>
    <row r="573" spans="1:7" ht="14.25" customHeight="1">
      <c r="A573" s="97"/>
      <c r="B573" s="97"/>
      <c r="C573" s="96"/>
      <c r="D573" s="97"/>
      <c r="E573" s="97"/>
      <c r="F573" s="97"/>
      <c r="G573" s="97"/>
    </row>
    <row r="574" spans="1:7" ht="14.25" customHeight="1">
      <c r="A574" s="97"/>
      <c r="B574" s="97"/>
      <c r="C574" s="96"/>
      <c r="D574" s="97"/>
      <c r="E574" s="97"/>
      <c r="F574" s="97"/>
      <c r="G574" s="97"/>
    </row>
    <row r="575" spans="1:7" ht="14.25" customHeight="1">
      <c r="A575" s="97"/>
      <c r="B575" s="97"/>
      <c r="C575" s="96"/>
      <c r="D575" s="97"/>
      <c r="E575" s="97"/>
      <c r="F575" s="97"/>
      <c r="G575" s="97"/>
    </row>
    <row r="576" spans="1:7" ht="14.25" customHeight="1">
      <c r="A576" s="97"/>
      <c r="B576" s="97"/>
      <c r="C576" s="96"/>
      <c r="D576" s="97"/>
      <c r="E576" s="97"/>
      <c r="F576" s="97"/>
      <c r="G576" s="97"/>
    </row>
    <row r="577" spans="1:7" ht="14.25" customHeight="1">
      <c r="A577" s="97"/>
      <c r="B577" s="97"/>
      <c r="C577" s="96"/>
      <c r="D577" s="97"/>
      <c r="E577" s="97"/>
      <c r="F577" s="97"/>
      <c r="G577" s="97"/>
    </row>
    <row r="578" spans="1:7" ht="14.25" customHeight="1">
      <c r="A578" s="97"/>
      <c r="B578" s="97"/>
      <c r="C578" s="96"/>
      <c r="D578" s="97"/>
      <c r="E578" s="97"/>
      <c r="F578" s="97"/>
      <c r="G578" s="97"/>
    </row>
    <row r="579" spans="1:7" ht="14.25" customHeight="1">
      <c r="A579" s="97"/>
      <c r="B579" s="97"/>
      <c r="C579" s="96"/>
      <c r="D579" s="97"/>
      <c r="E579" s="97"/>
      <c r="F579" s="97"/>
      <c r="G579" s="97"/>
    </row>
    <row r="580" spans="1:7" ht="14.25" customHeight="1">
      <c r="A580" s="97"/>
      <c r="B580" s="97"/>
      <c r="C580" s="96"/>
      <c r="D580" s="97"/>
      <c r="E580" s="97"/>
      <c r="F580" s="97"/>
      <c r="G580" s="97"/>
    </row>
    <row r="581" spans="1:7" ht="14.25" customHeight="1">
      <c r="A581" s="97"/>
      <c r="B581" s="97"/>
      <c r="C581" s="96"/>
      <c r="D581" s="97"/>
      <c r="E581" s="97"/>
      <c r="F581" s="97"/>
      <c r="G581" s="97"/>
    </row>
    <row r="582" spans="1:7" ht="14.25" customHeight="1">
      <c r="A582" s="97"/>
      <c r="B582" s="97"/>
      <c r="C582" s="96"/>
      <c r="D582" s="97"/>
      <c r="E582" s="97"/>
      <c r="F582" s="97"/>
      <c r="G582" s="97"/>
    </row>
    <row r="583" spans="1:7" ht="14.25" customHeight="1">
      <c r="A583" s="97"/>
      <c r="B583" s="97"/>
      <c r="C583" s="96"/>
      <c r="D583" s="97"/>
      <c r="E583" s="97"/>
      <c r="F583" s="97"/>
      <c r="G583" s="97"/>
    </row>
    <row r="584" spans="1:7" ht="14.25" customHeight="1">
      <c r="A584" s="97"/>
      <c r="B584" s="97"/>
      <c r="C584" s="96"/>
      <c r="D584" s="97"/>
      <c r="E584" s="97"/>
      <c r="F584" s="97"/>
      <c r="G584" s="97"/>
    </row>
    <row r="585" spans="1:7" ht="14.25" customHeight="1">
      <c r="A585" s="97"/>
      <c r="B585" s="97"/>
      <c r="C585" s="96"/>
      <c r="D585" s="97"/>
      <c r="E585" s="97"/>
      <c r="F585" s="97"/>
      <c r="G585" s="97"/>
    </row>
    <row r="586" spans="1:7" ht="14.25" customHeight="1">
      <c r="A586" s="97"/>
      <c r="B586" s="97"/>
      <c r="C586" s="96"/>
      <c r="D586" s="97"/>
      <c r="E586" s="97"/>
      <c r="F586" s="97"/>
      <c r="G586" s="97"/>
    </row>
    <row r="587" spans="1:7" ht="14.25" customHeight="1">
      <c r="A587" s="97"/>
      <c r="B587" s="97"/>
      <c r="C587" s="96"/>
      <c r="D587" s="97"/>
      <c r="E587" s="97"/>
      <c r="F587" s="97"/>
      <c r="G587" s="97"/>
    </row>
    <row r="588" spans="1:7" ht="14.25" customHeight="1">
      <c r="A588" s="97"/>
      <c r="B588" s="97"/>
      <c r="C588" s="96"/>
      <c r="D588" s="97"/>
      <c r="E588" s="97"/>
      <c r="F588" s="97"/>
      <c r="G588" s="97"/>
    </row>
    <row r="589" spans="1:7" ht="14.25" customHeight="1">
      <c r="A589" s="97"/>
      <c r="B589" s="97"/>
      <c r="C589" s="96"/>
      <c r="D589" s="97"/>
      <c r="E589" s="97"/>
      <c r="F589" s="97"/>
      <c r="G589" s="97"/>
    </row>
    <row r="590" spans="1:7" ht="14.25" customHeight="1">
      <c r="A590" s="97"/>
      <c r="B590" s="97"/>
      <c r="C590" s="96"/>
      <c r="D590" s="97"/>
      <c r="E590" s="97"/>
      <c r="F590" s="97"/>
      <c r="G590" s="97"/>
    </row>
    <row r="591" spans="1:7" ht="14.25" customHeight="1">
      <c r="A591" s="97"/>
      <c r="B591" s="97"/>
      <c r="C591" s="96"/>
      <c r="D591" s="97"/>
      <c r="E591" s="97"/>
      <c r="F591" s="97"/>
      <c r="G591" s="97"/>
    </row>
    <row r="592" spans="1:7" ht="14.25" customHeight="1">
      <c r="A592" s="97"/>
      <c r="B592" s="97"/>
      <c r="C592" s="96"/>
      <c r="D592" s="97"/>
      <c r="E592" s="97"/>
      <c r="F592" s="97"/>
      <c r="G592" s="97"/>
    </row>
    <row r="593" spans="1:7" ht="14.25" customHeight="1">
      <c r="A593" s="97"/>
      <c r="B593" s="97"/>
      <c r="C593" s="96"/>
      <c r="D593" s="97"/>
      <c r="E593" s="97"/>
      <c r="F593" s="97"/>
      <c r="G593" s="97"/>
    </row>
    <row r="594" spans="1:7" ht="14.25" customHeight="1">
      <c r="A594" s="97"/>
      <c r="B594" s="97"/>
      <c r="C594" s="96"/>
      <c r="D594" s="97"/>
      <c r="E594" s="97"/>
      <c r="F594" s="97"/>
      <c r="G594" s="97"/>
    </row>
    <row r="595" spans="1:7" ht="14.25" customHeight="1">
      <c r="A595" s="97"/>
      <c r="B595" s="97"/>
      <c r="C595" s="96"/>
      <c r="D595" s="97"/>
      <c r="E595" s="97"/>
      <c r="F595" s="97"/>
      <c r="G595" s="97"/>
    </row>
    <row r="596" spans="1:7" ht="14.25" customHeight="1">
      <c r="A596" s="97"/>
      <c r="B596" s="97"/>
      <c r="C596" s="96"/>
      <c r="D596" s="97"/>
      <c r="E596" s="97"/>
      <c r="F596" s="97"/>
      <c r="G596" s="97"/>
    </row>
    <row r="597" spans="1:7" ht="14.25" customHeight="1">
      <c r="A597" s="97"/>
      <c r="B597" s="97"/>
      <c r="C597" s="96"/>
      <c r="D597" s="97"/>
      <c r="E597" s="97"/>
      <c r="F597" s="97"/>
      <c r="G597" s="97"/>
    </row>
    <row r="598" spans="1:7" ht="14.25" customHeight="1">
      <c r="A598" s="97"/>
      <c r="B598" s="97"/>
      <c r="C598" s="96"/>
      <c r="D598" s="97"/>
      <c r="E598" s="97"/>
      <c r="F598" s="97"/>
      <c r="G598" s="97"/>
    </row>
    <row r="599" spans="1:7" ht="14.25" customHeight="1">
      <c r="A599" s="97"/>
      <c r="B599" s="97"/>
      <c r="C599" s="96"/>
      <c r="D599" s="97"/>
      <c r="E599" s="97"/>
      <c r="F599" s="97"/>
      <c r="G599" s="97"/>
    </row>
    <row r="600" spans="1:7" ht="14.25" customHeight="1">
      <c r="A600" s="97"/>
      <c r="B600" s="97"/>
      <c r="C600" s="96"/>
      <c r="D600" s="97"/>
      <c r="E600" s="97"/>
      <c r="F600" s="97"/>
      <c r="G600" s="97"/>
    </row>
    <row r="601" spans="1:7" ht="14.25" customHeight="1">
      <c r="A601" s="97"/>
      <c r="B601" s="97"/>
      <c r="C601" s="96"/>
      <c r="D601" s="97"/>
      <c r="E601" s="97"/>
      <c r="F601" s="97"/>
      <c r="G601" s="97"/>
    </row>
    <row r="602" spans="1:7" ht="14.25" customHeight="1">
      <c r="A602" s="97"/>
      <c r="B602" s="97"/>
      <c r="C602" s="96"/>
      <c r="D602" s="97"/>
      <c r="E602" s="97"/>
      <c r="F602" s="97"/>
      <c r="G602" s="97"/>
    </row>
    <row r="603" spans="1:7" ht="14.25" customHeight="1">
      <c r="A603" s="97"/>
      <c r="B603" s="97"/>
      <c r="C603" s="96"/>
      <c r="D603" s="97"/>
      <c r="E603" s="97"/>
      <c r="F603" s="97"/>
      <c r="G603" s="97"/>
    </row>
    <row r="604" spans="1:7" ht="14.25" customHeight="1">
      <c r="A604" s="97"/>
      <c r="B604" s="97"/>
      <c r="C604" s="96"/>
      <c r="D604" s="97"/>
      <c r="E604" s="97"/>
      <c r="F604" s="97"/>
      <c r="G604" s="97"/>
    </row>
    <row r="605" spans="1:7" ht="14.25" customHeight="1">
      <c r="A605" s="97"/>
      <c r="B605" s="97"/>
      <c r="C605" s="96"/>
      <c r="D605" s="97"/>
      <c r="E605" s="97"/>
      <c r="F605" s="97"/>
      <c r="G605" s="97"/>
    </row>
    <row r="606" spans="1:7" ht="14.25" customHeight="1">
      <c r="A606" s="97"/>
      <c r="B606" s="97"/>
      <c r="C606" s="96"/>
      <c r="D606" s="97"/>
      <c r="E606" s="97"/>
      <c r="F606" s="97"/>
      <c r="G606" s="97"/>
    </row>
    <row r="607" spans="1:7" ht="14.25" customHeight="1">
      <c r="A607" s="97"/>
      <c r="B607" s="97"/>
      <c r="C607" s="96"/>
      <c r="D607" s="97"/>
      <c r="E607" s="97"/>
      <c r="F607" s="97"/>
      <c r="G607" s="97"/>
    </row>
    <row r="608" spans="1:7" ht="14.25" customHeight="1">
      <c r="A608" s="97"/>
      <c r="B608" s="97"/>
      <c r="C608" s="96"/>
      <c r="D608" s="97"/>
      <c r="E608" s="97"/>
      <c r="F608" s="97"/>
      <c r="G608" s="97"/>
    </row>
    <row r="609" spans="1:7" ht="14.25" customHeight="1">
      <c r="A609" s="97"/>
      <c r="B609" s="97"/>
      <c r="C609" s="96"/>
      <c r="D609" s="97"/>
      <c r="E609" s="97"/>
      <c r="F609" s="97"/>
      <c r="G609" s="97"/>
    </row>
    <row r="610" spans="1:7" ht="14.25" customHeight="1">
      <c r="A610" s="97"/>
      <c r="B610" s="97"/>
      <c r="C610" s="96"/>
      <c r="D610" s="97"/>
      <c r="E610" s="97"/>
      <c r="F610" s="97"/>
      <c r="G610" s="97"/>
    </row>
    <row r="611" spans="1:7" ht="14.25" customHeight="1">
      <c r="A611" s="97"/>
      <c r="B611" s="97"/>
      <c r="C611" s="96"/>
      <c r="D611" s="97"/>
      <c r="E611" s="97"/>
      <c r="F611" s="97"/>
      <c r="G611" s="97"/>
    </row>
    <row r="612" spans="1:7" ht="14.25" customHeight="1">
      <c r="A612" s="97"/>
      <c r="B612" s="97"/>
      <c r="C612" s="96"/>
      <c r="D612" s="97"/>
      <c r="E612" s="97"/>
      <c r="F612" s="97"/>
      <c r="G612" s="97"/>
    </row>
    <row r="613" spans="1:7" ht="14.25" customHeight="1">
      <c r="A613" s="97"/>
      <c r="B613" s="97"/>
      <c r="C613" s="96"/>
      <c r="D613" s="97"/>
      <c r="E613" s="97"/>
      <c r="F613" s="97"/>
      <c r="G613" s="97"/>
    </row>
    <row r="614" spans="1:7" ht="14.25" customHeight="1">
      <c r="A614" s="97"/>
      <c r="B614" s="97"/>
      <c r="C614" s="96"/>
      <c r="D614" s="97"/>
      <c r="E614" s="97"/>
      <c r="F614" s="97"/>
      <c r="G614" s="97"/>
    </row>
    <row r="615" spans="1:7" ht="14.25" customHeight="1">
      <c r="A615" s="97"/>
      <c r="B615" s="97"/>
      <c r="C615" s="96"/>
      <c r="D615" s="97"/>
      <c r="E615" s="97"/>
      <c r="F615" s="97"/>
      <c r="G615" s="97"/>
    </row>
    <row r="616" spans="1:7" ht="14.25" customHeight="1">
      <c r="A616" s="97"/>
      <c r="B616" s="97"/>
      <c r="C616" s="96"/>
      <c r="D616" s="97"/>
      <c r="E616" s="97"/>
      <c r="F616" s="97"/>
      <c r="G616" s="97"/>
    </row>
    <row r="617" spans="1:7" ht="14.25" customHeight="1">
      <c r="A617" s="97"/>
      <c r="B617" s="97"/>
      <c r="C617" s="96"/>
      <c r="D617" s="97"/>
      <c r="E617" s="97"/>
      <c r="F617" s="97"/>
      <c r="G617" s="97"/>
    </row>
    <row r="618" spans="1:7" ht="14.25" customHeight="1">
      <c r="A618" s="97"/>
      <c r="B618" s="97"/>
      <c r="C618" s="96"/>
      <c r="D618" s="97"/>
      <c r="E618" s="97"/>
      <c r="F618" s="97"/>
      <c r="G618" s="97"/>
    </row>
    <row r="619" spans="1:7" ht="14.25" customHeight="1">
      <c r="A619" s="97"/>
      <c r="B619" s="97"/>
      <c r="C619" s="96"/>
      <c r="D619" s="97"/>
      <c r="E619" s="97"/>
      <c r="F619" s="97"/>
      <c r="G619" s="97"/>
    </row>
    <row r="620" spans="1:7" ht="14.25" customHeight="1">
      <c r="A620" s="97"/>
      <c r="B620" s="97"/>
      <c r="C620" s="96"/>
      <c r="D620" s="97"/>
      <c r="E620" s="97"/>
      <c r="F620" s="97"/>
      <c r="G620" s="97"/>
    </row>
    <row r="621" spans="1:7" ht="14.25" customHeight="1">
      <c r="A621" s="97"/>
      <c r="B621" s="97"/>
      <c r="C621" s="96"/>
      <c r="D621" s="97"/>
      <c r="E621" s="97"/>
      <c r="F621" s="97"/>
      <c r="G621" s="97"/>
    </row>
    <row r="622" spans="1:7" ht="14.25" customHeight="1">
      <c r="A622" s="97"/>
      <c r="B622" s="97"/>
      <c r="C622" s="96"/>
      <c r="D622" s="97"/>
      <c r="E622" s="97"/>
      <c r="F622" s="97"/>
      <c r="G622" s="97"/>
    </row>
    <row r="623" spans="1:7" ht="14.25" customHeight="1">
      <c r="A623" s="97"/>
      <c r="B623" s="97"/>
      <c r="C623" s="96"/>
      <c r="D623" s="97"/>
      <c r="E623" s="97"/>
      <c r="F623" s="97"/>
      <c r="G623" s="97"/>
    </row>
    <row r="624" spans="1:7" ht="14.25" customHeight="1">
      <c r="A624" s="97"/>
      <c r="B624" s="97"/>
      <c r="C624" s="96"/>
      <c r="D624" s="97"/>
      <c r="E624" s="97"/>
      <c r="F624" s="97"/>
      <c r="G624" s="97"/>
    </row>
    <row r="625" spans="1:7" ht="14.25" customHeight="1">
      <c r="A625" s="97"/>
      <c r="B625" s="97"/>
      <c r="C625" s="96"/>
      <c r="D625" s="97"/>
      <c r="E625" s="97"/>
      <c r="F625" s="97"/>
      <c r="G625" s="97"/>
    </row>
    <row r="626" spans="1:7" ht="14.25" customHeight="1">
      <c r="A626" s="97"/>
      <c r="B626" s="97"/>
      <c r="C626" s="96"/>
      <c r="D626" s="97"/>
      <c r="E626" s="97"/>
      <c r="F626" s="97"/>
      <c r="G626" s="97"/>
    </row>
    <row r="627" spans="1:7" ht="14.25" customHeight="1">
      <c r="A627" s="97"/>
      <c r="B627" s="97"/>
      <c r="C627" s="96"/>
      <c r="D627" s="97"/>
      <c r="E627" s="97"/>
      <c r="F627" s="97"/>
      <c r="G627" s="97"/>
    </row>
    <row r="628" spans="1:7" ht="14.25" customHeight="1">
      <c r="A628" s="97"/>
      <c r="B628" s="97"/>
      <c r="C628" s="96"/>
      <c r="D628" s="97"/>
      <c r="E628" s="97"/>
      <c r="F628" s="97"/>
      <c r="G628" s="97"/>
    </row>
    <row r="629" spans="1:7" ht="14.25" customHeight="1">
      <c r="A629" s="97"/>
      <c r="B629" s="97"/>
      <c r="C629" s="96"/>
      <c r="D629" s="97"/>
      <c r="E629" s="97"/>
      <c r="F629" s="97"/>
      <c r="G629" s="97"/>
    </row>
    <row r="630" spans="1:7" ht="14.25" customHeight="1">
      <c r="A630" s="97"/>
      <c r="B630" s="97"/>
      <c r="C630" s="96"/>
      <c r="D630" s="97"/>
      <c r="E630" s="97"/>
      <c r="F630" s="97"/>
      <c r="G630" s="97"/>
    </row>
    <row r="631" spans="1:7" ht="14.25" customHeight="1">
      <c r="A631" s="97"/>
      <c r="B631" s="97"/>
      <c r="C631" s="96"/>
      <c r="D631" s="97"/>
      <c r="E631" s="97"/>
      <c r="F631" s="97"/>
      <c r="G631" s="97"/>
    </row>
    <row r="632" spans="1:7" ht="14.25" customHeight="1">
      <c r="A632" s="97"/>
      <c r="B632" s="97"/>
      <c r="C632" s="96"/>
      <c r="D632" s="97"/>
      <c r="E632" s="97"/>
      <c r="F632" s="97"/>
      <c r="G632" s="97"/>
    </row>
    <row r="633" spans="1:7" ht="14.25" customHeight="1">
      <c r="A633" s="97"/>
      <c r="B633" s="97"/>
      <c r="C633" s="96"/>
      <c r="D633" s="97"/>
      <c r="E633" s="97"/>
      <c r="F633" s="97"/>
      <c r="G633" s="97"/>
    </row>
    <row r="634" spans="1:7" ht="14.25" customHeight="1">
      <c r="A634" s="97"/>
      <c r="B634" s="97"/>
      <c r="C634" s="96"/>
      <c r="D634" s="97"/>
      <c r="E634" s="97"/>
      <c r="F634" s="97"/>
      <c r="G634" s="97"/>
    </row>
    <row r="635" spans="1:7" ht="14.25" customHeight="1">
      <c r="A635" s="97"/>
      <c r="B635" s="97"/>
      <c r="C635" s="96"/>
      <c r="D635" s="97"/>
      <c r="E635" s="97"/>
      <c r="F635" s="97"/>
      <c r="G635" s="97"/>
    </row>
    <row r="636" spans="1:7" ht="14.25" customHeight="1">
      <c r="A636" s="97"/>
      <c r="B636" s="97"/>
      <c r="C636" s="96"/>
      <c r="D636" s="97"/>
      <c r="E636" s="97"/>
      <c r="F636" s="97"/>
      <c r="G636" s="97"/>
    </row>
    <row r="637" spans="1:7" ht="14.25" customHeight="1">
      <c r="A637" s="97"/>
      <c r="B637" s="97"/>
      <c r="C637" s="96"/>
      <c r="D637" s="97"/>
      <c r="E637" s="97"/>
      <c r="F637" s="97"/>
      <c r="G637" s="97"/>
    </row>
    <row r="638" spans="1:7" ht="14.25" customHeight="1">
      <c r="A638" s="97"/>
      <c r="B638" s="97"/>
      <c r="C638" s="96"/>
      <c r="D638" s="97"/>
      <c r="E638" s="97"/>
      <c r="F638" s="97"/>
      <c r="G638" s="97"/>
    </row>
    <row r="639" spans="1:7" ht="14.25" customHeight="1">
      <c r="A639" s="97"/>
      <c r="B639" s="97"/>
      <c r="C639" s="96"/>
      <c r="D639" s="97"/>
      <c r="E639" s="97"/>
      <c r="F639" s="97"/>
      <c r="G639" s="97"/>
    </row>
    <row r="640" spans="1:7" ht="14.25" customHeight="1">
      <c r="A640" s="97"/>
      <c r="B640" s="97"/>
      <c r="C640" s="96"/>
      <c r="D640" s="97"/>
      <c r="E640" s="97"/>
      <c r="F640" s="97"/>
      <c r="G640" s="97"/>
    </row>
    <row r="641" spans="1:7" ht="14.25" customHeight="1">
      <c r="A641" s="97"/>
      <c r="B641" s="97"/>
      <c r="C641" s="96"/>
      <c r="D641" s="97"/>
      <c r="E641" s="97"/>
      <c r="F641" s="97"/>
      <c r="G641" s="97"/>
    </row>
    <row r="642" spans="1:7" ht="14.25" customHeight="1">
      <c r="A642" s="97"/>
      <c r="B642" s="97"/>
      <c r="C642" s="96"/>
      <c r="D642" s="97"/>
      <c r="E642" s="97"/>
      <c r="F642" s="97"/>
      <c r="G642" s="97"/>
    </row>
    <row r="643" spans="1:7" ht="14.25" customHeight="1">
      <c r="A643" s="97"/>
      <c r="B643" s="97"/>
      <c r="C643" s="96"/>
      <c r="D643" s="97"/>
      <c r="E643" s="97"/>
      <c r="F643" s="97"/>
      <c r="G643" s="97"/>
    </row>
    <row r="644" spans="1:7" ht="14.25" customHeight="1">
      <c r="A644" s="97"/>
      <c r="B644" s="97"/>
      <c r="C644" s="96"/>
      <c r="D644" s="97"/>
      <c r="E644" s="97"/>
      <c r="F644" s="97"/>
      <c r="G644" s="97"/>
    </row>
    <row r="645" spans="1:7" ht="14.25" customHeight="1">
      <c r="A645" s="97"/>
      <c r="B645" s="97"/>
      <c r="C645" s="96"/>
      <c r="D645" s="97"/>
      <c r="E645" s="97"/>
      <c r="F645" s="97"/>
      <c r="G645" s="97"/>
    </row>
    <row r="646" spans="1:7" ht="14.25" customHeight="1">
      <c r="A646" s="97"/>
      <c r="B646" s="97"/>
      <c r="C646" s="96"/>
      <c r="D646" s="97"/>
      <c r="E646" s="97"/>
      <c r="F646" s="97"/>
      <c r="G646" s="97"/>
    </row>
    <row r="647" spans="1:7" ht="14.25" customHeight="1">
      <c r="A647" s="97"/>
      <c r="B647" s="97"/>
      <c r="C647" s="96"/>
      <c r="D647" s="97"/>
      <c r="E647" s="97"/>
      <c r="F647" s="97"/>
      <c r="G647" s="97"/>
    </row>
    <row r="648" spans="1:7" ht="14.25" customHeight="1">
      <c r="A648" s="97"/>
      <c r="B648" s="97"/>
      <c r="C648" s="96"/>
      <c r="D648" s="97"/>
      <c r="E648" s="97"/>
      <c r="F648" s="97"/>
      <c r="G648" s="97"/>
    </row>
    <row r="649" spans="1:7" ht="14.25" customHeight="1">
      <c r="A649" s="97"/>
      <c r="B649" s="97"/>
      <c r="C649" s="96"/>
      <c r="D649" s="97"/>
      <c r="E649" s="97"/>
      <c r="F649" s="97"/>
      <c r="G649" s="97"/>
    </row>
    <row r="650" spans="1:7" ht="14.25" customHeight="1">
      <c r="A650" s="97"/>
      <c r="B650" s="97"/>
      <c r="C650" s="96"/>
      <c r="D650" s="97"/>
      <c r="E650" s="97"/>
      <c r="F650" s="97"/>
      <c r="G650" s="97"/>
    </row>
    <row r="651" spans="1:7" ht="14.25" customHeight="1">
      <c r="A651" s="97"/>
      <c r="B651" s="97"/>
      <c r="C651" s="96"/>
      <c r="D651" s="97"/>
      <c r="E651" s="97"/>
      <c r="F651" s="97"/>
      <c r="G651" s="97"/>
    </row>
    <row r="652" spans="1:7" ht="14.25" customHeight="1">
      <c r="A652" s="97"/>
      <c r="B652" s="97"/>
      <c r="C652" s="96"/>
      <c r="D652" s="97"/>
      <c r="E652" s="97"/>
      <c r="F652" s="97"/>
      <c r="G652" s="97"/>
    </row>
    <row r="653" spans="1:7" ht="14.25" customHeight="1">
      <c r="A653" s="97"/>
      <c r="B653" s="97"/>
      <c r="C653" s="96"/>
      <c r="D653" s="97"/>
      <c r="E653" s="97"/>
      <c r="F653" s="97"/>
      <c r="G653" s="97"/>
    </row>
    <row r="654" spans="1:7" ht="14.25" customHeight="1">
      <c r="A654" s="97"/>
      <c r="B654" s="97"/>
      <c r="C654" s="96"/>
      <c r="D654" s="97"/>
      <c r="E654" s="97"/>
      <c r="F654" s="97"/>
      <c r="G654" s="97"/>
    </row>
    <row r="655" spans="1:7" ht="14.25" customHeight="1">
      <c r="A655" s="97"/>
      <c r="B655" s="97"/>
      <c r="C655" s="96"/>
      <c r="D655" s="97"/>
      <c r="E655" s="97"/>
      <c r="F655" s="97"/>
      <c r="G655" s="97"/>
    </row>
    <row r="656" spans="1:7" ht="14.25" customHeight="1">
      <c r="A656" s="97"/>
      <c r="B656" s="97"/>
      <c r="C656" s="96"/>
      <c r="D656" s="97"/>
      <c r="E656" s="97"/>
      <c r="F656" s="97"/>
      <c r="G656" s="97"/>
    </row>
    <row r="657" spans="1:7" ht="14.25" customHeight="1">
      <c r="A657" s="97"/>
      <c r="B657" s="97"/>
      <c r="C657" s="96"/>
      <c r="D657" s="97"/>
      <c r="E657" s="97"/>
      <c r="F657" s="97"/>
      <c r="G657" s="97"/>
    </row>
    <row r="658" spans="1:7" ht="14.25" customHeight="1">
      <c r="A658" s="97"/>
      <c r="B658" s="97"/>
      <c r="C658" s="96"/>
      <c r="D658" s="97"/>
      <c r="E658" s="97"/>
      <c r="F658" s="97"/>
      <c r="G658" s="97"/>
    </row>
    <row r="659" spans="1:7" ht="14.25" customHeight="1">
      <c r="A659" s="97"/>
      <c r="B659" s="97"/>
      <c r="C659" s="96"/>
      <c r="D659" s="97"/>
      <c r="E659" s="97"/>
      <c r="F659" s="97"/>
      <c r="G659" s="97"/>
    </row>
    <row r="660" spans="1:7" ht="14.25" customHeight="1">
      <c r="A660" s="97"/>
      <c r="B660" s="97"/>
      <c r="C660" s="96"/>
      <c r="D660" s="97"/>
      <c r="E660" s="97"/>
      <c r="F660" s="97"/>
      <c r="G660" s="97"/>
    </row>
    <row r="661" spans="1:7" ht="14.25" customHeight="1">
      <c r="A661" s="97"/>
      <c r="B661" s="97"/>
      <c r="C661" s="96"/>
      <c r="D661" s="97"/>
      <c r="E661" s="97"/>
      <c r="F661" s="97"/>
      <c r="G661" s="97"/>
    </row>
    <row r="662" spans="1:7" ht="14.25" customHeight="1">
      <c r="A662" s="97"/>
      <c r="B662" s="97"/>
      <c r="C662" s="96"/>
      <c r="D662" s="97"/>
      <c r="E662" s="97"/>
      <c r="F662" s="97"/>
      <c r="G662" s="97"/>
    </row>
    <row r="663" spans="1:7" ht="14.25" customHeight="1">
      <c r="A663" s="97"/>
      <c r="B663" s="97"/>
      <c r="C663" s="96"/>
      <c r="D663" s="97"/>
      <c r="E663" s="97"/>
      <c r="F663" s="97"/>
      <c r="G663" s="97"/>
    </row>
    <row r="664" spans="1:7" ht="14.25" customHeight="1">
      <c r="A664" s="97"/>
      <c r="B664" s="97"/>
      <c r="C664" s="96"/>
      <c r="D664" s="97"/>
      <c r="E664" s="97"/>
      <c r="F664" s="97"/>
      <c r="G664" s="97"/>
    </row>
    <row r="665" spans="1:7" ht="14.25" customHeight="1">
      <c r="A665" s="97"/>
      <c r="B665" s="97"/>
      <c r="C665" s="96"/>
      <c r="D665" s="97"/>
      <c r="E665" s="97"/>
      <c r="F665" s="97"/>
      <c r="G665" s="97"/>
    </row>
    <row r="666" spans="1:7" ht="14.25" customHeight="1">
      <c r="A666" s="97"/>
      <c r="B666" s="97"/>
      <c r="C666" s="96"/>
      <c r="D666" s="97"/>
      <c r="E666" s="97"/>
      <c r="F666" s="97"/>
      <c r="G666" s="97"/>
    </row>
    <row r="667" spans="1:7" ht="14.25" customHeight="1">
      <c r="A667" s="97"/>
      <c r="B667" s="97"/>
      <c r="C667" s="96"/>
      <c r="D667" s="97"/>
      <c r="E667" s="97"/>
      <c r="F667" s="97"/>
      <c r="G667" s="97"/>
    </row>
    <row r="668" spans="1:7" ht="14.25" customHeight="1">
      <c r="A668" s="97"/>
      <c r="B668" s="97"/>
      <c r="C668" s="96"/>
      <c r="D668" s="97"/>
      <c r="E668" s="97"/>
      <c r="F668" s="97"/>
      <c r="G668" s="97"/>
    </row>
    <row r="669" spans="1:7" ht="14.25" customHeight="1">
      <c r="A669" s="97"/>
      <c r="B669" s="97"/>
      <c r="C669" s="96"/>
      <c r="D669" s="97"/>
      <c r="E669" s="97"/>
      <c r="F669" s="97"/>
      <c r="G669" s="97"/>
    </row>
    <row r="670" spans="1:7" ht="14.25" customHeight="1">
      <c r="A670" s="97"/>
      <c r="B670" s="97"/>
      <c r="C670" s="96"/>
      <c r="D670" s="97"/>
      <c r="E670" s="97"/>
      <c r="F670" s="97"/>
      <c r="G670" s="97"/>
    </row>
    <row r="671" spans="1:7" ht="14.25" customHeight="1">
      <c r="A671" s="97"/>
      <c r="B671" s="97"/>
      <c r="C671" s="96"/>
      <c r="D671" s="97"/>
      <c r="E671" s="97"/>
      <c r="F671" s="97"/>
      <c r="G671" s="97"/>
    </row>
    <row r="672" spans="1:7" ht="14.25" customHeight="1">
      <c r="A672" s="97"/>
      <c r="B672" s="97"/>
      <c r="C672" s="96"/>
      <c r="D672" s="97"/>
      <c r="E672" s="97"/>
      <c r="F672" s="97"/>
      <c r="G672" s="97"/>
    </row>
    <row r="673" spans="1:7" ht="14.25" customHeight="1">
      <c r="A673" s="97"/>
      <c r="B673" s="97"/>
      <c r="C673" s="96"/>
      <c r="D673" s="97"/>
      <c r="E673" s="97"/>
      <c r="F673" s="97"/>
      <c r="G673" s="97"/>
    </row>
    <row r="674" spans="1:7" ht="14.25" customHeight="1">
      <c r="A674" s="97"/>
      <c r="B674" s="97"/>
      <c r="C674" s="96"/>
      <c r="D674" s="97"/>
      <c r="E674" s="97"/>
      <c r="F674" s="97"/>
      <c r="G674" s="97"/>
    </row>
    <row r="675" spans="1:7" ht="14.25" customHeight="1">
      <c r="A675" s="97"/>
      <c r="B675" s="97"/>
      <c r="C675" s="96"/>
      <c r="D675" s="97"/>
      <c r="E675" s="97"/>
      <c r="F675" s="97"/>
      <c r="G675" s="97"/>
    </row>
    <row r="676" spans="1:7" ht="14.25" customHeight="1">
      <c r="A676" s="97"/>
      <c r="B676" s="97"/>
      <c r="C676" s="96"/>
      <c r="D676" s="97"/>
      <c r="E676" s="97"/>
      <c r="F676" s="97"/>
      <c r="G676" s="97"/>
    </row>
    <row r="677" spans="1:7" ht="14.25" customHeight="1">
      <c r="A677" s="97"/>
      <c r="B677" s="97"/>
      <c r="C677" s="96"/>
      <c r="D677" s="97"/>
      <c r="E677" s="97"/>
      <c r="F677" s="97"/>
      <c r="G677" s="97"/>
    </row>
    <row r="678" spans="1:7" ht="14.25" customHeight="1">
      <c r="A678" s="97"/>
      <c r="B678" s="97"/>
      <c r="C678" s="96"/>
      <c r="D678" s="97"/>
      <c r="E678" s="97"/>
      <c r="F678" s="97"/>
      <c r="G678" s="97"/>
    </row>
    <row r="679" spans="1:7" ht="14.25" customHeight="1">
      <c r="A679" s="97"/>
      <c r="B679" s="97"/>
      <c r="C679" s="96"/>
      <c r="D679" s="97"/>
      <c r="E679" s="97"/>
      <c r="F679" s="97"/>
      <c r="G679" s="97"/>
    </row>
    <row r="680" spans="1:7" ht="14.25" customHeight="1">
      <c r="A680" s="97"/>
      <c r="B680" s="97"/>
      <c r="C680" s="96"/>
      <c r="D680" s="97"/>
      <c r="E680" s="97"/>
      <c r="F680" s="97"/>
      <c r="G680" s="97"/>
    </row>
    <row r="681" spans="1:7" ht="14.25" customHeight="1">
      <c r="A681" s="97"/>
      <c r="B681" s="97"/>
      <c r="C681" s="96"/>
      <c r="D681" s="97"/>
      <c r="E681" s="97"/>
      <c r="F681" s="97"/>
      <c r="G681" s="97"/>
    </row>
    <row r="682" spans="1:7" ht="14.25" customHeight="1">
      <c r="A682" s="97"/>
      <c r="B682" s="97"/>
      <c r="C682" s="96"/>
      <c r="D682" s="97"/>
      <c r="E682" s="97"/>
      <c r="F682" s="97"/>
      <c r="G682" s="97"/>
    </row>
    <row r="683" spans="1:7" ht="14.25" customHeight="1">
      <c r="A683" s="97"/>
      <c r="B683" s="97"/>
      <c r="C683" s="96"/>
      <c r="D683" s="97"/>
      <c r="E683" s="97"/>
      <c r="F683" s="97"/>
      <c r="G683" s="97"/>
    </row>
    <row r="684" spans="1:7" ht="14.25" customHeight="1">
      <c r="A684" s="97"/>
      <c r="B684" s="97"/>
      <c r="C684" s="96"/>
      <c r="D684" s="97"/>
      <c r="E684" s="97"/>
      <c r="F684" s="97"/>
      <c r="G684" s="97"/>
    </row>
    <row r="685" spans="1:7" ht="14.25" customHeight="1">
      <c r="A685" s="97"/>
      <c r="B685" s="97"/>
      <c r="C685" s="96"/>
      <c r="D685" s="97"/>
      <c r="E685" s="97"/>
      <c r="F685" s="97"/>
      <c r="G685" s="97"/>
    </row>
    <row r="686" spans="1:7" ht="14.25" customHeight="1">
      <c r="A686" s="97"/>
      <c r="B686" s="97"/>
      <c r="C686" s="96"/>
      <c r="D686" s="97"/>
      <c r="E686" s="97"/>
      <c r="F686" s="97"/>
      <c r="G686" s="97"/>
    </row>
    <row r="687" spans="1:7" ht="14.25" customHeight="1">
      <c r="A687" s="97"/>
      <c r="B687" s="97"/>
      <c r="C687" s="96"/>
      <c r="D687" s="97"/>
      <c r="E687" s="97"/>
      <c r="F687" s="97"/>
      <c r="G687" s="97"/>
    </row>
    <row r="688" spans="1:7" ht="14.25" customHeight="1">
      <c r="A688" s="97"/>
      <c r="B688" s="97"/>
      <c r="C688" s="96"/>
      <c r="D688" s="97"/>
      <c r="E688" s="97"/>
      <c r="F688" s="97"/>
      <c r="G688" s="97"/>
    </row>
    <row r="689" spans="1:7" ht="14.25" customHeight="1">
      <c r="A689" s="97"/>
      <c r="B689" s="97"/>
      <c r="C689" s="96"/>
      <c r="D689" s="97"/>
      <c r="E689" s="97"/>
      <c r="F689" s="97"/>
      <c r="G689" s="97"/>
    </row>
    <row r="690" spans="1:7" ht="14.25" customHeight="1">
      <c r="A690" s="97"/>
      <c r="B690" s="97"/>
      <c r="C690" s="96"/>
      <c r="D690" s="97"/>
      <c r="E690" s="97"/>
      <c r="F690" s="97"/>
      <c r="G690" s="97"/>
    </row>
    <row r="691" spans="1:7" ht="14.25" customHeight="1">
      <c r="A691" s="97"/>
      <c r="B691" s="97"/>
      <c r="C691" s="96"/>
      <c r="D691" s="97"/>
      <c r="E691" s="97"/>
      <c r="F691" s="97"/>
      <c r="G691" s="97"/>
    </row>
    <row r="692" spans="1:7" ht="14.25" customHeight="1">
      <c r="A692" s="97"/>
      <c r="B692" s="97"/>
      <c r="C692" s="96"/>
      <c r="D692" s="97"/>
      <c r="E692" s="97"/>
      <c r="F692" s="97"/>
      <c r="G692" s="97"/>
    </row>
    <row r="693" spans="1:7" ht="14.25" customHeight="1">
      <c r="A693" s="97"/>
      <c r="B693" s="97"/>
      <c r="C693" s="96"/>
      <c r="D693" s="97"/>
      <c r="E693" s="97"/>
      <c r="F693" s="97"/>
      <c r="G693" s="97"/>
    </row>
    <row r="694" spans="1:7" ht="14.25" customHeight="1">
      <c r="A694" s="97"/>
      <c r="B694" s="97"/>
      <c r="C694" s="96"/>
      <c r="D694" s="97"/>
      <c r="E694" s="97"/>
      <c r="F694" s="97"/>
      <c r="G694" s="97"/>
    </row>
    <row r="695" spans="1:7" ht="14.25" customHeight="1">
      <c r="A695" s="97"/>
      <c r="B695" s="97"/>
      <c r="C695" s="96"/>
      <c r="D695" s="97"/>
      <c r="E695" s="97"/>
      <c r="F695" s="97"/>
      <c r="G695" s="97"/>
    </row>
    <row r="696" spans="1:7" ht="14.25" customHeight="1">
      <c r="A696" s="97"/>
      <c r="B696" s="97"/>
      <c r="C696" s="96"/>
      <c r="D696" s="97"/>
      <c r="E696" s="97"/>
      <c r="F696" s="97"/>
      <c r="G696" s="97"/>
    </row>
    <row r="697" spans="1:7" ht="14.25" customHeight="1">
      <c r="A697" s="97"/>
      <c r="B697" s="97"/>
      <c r="C697" s="96"/>
      <c r="D697" s="97"/>
      <c r="E697" s="97"/>
      <c r="F697" s="97"/>
      <c r="G697" s="97"/>
    </row>
    <row r="698" spans="1:7" ht="14.25" customHeight="1">
      <c r="A698" s="97"/>
      <c r="B698" s="97"/>
      <c r="C698" s="96"/>
      <c r="D698" s="97"/>
      <c r="E698" s="97"/>
      <c r="F698" s="97"/>
      <c r="G698" s="97"/>
    </row>
    <row r="699" spans="1:7" ht="14.25" customHeight="1">
      <c r="A699" s="97"/>
      <c r="B699" s="97"/>
      <c r="C699" s="96"/>
      <c r="D699" s="97"/>
      <c r="E699" s="97"/>
      <c r="F699" s="97"/>
      <c r="G699" s="97"/>
    </row>
    <row r="700" spans="1:7" ht="14.25" customHeight="1">
      <c r="A700" s="97"/>
      <c r="B700" s="97"/>
      <c r="C700" s="96"/>
      <c r="D700" s="97"/>
      <c r="E700" s="97"/>
      <c r="F700" s="97"/>
      <c r="G700" s="97"/>
    </row>
    <row r="701" spans="1:7" ht="14.25" customHeight="1">
      <c r="A701" s="97"/>
      <c r="B701" s="97"/>
      <c r="C701" s="96"/>
      <c r="D701" s="97"/>
      <c r="E701" s="97"/>
      <c r="F701" s="97"/>
      <c r="G701" s="97"/>
    </row>
    <row r="702" spans="1:7" ht="14.25" customHeight="1">
      <c r="A702" s="97"/>
      <c r="B702" s="97"/>
      <c r="C702" s="96"/>
      <c r="D702" s="97"/>
      <c r="E702" s="97"/>
      <c r="F702" s="97"/>
      <c r="G702" s="97"/>
    </row>
    <row r="703" spans="1:7" ht="14.25" customHeight="1">
      <c r="A703" s="97"/>
      <c r="B703" s="97"/>
      <c r="C703" s="96"/>
      <c r="D703" s="97"/>
      <c r="E703" s="97"/>
      <c r="F703" s="97"/>
      <c r="G703" s="97"/>
    </row>
    <row r="704" spans="1:7" ht="14.25" customHeight="1">
      <c r="A704" s="97"/>
      <c r="B704" s="97"/>
      <c r="C704" s="96"/>
      <c r="D704" s="97"/>
      <c r="E704" s="97"/>
      <c r="F704" s="97"/>
      <c r="G704" s="97"/>
    </row>
    <row r="705" spans="1:7" ht="14.25" customHeight="1">
      <c r="A705" s="97"/>
      <c r="B705" s="97"/>
      <c r="C705" s="96"/>
      <c r="D705" s="97"/>
      <c r="E705" s="97"/>
      <c r="F705" s="97"/>
      <c r="G705" s="97"/>
    </row>
    <row r="706" spans="1:7" ht="14.25" customHeight="1">
      <c r="A706" s="97"/>
      <c r="B706" s="97"/>
      <c r="C706" s="96"/>
      <c r="D706" s="97"/>
      <c r="E706" s="97"/>
      <c r="F706" s="97"/>
      <c r="G706" s="97"/>
    </row>
    <row r="707" spans="1:7" ht="14.25" customHeight="1">
      <c r="A707" s="97"/>
      <c r="B707" s="97"/>
      <c r="C707" s="96"/>
      <c r="D707" s="97"/>
      <c r="E707" s="97"/>
      <c r="F707" s="97"/>
      <c r="G707" s="97"/>
    </row>
    <row r="708" spans="1:7" ht="14.25" customHeight="1">
      <c r="A708" s="97"/>
      <c r="B708" s="97"/>
      <c r="C708" s="96"/>
      <c r="D708" s="97"/>
      <c r="E708" s="97"/>
      <c r="F708" s="97"/>
      <c r="G708" s="97"/>
    </row>
    <row r="709" spans="1:7" ht="14.25" customHeight="1">
      <c r="A709" s="97"/>
      <c r="B709" s="97"/>
      <c r="C709" s="96"/>
      <c r="D709" s="97"/>
      <c r="E709" s="97"/>
      <c r="F709" s="97"/>
      <c r="G709" s="97"/>
    </row>
    <row r="710" spans="1:7" ht="14.25" customHeight="1">
      <c r="A710" s="97"/>
      <c r="B710" s="97"/>
      <c r="C710" s="96"/>
      <c r="D710" s="97"/>
      <c r="E710" s="97"/>
      <c r="F710" s="97"/>
      <c r="G710" s="97"/>
    </row>
    <row r="711" spans="1:7" ht="14.25" customHeight="1">
      <c r="A711" s="97"/>
      <c r="B711" s="97"/>
      <c r="C711" s="96"/>
      <c r="D711" s="97"/>
      <c r="E711" s="97"/>
      <c r="F711" s="97"/>
      <c r="G711" s="97"/>
    </row>
    <row r="712" spans="1:7" ht="14.25" customHeight="1">
      <c r="A712" s="97"/>
      <c r="B712" s="97"/>
      <c r="C712" s="96"/>
      <c r="D712" s="97"/>
      <c r="E712" s="97"/>
      <c r="F712" s="97"/>
      <c r="G712" s="97"/>
    </row>
    <row r="713" spans="1:7" ht="14.25" customHeight="1">
      <c r="A713" s="97"/>
      <c r="B713" s="97"/>
      <c r="C713" s="96"/>
      <c r="D713" s="97"/>
      <c r="E713" s="97"/>
      <c r="F713" s="97"/>
      <c r="G713" s="97"/>
    </row>
    <row r="714" spans="1:7" ht="14.25" customHeight="1">
      <c r="A714" s="97"/>
      <c r="B714" s="97"/>
      <c r="C714" s="96"/>
      <c r="D714" s="97"/>
      <c r="E714" s="97"/>
      <c r="F714" s="97"/>
      <c r="G714" s="97"/>
    </row>
    <row r="715" spans="1:7" ht="14.25" customHeight="1">
      <c r="A715" s="97"/>
      <c r="B715" s="97"/>
      <c r="C715" s="96"/>
      <c r="D715" s="97"/>
      <c r="E715" s="97"/>
      <c r="F715" s="97"/>
      <c r="G715" s="97"/>
    </row>
    <row r="716" spans="1:7" ht="14.25" customHeight="1">
      <c r="A716" s="97"/>
      <c r="B716" s="97"/>
      <c r="C716" s="96"/>
      <c r="D716" s="97"/>
      <c r="E716" s="97"/>
      <c r="F716" s="97"/>
      <c r="G716" s="97"/>
    </row>
    <row r="717" spans="1:7" ht="14.25" customHeight="1">
      <c r="A717" s="97"/>
      <c r="B717" s="97"/>
      <c r="C717" s="96"/>
      <c r="D717" s="97"/>
      <c r="E717" s="97"/>
      <c r="F717" s="97"/>
      <c r="G717" s="97"/>
    </row>
    <row r="718" spans="1:7" ht="14.25" customHeight="1">
      <c r="A718" s="97"/>
      <c r="B718" s="97"/>
      <c r="C718" s="96"/>
      <c r="D718" s="97"/>
      <c r="E718" s="97"/>
      <c r="F718" s="97"/>
      <c r="G718" s="97"/>
    </row>
    <row r="719" spans="1:7" ht="14.25" customHeight="1">
      <c r="A719" s="97"/>
      <c r="B719" s="97"/>
      <c r="C719" s="96"/>
      <c r="D719" s="97"/>
      <c r="E719" s="97"/>
      <c r="F719" s="97"/>
      <c r="G719" s="97"/>
    </row>
    <row r="720" spans="1:7" ht="14.25" customHeight="1">
      <c r="A720" s="97"/>
      <c r="B720" s="97"/>
      <c r="C720" s="96"/>
      <c r="D720" s="97"/>
      <c r="E720" s="97"/>
      <c r="F720" s="97"/>
      <c r="G720" s="97"/>
    </row>
    <row r="721" spans="1:7" ht="14.25" customHeight="1">
      <c r="A721" s="97"/>
      <c r="B721" s="97"/>
      <c r="C721" s="96"/>
      <c r="D721" s="97"/>
      <c r="E721" s="97"/>
      <c r="F721" s="97"/>
      <c r="G721" s="97"/>
    </row>
    <row r="722" spans="1:7" ht="14.25" customHeight="1">
      <c r="A722" s="97"/>
      <c r="B722" s="97"/>
      <c r="C722" s="96"/>
      <c r="D722" s="97"/>
      <c r="E722" s="97"/>
      <c r="F722" s="97"/>
      <c r="G722" s="97"/>
    </row>
    <row r="723" spans="1:7" ht="14.25" customHeight="1">
      <c r="A723" s="97"/>
      <c r="B723" s="97"/>
      <c r="C723" s="96"/>
      <c r="D723" s="97"/>
      <c r="E723" s="97"/>
      <c r="F723" s="97"/>
      <c r="G723" s="97"/>
    </row>
    <row r="724" spans="1:7" ht="14.25" customHeight="1">
      <c r="A724" s="97"/>
      <c r="B724" s="97"/>
      <c r="C724" s="96"/>
      <c r="D724" s="97"/>
      <c r="E724" s="97"/>
      <c r="F724" s="97"/>
      <c r="G724" s="97"/>
    </row>
    <row r="725" spans="1:7" ht="14.25" customHeight="1">
      <c r="A725" s="97"/>
      <c r="B725" s="97"/>
      <c r="C725" s="96"/>
      <c r="D725" s="97"/>
      <c r="E725" s="97"/>
      <c r="F725" s="97"/>
      <c r="G725" s="97"/>
    </row>
    <row r="726" spans="1:7" ht="14.25" customHeight="1">
      <c r="A726" s="97"/>
      <c r="B726" s="97"/>
      <c r="C726" s="96"/>
      <c r="D726" s="97"/>
      <c r="E726" s="97"/>
      <c r="F726" s="97"/>
      <c r="G726" s="97"/>
    </row>
    <row r="727" spans="1:7" ht="14.25" customHeight="1">
      <c r="A727" s="97"/>
      <c r="B727" s="97"/>
      <c r="C727" s="96"/>
      <c r="D727" s="97"/>
      <c r="E727" s="97"/>
      <c r="F727" s="97"/>
      <c r="G727" s="97"/>
    </row>
    <row r="728" spans="1:7" ht="14.25" customHeight="1">
      <c r="A728" s="97"/>
      <c r="B728" s="97"/>
      <c r="C728" s="96"/>
      <c r="D728" s="97"/>
      <c r="E728" s="97"/>
      <c r="F728" s="97"/>
      <c r="G728" s="97"/>
    </row>
    <row r="729" spans="1:7" ht="14.25" customHeight="1">
      <c r="A729" s="97"/>
      <c r="B729" s="97"/>
      <c r="C729" s="96"/>
      <c r="D729" s="97"/>
      <c r="E729" s="97"/>
      <c r="F729" s="97"/>
      <c r="G729" s="97"/>
    </row>
    <row r="730" spans="1:7" ht="14.25" customHeight="1">
      <c r="A730" s="97"/>
      <c r="B730" s="97"/>
      <c r="C730" s="96"/>
      <c r="D730" s="97"/>
      <c r="E730" s="97"/>
      <c r="F730" s="97"/>
      <c r="G730" s="97"/>
    </row>
    <row r="731" spans="1:7" ht="14.25" customHeight="1">
      <c r="A731" s="97"/>
      <c r="B731" s="97"/>
      <c r="C731" s="96"/>
      <c r="D731" s="97"/>
      <c r="E731" s="97"/>
      <c r="F731" s="97"/>
      <c r="G731" s="97"/>
    </row>
    <row r="732" spans="1:7" ht="14.25" customHeight="1">
      <c r="A732" s="97"/>
      <c r="B732" s="97"/>
      <c r="C732" s="96"/>
      <c r="D732" s="97"/>
      <c r="E732" s="97"/>
      <c r="F732" s="97"/>
      <c r="G732" s="97"/>
    </row>
    <row r="733" spans="1:7" ht="14.25" customHeight="1">
      <c r="A733" s="97"/>
      <c r="B733" s="97"/>
      <c r="C733" s="96"/>
      <c r="D733" s="97"/>
      <c r="E733" s="97"/>
      <c r="F733" s="97"/>
      <c r="G733" s="97"/>
    </row>
    <row r="734" spans="1:7" ht="14.25" customHeight="1">
      <c r="A734" s="97"/>
      <c r="B734" s="97"/>
      <c r="C734" s="96"/>
      <c r="D734" s="97"/>
      <c r="E734" s="97"/>
      <c r="F734" s="97"/>
      <c r="G734" s="97"/>
    </row>
    <row r="735" spans="1:7" ht="14.25" customHeight="1">
      <c r="A735" s="97"/>
      <c r="B735" s="97"/>
      <c r="C735" s="96"/>
      <c r="D735" s="97"/>
      <c r="E735" s="97"/>
      <c r="F735" s="97"/>
      <c r="G735" s="97"/>
    </row>
    <row r="736" spans="1:7" ht="14.25" customHeight="1">
      <c r="A736" s="97"/>
      <c r="B736" s="97"/>
      <c r="C736" s="96"/>
      <c r="D736" s="97"/>
      <c r="E736" s="97"/>
      <c r="F736" s="97"/>
      <c r="G736" s="97"/>
    </row>
    <row r="737" spans="1:7" ht="14.25" customHeight="1">
      <c r="A737" s="97"/>
      <c r="B737" s="97"/>
      <c r="C737" s="96"/>
      <c r="D737" s="97"/>
      <c r="E737" s="97"/>
      <c r="F737" s="97"/>
      <c r="G737" s="97"/>
    </row>
    <row r="738" spans="1:7" ht="14.25" customHeight="1">
      <c r="A738" s="97"/>
      <c r="B738" s="97"/>
      <c r="C738" s="96"/>
      <c r="D738" s="97"/>
      <c r="E738" s="97"/>
      <c r="F738" s="97"/>
      <c r="G738" s="97"/>
    </row>
    <row r="739" spans="1:7" ht="14.25" customHeight="1">
      <c r="A739" s="97"/>
      <c r="B739" s="97"/>
      <c r="C739" s="96"/>
      <c r="D739" s="97"/>
      <c r="E739" s="97"/>
      <c r="F739" s="97"/>
      <c r="G739" s="97"/>
    </row>
    <row r="740" spans="1:7" ht="14.25" customHeight="1">
      <c r="A740" s="97"/>
      <c r="B740" s="97"/>
      <c r="C740" s="96"/>
      <c r="D740" s="97"/>
      <c r="E740" s="97"/>
      <c r="F740" s="97"/>
      <c r="G740" s="97"/>
    </row>
    <row r="741" spans="1:7" ht="14.25" customHeight="1">
      <c r="A741" s="97"/>
      <c r="B741" s="97"/>
      <c r="C741" s="96"/>
      <c r="D741" s="97"/>
      <c r="E741" s="97"/>
      <c r="F741" s="97"/>
      <c r="G741" s="97"/>
    </row>
    <row r="742" spans="1:7" ht="14.25" customHeight="1">
      <c r="A742" s="97"/>
      <c r="B742" s="97"/>
      <c r="C742" s="96"/>
      <c r="D742" s="97"/>
      <c r="E742" s="97"/>
      <c r="F742" s="97"/>
      <c r="G742" s="97"/>
    </row>
    <row r="743" spans="1:7" ht="14.25" customHeight="1">
      <c r="A743" s="97"/>
      <c r="B743" s="97"/>
      <c r="C743" s="96"/>
      <c r="D743" s="97"/>
      <c r="E743" s="97"/>
      <c r="F743" s="97"/>
      <c r="G743" s="97"/>
    </row>
    <row r="744" spans="1:7" ht="14.25" customHeight="1">
      <c r="A744" s="97"/>
      <c r="B744" s="97"/>
      <c r="C744" s="96"/>
      <c r="D744" s="97"/>
      <c r="E744" s="97"/>
      <c r="F744" s="97"/>
      <c r="G744" s="97"/>
    </row>
    <row r="745" spans="1:7" ht="14.25" customHeight="1">
      <c r="A745" s="97"/>
      <c r="B745" s="97"/>
      <c r="C745" s="96"/>
      <c r="D745" s="97"/>
      <c r="E745" s="97"/>
      <c r="F745" s="97"/>
      <c r="G745" s="97"/>
    </row>
    <row r="746" spans="1:7" ht="14.25" customHeight="1">
      <c r="A746" s="97"/>
      <c r="B746" s="97"/>
      <c r="C746" s="96"/>
      <c r="D746" s="97"/>
      <c r="E746" s="97"/>
      <c r="F746" s="97"/>
      <c r="G746" s="97"/>
    </row>
    <row r="747" spans="1:7" ht="14.25" customHeight="1">
      <c r="A747" s="97"/>
      <c r="B747" s="97"/>
      <c r="C747" s="96"/>
      <c r="D747" s="97"/>
      <c r="E747" s="97"/>
      <c r="F747" s="97"/>
      <c r="G747" s="97"/>
    </row>
    <row r="748" spans="1:7" ht="14.25" customHeight="1">
      <c r="A748" s="97"/>
      <c r="B748" s="97"/>
      <c r="C748" s="96"/>
      <c r="D748" s="97"/>
      <c r="E748" s="97"/>
      <c r="F748" s="97"/>
      <c r="G748" s="97"/>
    </row>
    <row r="749" spans="1:7" ht="14.25" customHeight="1">
      <c r="A749" s="97"/>
      <c r="B749" s="97"/>
      <c r="C749" s="96"/>
      <c r="D749" s="97"/>
      <c r="E749" s="97"/>
      <c r="F749" s="97"/>
      <c r="G749" s="97"/>
    </row>
    <row r="750" spans="1:7" ht="14.25" customHeight="1">
      <c r="A750" s="97"/>
      <c r="B750" s="97"/>
      <c r="C750" s="96"/>
      <c r="D750" s="97"/>
      <c r="E750" s="97"/>
      <c r="F750" s="97"/>
      <c r="G750" s="97"/>
    </row>
    <row r="751" spans="1:7" ht="14.25" customHeight="1">
      <c r="A751" s="97"/>
      <c r="B751" s="97"/>
      <c r="C751" s="96"/>
      <c r="D751" s="97"/>
      <c r="E751" s="97"/>
      <c r="F751" s="97"/>
      <c r="G751" s="97"/>
    </row>
    <row r="752" spans="1:7" ht="14.25" customHeight="1">
      <c r="A752" s="97"/>
      <c r="B752" s="97"/>
      <c r="C752" s="96"/>
      <c r="D752" s="97"/>
      <c r="E752" s="97"/>
      <c r="F752" s="97"/>
      <c r="G752" s="97"/>
    </row>
    <row r="753" spans="1:7" ht="14.25" customHeight="1">
      <c r="A753" s="97"/>
      <c r="B753" s="97"/>
      <c r="C753" s="96"/>
      <c r="D753" s="97"/>
      <c r="E753" s="97"/>
      <c r="F753" s="97"/>
      <c r="G753" s="97"/>
    </row>
    <row r="754" spans="1:7" ht="14.25" customHeight="1">
      <c r="A754" s="97"/>
      <c r="B754" s="97"/>
      <c r="C754" s="96"/>
      <c r="D754" s="97"/>
      <c r="E754" s="97"/>
      <c r="F754" s="97"/>
      <c r="G754" s="97"/>
    </row>
    <row r="755" spans="1:7" ht="14.25" customHeight="1">
      <c r="A755" s="97"/>
      <c r="B755" s="97"/>
      <c r="C755" s="96"/>
      <c r="D755" s="97"/>
      <c r="E755" s="97"/>
      <c r="F755" s="97"/>
      <c r="G755" s="97"/>
    </row>
    <row r="756" spans="1:7" ht="14.25" customHeight="1">
      <c r="A756" s="97"/>
      <c r="B756" s="97"/>
      <c r="C756" s="96"/>
      <c r="D756" s="97"/>
      <c r="E756" s="97"/>
      <c r="F756" s="97"/>
      <c r="G756" s="97"/>
    </row>
    <row r="757" spans="1:7" ht="14.25" customHeight="1">
      <c r="A757" s="97"/>
      <c r="B757" s="97"/>
      <c r="C757" s="96"/>
      <c r="D757" s="97"/>
      <c r="E757" s="97"/>
      <c r="F757" s="97"/>
      <c r="G757" s="97"/>
    </row>
    <row r="758" spans="1:7" ht="14.25" customHeight="1">
      <c r="A758" s="97"/>
      <c r="B758" s="97"/>
      <c r="C758" s="96"/>
      <c r="D758" s="97"/>
      <c r="E758" s="97"/>
      <c r="F758" s="97"/>
      <c r="G758" s="97"/>
    </row>
    <row r="759" spans="1:7" ht="14.25" customHeight="1">
      <c r="A759" s="97"/>
      <c r="B759" s="97"/>
      <c r="C759" s="96"/>
      <c r="D759" s="97"/>
      <c r="E759" s="97"/>
      <c r="F759" s="97"/>
      <c r="G759" s="97"/>
    </row>
    <row r="760" spans="1:7" ht="14.25" customHeight="1">
      <c r="A760" s="97"/>
      <c r="B760" s="97"/>
      <c r="C760" s="96"/>
      <c r="D760" s="97"/>
      <c r="E760" s="97"/>
      <c r="F760" s="97"/>
      <c r="G760" s="97"/>
    </row>
    <row r="761" spans="1:7" ht="14.25" customHeight="1">
      <c r="A761" s="97"/>
      <c r="B761" s="97"/>
      <c r="C761" s="96"/>
      <c r="D761" s="97"/>
      <c r="E761" s="97"/>
      <c r="F761" s="97"/>
      <c r="G761" s="97"/>
    </row>
    <row r="762" spans="1:7" ht="14.25" customHeight="1">
      <c r="A762" s="97"/>
      <c r="B762" s="97"/>
      <c r="C762" s="96"/>
      <c r="D762" s="97"/>
      <c r="E762" s="97"/>
      <c r="F762" s="97"/>
      <c r="G762" s="97"/>
    </row>
    <row r="763" spans="1:7" ht="14.25" customHeight="1">
      <c r="A763" s="97"/>
      <c r="B763" s="97"/>
      <c r="C763" s="96"/>
      <c r="D763" s="97"/>
      <c r="E763" s="97"/>
      <c r="F763" s="97"/>
      <c r="G763" s="97"/>
    </row>
    <row r="764" spans="1:7" ht="14.25" customHeight="1">
      <c r="A764" s="97"/>
      <c r="B764" s="97"/>
      <c r="C764" s="96"/>
      <c r="D764" s="97"/>
      <c r="E764" s="97"/>
      <c r="F764" s="97"/>
      <c r="G764" s="97"/>
    </row>
    <row r="765" spans="1:7" ht="14.25" customHeight="1">
      <c r="A765" s="97"/>
      <c r="B765" s="97"/>
      <c r="C765" s="96"/>
      <c r="D765" s="97"/>
      <c r="E765" s="97"/>
      <c r="F765" s="97"/>
      <c r="G765" s="97"/>
    </row>
    <row r="766" spans="1:7" ht="14.25" customHeight="1">
      <c r="A766" s="97"/>
      <c r="B766" s="97"/>
      <c r="C766" s="96"/>
      <c r="D766" s="97"/>
      <c r="E766" s="97"/>
      <c r="F766" s="97"/>
      <c r="G766" s="97"/>
    </row>
    <row r="767" spans="1:7" ht="14.25" customHeight="1">
      <c r="A767" s="97"/>
      <c r="B767" s="97"/>
      <c r="C767" s="96"/>
      <c r="D767" s="97"/>
      <c r="E767" s="97"/>
      <c r="F767" s="97"/>
      <c r="G767" s="97"/>
    </row>
    <row r="768" spans="1:7" ht="14.25" customHeight="1">
      <c r="A768" s="97"/>
      <c r="B768" s="97"/>
      <c r="C768" s="96"/>
      <c r="D768" s="97"/>
      <c r="E768" s="97"/>
      <c r="F768" s="97"/>
      <c r="G768" s="97"/>
    </row>
    <row r="769" spans="1:7" ht="14.25" customHeight="1">
      <c r="A769" s="97"/>
      <c r="B769" s="97"/>
      <c r="C769" s="96"/>
      <c r="D769" s="97"/>
      <c r="E769" s="97"/>
      <c r="F769" s="97"/>
      <c r="G769" s="97"/>
    </row>
    <row r="770" spans="1:7" ht="14.25" customHeight="1">
      <c r="A770" s="97"/>
      <c r="B770" s="97"/>
      <c r="C770" s="96"/>
      <c r="D770" s="97"/>
      <c r="E770" s="97"/>
      <c r="F770" s="97"/>
      <c r="G770" s="97"/>
    </row>
    <row r="771" spans="1:7" ht="14.25" customHeight="1">
      <c r="A771" s="97"/>
      <c r="B771" s="97"/>
      <c r="C771" s="96"/>
      <c r="D771" s="97"/>
      <c r="E771" s="97"/>
      <c r="F771" s="97"/>
      <c r="G771" s="97"/>
    </row>
    <row r="772" spans="1:7" ht="14.25" customHeight="1">
      <c r="A772" s="97"/>
      <c r="B772" s="97"/>
      <c r="C772" s="96"/>
      <c r="D772" s="97"/>
      <c r="E772" s="97"/>
      <c r="F772" s="97"/>
      <c r="G772" s="97"/>
    </row>
    <row r="773" spans="1:7" ht="14.25" customHeight="1">
      <c r="A773" s="97"/>
      <c r="B773" s="97"/>
      <c r="C773" s="96"/>
      <c r="D773" s="97"/>
      <c r="E773" s="97"/>
      <c r="F773" s="97"/>
      <c r="G773" s="97"/>
    </row>
    <row r="774" spans="1:7" ht="14.25" customHeight="1">
      <c r="A774" s="97"/>
      <c r="B774" s="97"/>
      <c r="C774" s="96"/>
      <c r="D774" s="97"/>
      <c r="E774" s="97"/>
      <c r="F774" s="97"/>
      <c r="G774" s="97"/>
    </row>
    <row r="775" spans="1:7" ht="14.25" customHeight="1">
      <c r="A775" s="97"/>
      <c r="B775" s="97"/>
      <c r="C775" s="96"/>
      <c r="D775" s="97"/>
      <c r="E775" s="97"/>
      <c r="F775" s="97"/>
      <c r="G775" s="97"/>
    </row>
    <row r="776" spans="1:7" ht="14.25" customHeight="1">
      <c r="A776" s="97"/>
      <c r="B776" s="97"/>
      <c r="C776" s="96"/>
      <c r="D776" s="97"/>
      <c r="E776" s="97"/>
      <c r="F776" s="97"/>
      <c r="G776" s="97"/>
    </row>
    <row r="777" spans="1:7" ht="14.25" customHeight="1">
      <c r="A777" s="97"/>
      <c r="B777" s="97"/>
      <c r="C777" s="96"/>
      <c r="D777" s="97"/>
      <c r="E777" s="97"/>
      <c r="F777" s="97"/>
      <c r="G777" s="97"/>
    </row>
    <row r="778" spans="1:7" ht="14.25" customHeight="1">
      <c r="A778" s="97"/>
      <c r="B778" s="97"/>
      <c r="C778" s="96"/>
      <c r="D778" s="97"/>
      <c r="E778" s="97"/>
      <c r="F778" s="97"/>
      <c r="G778" s="97"/>
    </row>
    <row r="779" spans="1:7" ht="14.25" customHeight="1">
      <c r="A779" s="97"/>
      <c r="B779" s="97"/>
      <c r="C779" s="96"/>
      <c r="D779" s="97"/>
      <c r="E779" s="97"/>
      <c r="F779" s="97"/>
      <c r="G779" s="97"/>
    </row>
    <row r="780" spans="1:7" ht="14.25" customHeight="1">
      <c r="A780" s="97"/>
      <c r="B780" s="97"/>
      <c r="C780" s="96"/>
      <c r="D780" s="97"/>
      <c r="E780" s="97"/>
      <c r="F780" s="97"/>
      <c r="G780" s="97"/>
    </row>
    <row r="781" spans="1:7" ht="14.25" customHeight="1">
      <c r="A781" s="97"/>
      <c r="B781" s="97"/>
      <c r="C781" s="96"/>
      <c r="D781" s="97"/>
      <c r="E781" s="97"/>
      <c r="F781" s="97"/>
      <c r="G781" s="97"/>
    </row>
    <row r="782" spans="1:7" ht="14.25" customHeight="1">
      <c r="A782" s="97"/>
      <c r="B782" s="97"/>
      <c r="C782" s="96"/>
      <c r="D782" s="97"/>
      <c r="E782" s="97"/>
      <c r="F782" s="97"/>
      <c r="G782" s="97"/>
    </row>
    <row r="783" spans="1:7" ht="14.25" customHeight="1">
      <c r="A783" s="97"/>
      <c r="B783" s="97"/>
      <c r="C783" s="96"/>
      <c r="D783" s="97"/>
      <c r="E783" s="97"/>
      <c r="F783" s="97"/>
      <c r="G783" s="97"/>
    </row>
    <row r="784" spans="1:7" ht="14.25" customHeight="1">
      <c r="A784" s="97"/>
      <c r="B784" s="97"/>
      <c r="C784" s="96"/>
      <c r="D784" s="97"/>
      <c r="E784" s="97"/>
      <c r="F784" s="97"/>
      <c r="G784" s="97"/>
    </row>
    <row r="785" spans="1:7" ht="14.25" customHeight="1">
      <c r="A785" s="97"/>
      <c r="B785" s="97"/>
      <c r="C785" s="96"/>
      <c r="D785" s="97"/>
      <c r="E785" s="97"/>
      <c r="F785" s="97"/>
      <c r="G785" s="97"/>
    </row>
    <row r="786" spans="1:7" ht="14.25" customHeight="1">
      <c r="A786" s="97"/>
      <c r="B786" s="97"/>
      <c r="C786" s="96"/>
      <c r="D786" s="97"/>
      <c r="E786" s="97"/>
      <c r="F786" s="97"/>
      <c r="G786" s="97"/>
    </row>
    <row r="787" spans="1:7" ht="14.25" customHeight="1">
      <c r="A787" s="97"/>
      <c r="B787" s="97"/>
      <c r="C787" s="96"/>
      <c r="D787" s="97"/>
      <c r="E787" s="97"/>
      <c r="F787" s="97"/>
      <c r="G787" s="97"/>
    </row>
    <row r="788" spans="1:7" ht="14.25" customHeight="1">
      <c r="A788" s="97"/>
      <c r="B788" s="97"/>
      <c r="C788" s="96"/>
      <c r="D788" s="97"/>
      <c r="E788" s="97"/>
      <c r="F788" s="97"/>
      <c r="G788" s="97"/>
    </row>
    <row r="789" spans="1:7" ht="14.25" customHeight="1">
      <c r="A789" s="97"/>
      <c r="B789" s="97"/>
      <c r="C789" s="96"/>
      <c r="D789" s="97"/>
      <c r="E789" s="97"/>
      <c r="F789" s="97"/>
      <c r="G789" s="97"/>
    </row>
    <row r="790" spans="1:7" ht="14.25" customHeight="1">
      <c r="A790" s="97"/>
      <c r="B790" s="97"/>
      <c r="C790" s="96"/>
      <c r="D790" s="97"/>
      <c r="E790" s="97"/>
      <c r="F790" s="97"/>
      <c r="G790" s="97"/>
    </row>
    <row r="791" spans="1:7" ht="14.25" customHeight="1">
      <c r="A791" s="97"/>
      <c r="B791" s="97"/>
      <c r="C791" s="96"/>
      <c r="D791" s="97"/>
      <c r="E791" s="97"/>
      <c r="F791" s="97"/>
      <c r="G791" s="97"/>
    </row>
    <row r="792" spans="1:7" ht="14.25" customHeight="1">
      <c r="A792" s="97"/>
      <c r="B792" s="97"/>
      <c r="C792" s="96"/>
      <c r="D792" s="97"/>
      <c r="E792" s="97"/>
      <c r="F792" s="97"/>
      <c r="G792" s="97"/>
    </row>
    <row r="793" spans="1:7" ht="14.25" customHeight="1">
      <c r="A793" s="97"/>
      <c r="B793" s="97"/>
      <c r="C793" s="96"/>
      <c r="D793" s="97"/>
      <c r="E793" s="97"/>
      <c r="F793" s="97"/>
      <c r="G793" s="97"/>
    </row>
    <row r="794" spans="1:7" ht="14.25" customHeight="1">
      <c r="A794" s="97"/>
      <c r="B794" s="97"/>
      <c r="C794" s="96"/>
      <c r="D794" s="97"/>
      <c r="E794" s="97"/>
      <c r="F794" s="97"/>
      <c r="G794" s="97"/>
    </row>
    <row r="795" spans="1:7" ht="14.25" customHeight="1">
      <c r="A795" s="97"/>
      <c r="B795" s="97"/>
      <c r="C795" s="96"/>
      <c r="D795" s="97"/>
      <c r="E795" s="97"/>
      <c r="F795" s="97"/>
      <c r="G795" s="97"/>
    </row>
    <row r="796" spans="1:7" ht="14.25" customHeight="1">
      <c r="A796" s="97"/>
      <c r="B796" s="97"/>
      <c r="C796" s="96"/>
      <c r="D796" s="97"/>
      <c r="E796" s="97"/>
      <c r="F796" s="97"/>
      <c r="G796" s="97"/>
    </row>
    <row r="797" spans="1:7" ht="14.25" customHeight="1">
      <c r="A797" s="97"/>
      <c r="B797" s="97"/>
      <c r="C797" s="96"/>
      <c r="D797" s="97"/>
      <c r="E797" s="97"/>
      <c r="F797" s="97"/>
      <c r="G797" s="97"/>
    </row>
    <row r="798" spans="1:7" ht="14.25" customHeight="1">
      <c r="A798" s="97"/>
      <c r="B798" s="97"/>
      <c r="C798" s="96"/>
      <c r="D798" s="97"/>
      <c r="E798" s="97"/>
      <c r="F798" s="97"/>
      <c r="G798" s="97"/>
    </row>
    <row r="799" spans="1:7" ht="14.25" customHeight="1">
      <c r="A799" s="97"/>
      <c r="B799" s="97"/>
      <c r="C799" s="96"/>
      <c r="D799" s="97"/>
      <c r="E799" s="97"/>
      <c r="F799" s="97"/>
      <c r="G799" s="97"/>
    </row>
    <row r="800" spans="1:7" ht="14.25" customHeight="1">
      <c r="A800" s="97"/>
      <c r="B800" s="97"/>
      <c r="C800" s="96"/>
      <c r="D800" s="97"/>
      <c r="E800" s="97"/>
      <c r="F800" s="97"/>
      <c r="G800" s="97"/>
    </row>
    <row r="801" spans="1:7" ht="14.25" customHeight="1">
      <c r="A801" s="97"/>
      <c r="B801" s="97"/>
      <c r="C801" s="96"/>
      <c r="D801" s="97"/>
      <c r="E801" s="97"/>
      <c r="F801" s="97"/>
      <c r="G801" s="97"/>
    </row>
    <row r="802" spans="1:7" ht="14.25" customHeight="1">
      <c r="A802" s="97"/>
      <c r="B802" s="97"/>
      <c r="C802" s="96"/>
      <c r="D802" s="97"/>
      <c r="E802" s="97"/>
      <c r="F802" s="97"/>
      <c r="G802" s="97"/>
    </row>
    <row r="803" spans="1:7" ht="14.25" customHeight="1">
      <c r="A803" s="97"/>
      <c r="B803" s="97"/>
      <c r="C803" s="96"/>
      <c r="D803" s="97"/>
      <c r="E803" s="97"/>
      <c r="F803" s="97"/>
      <c r="G803" s="97"/>
    </row>
    <row r="804" spans="1:7" ht="14.25" customHeight="1">
      <c r="A804" s="97"/>
      <c r="B804" s="97"/>
      <c r="C804" s="96"/>
      <c r="D804" s="97"/>
      <c r="E804" s="97"/>
      <c r="F804" s="97"/>
      <c r="G804" s="97"/>
    </row>
    <row r="805" spans="1:7" ht="14.25" customHeight="1">
      <c r="A805" s="97"/>
      <c r="B805" s="97"/>
      <c r="C805" s="96"/>
      <c r="D805" s="97"/>
      <c r="E805" s="97"/>
      <c r="F805" s="97"/>
      <c r="G805" s="97"/>
    </row>
    <row r="806" spans="1:7" ht="14.25" customHeight="1">
      <c r="A806" s="97"/>
      <c r="B806" s="97"/>
      <c r="C806" s="96"/>
      <c r="D806" s="97"/>
      <c r="E806" s="97"/>
      <c r="F806" s="97"/>
      <c r="G806" s="97"/>
    </row>
    <row r="807" spans="1:7" ht="14.25" customHeight="1">
      <c r="A807" s="97"/>
      <c r="B807" s="97"/>
      <c r="C807" s="96"/>
      <c r="D807" s="97"/>
      <c r="E807" s="97"/>
      <c r="F807" s="97"/>
      <c r="G807" s="97"/>
    </row>
    <row r="808" spans="1:7" ht="14.25" customHeight="1">
      <c r="A808" s="97"/>
      <c r="B808" s="97"/>
      <c r="C808" s="96"/>
      <c r="D808" s="97"/>
      <c r="E808" s="97"/>
      <c r="F808" s="97"/>
      <c r="G808" s="97"/>
    </row>
    <row r="809" spans="1:7" ht="14.25" customHeight="1">
      <c r="A809" s="97"/>
      <c r="B809" s="97"/>
      <c r="C809" s="96"/>
      <c r="D809" s="97"/>
      <c r="E809" s="97"/>
      <c r="F809" s="97"/>
      <c r="G809" s="97"/>
    </row>
    <row r="810" spans="1:7" ht="14.25" customHeight="1">
      <c r="A810" s="97"/>
      <c r="B810" s="97"/>
      <c r="C810" s="96"/>
      <c r="D810" s="97"/>
      <c r="E810" s="97"/>
      <c r="F810" s="97"/>
      <c r="G810" s="97"/>
    </row>
    <row r="811" spans="1:7" ht="14.25" customHeight="1">
      <c r="A811" s="97"/>
      <c r="B811" s="97"/>
      <c r="C811" s="96"/>
      <c r="D811" s="97"/>
      <c r="E811" s="97"/>
      <c r="F811" s="97"/>
      <c r="G811" s="97"/>
    </row>
    <row r="812" spans="1:7" ht="14.25" customHeight="1">
      <c r="A812" s="97"/>
      <c r="B812" s="97"/>
      <c r="C812" s="96"/>
      <c r="D812" s="97"/>
      <c r="E812" s="97"/>
      <c r="F812" s="97"/>
      <c r="G812" s="97"/>
    </row>
    <row r="813" spans="1:7" ht="14.25" customHeight="1">
      <c r="A813" s="97"/>
      <c r="B813" s="97"/>
      <c r="C813" s="96"/>
      <c r="D813" s="97"/>
      <c r="E813" s="97"/>
      <c r="F813" s="97"/>
      <c r="G813" s="97"/>
    </row>
    <row r="814" spans="1:7" ht="14.25" customHeight="1">
      <c r="A814" s="97"/>
      <c r="B814" s="97"/>
      <c r="C814" s="96"/>
      <c r="D814" s="97"/>
      <c r="E814" s="97"/>
      <c r="F814" s="97"/>
      <c r="G814" s="97"/>
    </row>
    <row r="815" spans="1:7" ht="14.25" customHeight="1">
      <c r="A815" s="97"/>
      <c r="B815" s="97"/>
      <c r="C815" s="96"/>
      <c r="D815" s="97"/>
      <c r="E815" s="97"/>
      <c r="F815" s="97"/>
      <c r="G815" s="97"/>
    </row>
    <row r="816" spans="1:7" ht="14.25" customHeight="1">
      <c r="A816" s="97"/>
      <c r="B816" s="97"/>
      <c r="C816" s="96"/>
      <c r="D816" s="97"/>
      <c r="E816" s="97"/>
      <c r="F816" s="97"/>
      <c r="G816" s="97"/>
    </row>
    <row r="817" spans="1:7" ht="14.25" customHeight="1">
      <c r="A817" s="97"/>
      <c r="B817" s="97"/>
      <c r="C817" s="96"/>
      <c r="D817" s="97"/>
      <c r="E817" s="97"/>
      <c r="F817" s="97"/>
      <c r="G817" s="97"/>
    </row>
    <row r="818" spans="1:7" ht="14.25" customHeight="1">
      <c r="A818" s="97"/>
      <c r="B818" s="97"/>
      <c r="C818" s="96"/>
      <c r="D818" s="97"/>
      <c r="E818" s="97"/>
      <c r="F818" s="97"/>
      <c r="G818" s="97"/>
    </row>
    <row r="819" spans="1:7" ht="14.25" customHeight="1">
      <c r="A819" s="97"/>
      <c r="B819" s="97"/>
      <c r="C819" s="96"/>
      <c r="D819" s="97"/>
      <c r="E819" s="97"/>
      <c r="F819" s="97"/>
      <c r="G819" s="97"/>
    </row>
    <row r="820" spans="1:7" ht="14.25" customHeight="1">
      <c r="A820" s="97"/>
      <c r="B820" s="97"/>
      <c r="C820" s="96"/>
      <c r="D820" s="97"/>
      <c r="E820" s="97"/>
      <c r="F820" s="97"/>
      <c r="G820" s="97"/>
    </row>
    <row r="821" spans="1:7" ht="14.25" customHeight="1">
      <c r="A821" s="97"/>
      <c r="B821" s="97"/>
      <c r="C821" s="96"/>
      <c r="D821" s="97"/>
      <c r="E821" s="97"/>
      <c r="F821" s="97"/>
      <c r="G821" s="97"/>
    </row>
    <row r="822" spans="1:7" ht="14.25" customHeight="1">
      <c r="A822" s="97"/>
      <c r="B822" s="97"/>
      <c r="C822" s="96"/>
      <c r="D822" s="97"/>
      <c r="E822" s="97"/>
      <c r="F822" s="97"/>
      <c r="G822" s="97"/>
    </row>
    <row r="823" spans="1:7" ht="14.25" customHeight="1">
      <c r="A823" s="97"/>
      <c r="B823" s="97"/>
      <c r="C823" s="96"/>
      <c r="D823" s="97"/>
      <c r="E823" s="97"/>
      <c r="F823" s="97"/>
      <c r="G823" s="97"/>
    </row>
    <row r="824" spans="1:7" ht="14.25" customHeight="1">
      <c r="A824" s="97"/>
      <c r="B824" s="97"/>
      <c r="C824" s="96"/>
      <c r="D824" s="97"/>
      <c r="E824" s="97"/>
      <c r="F824" s="97"/>
      <c r="G824" s="97"/>
    </row>
    <row r="825" spans="1:7" ht="14.25" customHeight="1">
      <c r="A825" s="97"/>
      <c r="B825" s="97"/>
      <c r="C825" s="96"/>
      <c r="D825" s="97"/>
      <c r="E825" s="97"/>
      <c r="F825" s="97"/>
      <c r="G825" s="97"/>
    </row>
    <row r="826" spans="1:7" ht="14.25" customHeight="1">
      <c r="A826" s="97"/>
      <c r="B826" s="97"/>
      <c r="C826" s="96"/>
      <c r="D826" s="97"/>
      <c r="E826" s="97"/>
      <c r="F826" s="97"/>
      <c r="G826" s="97"/>
    </row>
    <row r="827" spans="1:7" ht="14.25" customHeight="1">
      <c r="A827" s="97"/>
      <c r="B827" s="97"/>
      <c r="C827" s="96"/>
      <c r="D827" s="97"/>
      <c r="E827" s="97"/>
      <c r="F827" s="97"/>
      <c r="G827" s="97"/>
    </row>
    <row r="828" spans="1:7" ht="14.25" customHeight="1">
      <c r="A828" s="97"/>
      <c r="B828" s="97"/>
      <c r="C828" s="96"/>
      <c r="D828" s="97"/>
      <c r="E828" s="97"/>
      <c r="F828" s="97"/>
      <c r="G828" s="97"/>
    </row>
    <row r="829" spans="1:7" ht="14.25" customHeight="1">
      <c r="A829" s="97"/>
      <c r="B829" s="97"/>
      <c r="C829" s="96"/>
      <c r="D829" s="97"/>
      <c r="E829" s="97"/>
      <c r="F829" s="97"/>
      <c r="G829" s="97"/>
    </row>
    <row r="830" spans="1:7" ht="14.25" customHeight="1">
      <c r="A830" s="97"/>
      <c r="B830" s="97"/>
      <c r="C830" s="96"/>
      <c r="D830" s="97"/>
      <c r="E830" s="97"/>
      <c r="F830" s="97"/>
      <c r="G830" s="97"/>
    </row>
    <row r="831" spans="1:7" ht="14.25" customHeight="1">
      <c r="A831" s="97"/>
      <c r="B831" s="97"/>
      <c r="C831" s="96"/>
      <c r="D831" s="97"/>
      <c r="E831" s="97"/>
      <c r="F831" s="97"/>
      <c r="G831" s="97"/>
    </row>
    <row r="832" spans="1:7" ht="14.25" customHeight="1">
      <c r="A832" s="97"/>
      <c r="B832" s="97"/>
      <c r="C832" s="96"/>
      <c r="D832" s="97"/>
      <c r="E832" s="97"/>
      <c r="F832" s="97"/>
      <c r="G832" s="97"/>
    </row>
    <row r="833" spans="1:7" ht="14.25" customHeight="1">
      <c r="A833" s="97"/>
      <c r="B833" s="97"/>
      <c r="C833" s="96"/>
      <c r="D833" s="97"/>
      <c r="E833" s="97"/>
      <c r="F833" s="97"/>
      <c r="G833" s="97"/>
    </row>
    <row r="834" spans="1:7" ht="14.25" customHeight="1">
      <c r="A834" s="97"/>
      <c r="B834" s="97"/>
      <c r="C834" s="96"/>
      <c r="D834" s="97"/>
      <c r="E834" s="97"/>
      <c r="F834" s="97"/>
      <c r="G834" s="97"/>
    </row>
    <row r="835" spans="1:7" ht="14.25" customHeight="1">
      <c r="A835" s="97"/>
      <c r="B835" s="97"/>
      <c r="C835" s="96"/>
      <c r="D835" s="97"/>
      <c r="E835" s="97"/>
      <c r="F835" s="97"/>
      <c r="G835" s="97"/>
    </row>
    <row r="836" spans="1:7" ht="14.25" customHeight="1">
      <c r="A836" s="97"/>
      <c r="B836" s="97"/>
      <c r="C836" s="96"/>
      <c r="D836" s="97"/>
      <c r="E836" s="97"/>
      <c r="F836" s="97"/>
      <c r="G836" s="97"/>
    </row>
    <row r="837" spans="1:7" ht="14.25" customHeight="1">
      <c r="A837" s="97"/>
      <c r="B837" s="97"/>
      <c r="C837" s="96"/>
      <c r="D837" s="97"/>
      <c r="E837" s="97"/>
      <c r="F837" s="97"/>
      <c r="G837" s="97"/>
    </row>
    <row r="838" spans="1:7" ht="14.25" customHeight="1">
      <c r="A838" s="97"/>
      <c r="B838" s="97"/>
      <c r="C838" s="96"/>
      <c r="D838" s="97"/>
      <c r="E838" s="97"/>
      <c r="F838" s="97"/>
      <c r="G838" s="97"/>
    </row>
    <row r="839" spans="1:7" ht="14.25" customHeight="1">
      <c r="A839" s="97"/>
      <c r="B839" s="97"/>
      <c r="C839" s="96"/>
      <c r="D839" s="97"/>
      <c r="E839" s="97"/>
      <c r="F839" s="97"/>
      <c r="G839" s="97"/>
    </row>
    <row r="840" spans="1:7" ht="14.25" customHeight="1">
      <c r="A840" s="97"/>
      <c r="B840" s="97"/>
      <c r="C840" s="96"/>
      <c r="D840" s="97"/>
      <c r="E840" s="97"/>
      <c r="F840" s="97"/>
      <c r="G840" s="97"/>
    </row>
    <row r="841" spans="1:7" ht="14.25" customHeight="1">
      <c r="A841" s="97"/>
      <c r="B841" s="97"/>
      <c r="C841" s="96"/>
      <c r="D841" s="97"/>
      <c r="E841" s="97"/>
      <c r="F841" s="97"/>
      <c r="G841" s="97"/>
    </row>
    <row r="842" spans="1:7" ht="14.25" customHeight="1">
      <c r="A842" s="97"/>
      <c r="B842" s="97"/>
      <c r="C842" s="96"/>
      <c r="D842" s="97"/>
      <c r="E842" s="97"/>
      <c r="F842" s="97"/>
      <c r="G842" s="97"/>
    </row>
    <row r="843" spans="1:7" ht="14.25" customHeight="1">
      <c r="A843" s="97"/>
      <c r="B843" s="97"/>
      <c r="C843" s="96"/>
      <c r="D843" s="97"/>
      <c r="E843" s="97"/>
      <c r="F843" s="97"/>
      <c r="G843" s="97"/>
    </row>
    <row r="844" spans="1:7" ht="14.25" customHeight="1">
      <c r="A844" s="97"/>
      <c r="B844" s="97"/>
      <c r="C844" s="96"/>
      <c r="D844" s="97"/>
      <c r="E844" s="97"/>
      <c r="F844" s="97"/>
      <c r="G844" s="97"/>
    </row>
    <row r="845" spans="1:7" ht="14.25" customHeight="1">
      <c r="A845" s="97"/>
      <c r="B845" s="97"/>
      <c r="C845" s="96"/>
      <c r="D845" s="97"/>
      <c r="E845" s="97"/>
      <c r="F845" s="97"/>
      <c r="G845" s="97"/>
    </row>
    <row r="846" spans="1:7" ht="14.25" customHeight="1">
      <c r="A846" s="97"/>
      <c r="B846" s="97"/>
      <c r="C846" s="96"/>
      <c r="D846" s="97"/>
      <c r="E846" s="97"/>
      <c r="F846" s="97"/>
      <c r="G846" s="97"/>
    </row>
    <row r="847" spans="1:7" ht="14.25" customHeight="1">
      <c r="A847" s="97"/>
      <c r="B847" s="97"/>
      <c r="C847" s="96"/>
      <c r="D847" s="97"/>
      <c r="E847" s="97"/>
      <c r="F847" s="97"/>
      <c r="G847" s="97"/>
    </row>
    <row r="848" spans="1:7" ht="14.25" customHeight="1">
      <c r="A848" s="97"/>
      <c r="B848" s="97"/>
      <c r="C848" s="96"/>
      <c r="D848" s="97"/>
      <c r="E848" s="97"/>
      <c r="F848" s="97"/>
      <c r="G848" s="97"/>
    </row>
    <row r="849" spans="1:7" ht="14.25" customHeight="1">
      <c r="A849" s="97"/>
      <c r="B849" s="97"/>
      <c r="C849" s="96"/>
      <c r="D849" s="97"/>
      <c r="E849" s="97"/>
      <c r="F849" s="97"/>
      <c r="G849" s="97"/>
    </row>
    <row r="850" spans="1:7" ht="14.25" customHeight="1">
      <c r="A850" s="97"/>
      <c r="B850" s="97"/>
      <c r="C850" s="96"/>
      <c r="D850" s="97"/>
      <c r="E850" s="97"/>
      <c r="F850" s="97"/>
      <c r="G850" s="97"/>
    </row>
    <row r="851" spans="1:7" ht="14.25" customHeight="1">
      <c r="A851" s="97"/>
      <c r="B851" s="97"/>
      <c r="C851" s="96"/>
      <c r="D851" s="97"/>
      <c r="E851" s="97"/>
      <c r="F851" s="97"/>
      <c r="G851" s="97"/>
    </row>
    <row r="852" spans="1:7" ht="14.25" customHeight="1">
      <c r="A852" s="97"/>
      <c r="B852" s="97"/>
      <c r="C852" s="96"/>
      <c r="D852" s="97"/>
      <c r="E852" s="97"/>
      <c r="F852" s="97"/>
      <c r="G852" s="97"/>
    </row>
    <row r="853" spans="1:7" ht="14.25" customHeight="1">
      <c r="A853" s="97"/>
      <c r="B853" s="97"/>
      <c r="C853" s="96"/>
      <c r="D853" s="97"/>
      <c r="E853" s="97"/>
      <c r="F853" s="97"/>
      <c r="G853" s="97"/>
    </row>
    <row r="854" spans="1:7" ht="14.25" customHeight="1">
      <c r="A854" s="97"/>
      <c r="B854" s="97"/>
      <c r="C854" s="96"/>
      <c r="D854" s="97"/>
      <c r="E854" s="97"/>
      <c r="F854" s="97"/>
      <c r="G854" s="97"/>
    </row>
    <row r="855" spans="1:7" ht="14.25" customHeight="1">
      <c r="A855" s="97"/>
      <c r="B855" s="97"/>
      <c r="C855" s="96"/>
      <c r="D855" s="97"/>
      <c r="E855" s="97"/>
      <c r="F855" s="97"/>
      <c r="G855" s="97"/>
    </row>
    <row r="856" spans="1:7" ht="14.25" customHeight="1">
      <c r="A856" s="97"/>
      <c r="B856" s="97"/>
      <c r="C856" s="96"/>
      <c r="D856" s="97"/>
      <c r="E856" s="97"/>
      <c r="F856" s="97"/>
      <c r="G856" s="97"/>
    </row>
    <row r="857" spans="1:7" ht="14.25" customHeight="1">
      <c r="A857" s="97"/>
      <c r="B857" s="97"/>
      <c r="C857" s="96"/>
      <c r="D857" s="97"/>
      <c r="E857" s="97"/>
      <c r="F857" s="97"/>
      <c r="G857" s="97"/>
    </row>
    <row r="858" spans="1:7" ht="14.25" customHeight="1">
      <c r="A858" s="97"/>
      <c r="B858" s="97"/>
      <c r="C858" s="96"/>
      <c r="D858" s="97"/>
      <c r="E858" s="97"/>
      <c r="F858" s="97"/>
      <c r="G858" s="97"/>
    </row>
    <row r="859" spans="1:7" ht="14.25" customHeight="1">
      <c r="A859" s="97"/>
      <c r="B859" s="97"/>
      <c r="C859" s="96"/>
      <c r="D859" s="97"/>
      <c r="E859" s="97"/>
      <c r="F859" s="97"/>
      <c r="G859" s="97"/>
    </row>
    <row r="860" spans="1:7" ht="14.25" customHeight="1">
      <c r="A860" s="97"/>
      <c r="B860" s="97"/>
      <c r="C860" s="96"/>
      <c r="D860" s="97"/>
      <c r="E860" s="97"/>
      <c r="F860" s="97"/>
      <c r="G860" s="97"/>
    </row>
    <row r="861" spans="1:7" ht="14.25" customHeight="1">
      <c r="A861" s="97"/>
      <c r="B861" s="97"/>
      <c r="C861" s="96"/>
      <c r="D861" s="97"/>
      <c r="E861" s="97"/>
      <c r="F861" s="97"/>
      <c r="G861" s="97"/>
    </row>
    <row r="862" spans="1:7" ht="14.25" customHeight="1">
      <c r="A862" s="97"/>
      <c r="B862" s="97"/>
      <c r="C862" s="96"/>
      <c r="D862" s="97"/>
      <c r="E862" s="97"/>
      <c r="F862" s="97"/>
      <c r="G862" s="97"/>
    </row>
    <row r="863" spans="1:7" ht="14.25" customHeight="1">
      <c r="A863" s="97"/>
      <c r="B863" s="97"/>
      <c r="C863" s="96"/>
      <c r="D863" s="97"/>
      <c r="E863" s="97"/>
      <c r="F863" s="97"/>
      <c r="G863" s="97"/>
    </row>
    <row r="864" spans="1:7" ht="14.25" customHeight="1">
      <c r="A864" s="97"/>
      <c r="B864" s="97"/>
      <c r="C864" s="96"/>
      <c r="D864" s="97"/>
      <c r="E864" s="97"/>
      <c r="F864" s="97"/>
      <c r="G864" s="97"/>
    </row>
    <row r="865" spans="1:7" ht="14.25" customHeight="1">
      <c r="A865" s="97"/>
      <c r="B865" s="97"/>
      <c r="C865" s="96"/>
      <c r="D865" s="97"/>
      <c r="E865" s="97"/>
      <c r="F865" s="97"/>
      <c r="G865" s="97"/>
    </row>
    <row r="866" spans="1:7" ht="14.25" customHeight="1">
      <c r="A866" s="97"/>
      <c r="B866" s="97"/>
      <c r="C866" s="96"/>
      <c r="D866" s="97"/>
      <c r="E866" s="97"/>
      <c r="F866" s="97"/>
      <c r="G866" s="97"/>
    </row>
    <row r="867" spans="1:7" ht="14.25" customHeight="1">
      <c r="A867" s="97"/>
      <c r="B867" s="97"/>
      <c r="C867" s="96"/>
      <c r="D867" s="97"/>
      <c r="E867" s="97"/>
      <c r="F867" s="97"/>
      <c r="G867" s="97"/>
    </row>
    <row r="868" spans="1:7" ht="14.25" customHeight="1">
      <c r="A868" s="97"/>
      <c r="B868" s="97"/>
      <c r="C868" s="96"/>
      <c r="D868" s="97"/>
      <c r="E868" s="97"/>
      <c r="F868" s="97"/>
      <c r="G868" s="97"/>
    </row>
    <row r="869" spans="1:7" ht="14.25" customHeight="1">
      <c r="A869" s="97"/>
      <c r="B869" s="97"/>
      <c r="C869" s="96"/>
      <c r="D869" s="97"/>
      <c r="E869" s="97"/>
      <c r="F869" s="97"/>
      <c r="G869" s="97"/>
    </row>
    <row r="870" spans="1:7" ht="14.25" customHeight="1">
      <c r="A870" s="97"/>
      <c r="B870" s="97"/>
      <c r="C870" s="96"/>
      <c r="D870" s="97"/>
      <c r="E870" s="97"/>
      <c r="F870" s="97"/>
      <c r="G870" s="97"/>
    </row>
    <row r="871" spans="1:7" ht="14.25" customHeight="1">
      <c r="A871" s="97"/>
      <c r="B871" s="97"/>
      <c r="C871" s="96"/>
      <c r="D871" s="97"/>
      <c r="E871" s="97"/>
      <c r="F871" s="97"/>
      <c r="G871" s="97"/>
    </row>
    <row r="872" spans="1:7" ht="14.25" customHeight="1">
      <c r="A872" s="97"/>
      <c r="B872" s="97"/>
      <c r="C872" s="96"/>
      <c r="D872" s="97"/>
      <c r="E872" s="97"/>
      <c r="F872" s="97"/>
      <c r="G872" s="97"/>
    </row>
    <row r="873" spans="1:7" ht="14.25" customHeight="1">
      <c r="A873" s="97"/>
      <c r="B873" s="97"/>
      <c r="C873" s="96"/>
      <c r="D873" s="97"/>
      <c r="E873" s="97"/>
      <c r="F873" s="97"/>
      <c r="G873" s="97"/>
    </row>
    <row r="874" spans="1:7" ht="14.25" customHeight="1">
      <c r="A874" s="97"/>
      <c r="B874" s="97"/>
      <c r="C874" s="96"/>
      <c r="D874" s="97"/>
      <c r="E874" s="97"/>
      <c r="F874" s="97"/>
      <c r="G874" s="97"/>
    </row>
    <row r="875" spans="1:7" ht="14.25" customHeight="1">
      <c r="A875" s="97"/>
      <c r="B875" s="97"/>
      <c r="C875" s="96"/>
      <c r="D875" s="97"/>
      <c r="E875" s="97"/>
      <c r="F875" s="97"/>
      <c r="G875" s="97"/>
    </row>
    <row r="876" spans="1:7" ht="14.25" customHeight="1">
      <c r="A876" s="97"/>
      <c r="B876" s="97"/>
      <c r="C876" s="96"/>
      <c r="D876" s="97"/>
      <c r="E876" s="97"/>
      <c r="F876" s="97"/>
      <c r="G876" s="97"/>
    </row>
    <row r="877" spans="1:7" ht="14.25" customHeight="1">
      <c r="A877" s="97"/>
      <c r="B877" s="97"/>
      <c r="C877" s="96"/>
      <c r="D877" s="97"/>
      <c r="E877" s="97"/>
      <c r="F877" s="97"/>
      <c r="G877" s="97"/>
    </row>
    <row r="878" spans="1:7" ht="14.25" customHeight="1">
      <c r="A878" s="97"/>
      <c r="B878" s="97"/>
      <c r="C878" s="96"/>
      <c r="D878" s="97"/>
      <c r="E878" s="97"/>
      <c r="F878" s="97"/>
      <c r="G878" s="97"/>
    </row>
    <row r="879" spans="1:7" ht="14.25" customHeight="1">
      <c r="A879" s="97"/>
      <c r="B879" s="97"/>
      <c r="C879" s="96"/>
      <c r="D879" s="97"/>
      <c r="E879" s="97"/>
      <c r="F879" s="97"/>
      <c r="G879" s="97"/>
    </row>
    <row r="880" spans="1:7" ht="14.25" customHeight="1">
      <c r="A880" s="97"/>
      <c r="B880" s="97"/>
      <c r="C880" s="96"/>
      <c r="D880" s="97"/>
      <c r="E880" s="97"/>
      <c r="F880" s="97"/>
      <c r="G880" s="97"/>
    </row>
    <row r="881" spans="1:7" ht="14.25" customHeight="1">
      <c r="A881" s="97"/>
      <c r="B881" s="97"/>
      <c r="C881" s="96"/>
      <c r="D881" s="97"/>
      <c r="E881" s="97"/>
      <c r="F881" s="97"/>
      <c r="G881" s="97"/>
    </row>
    <row r="882" spans="1:7" ht="14.25" customHeight="1">
      <c r="A882" s="97"/>
      <c r="B882" s="97"/>
      <c r="C882" s="96"/>
      <c r="D882" s="97"/>
      <c r="E882" s="97"/>
      <c r="F882" s="97"/>
      <c r="G882" s="97"/>
    </row>
    <row r="883" spans="1:7" ht="14.25" customHeight="1">
      <c r="A883" s="97"/>
      <c r="B883" s="97"/>
      <c r="C883" s="96"/>
      <c r="D883" s="97"/>
      <c r="E883" s="97"/>
      <c r="F883" s="97"/>
      <c r="G883" s="97"/>
    </row>
    <row r="884" spans="1:7" ht="14.25" customHeight="1">
      <c r="A884" s="97"/>
      <c r="B884" s="97"/>
      <c r="C884" s="96"/>
      <c r="D884" s="97"/>
      <c r="E884" s="97"/>
      <c r="F884" s="97"/>
      <c r="G884" s="97"/>
    </row>
    <row r="885" spans="1:7" ht="14.25" customHeight="1">
      <c r="A885" s="97"/>
      <c r="B885" s="97"/>
      <c r="C885" s="96"/>
      <c r="D885" s="97"/>
      <c r="E885" s="97"/>
      <c r="F885" s="97"/>
      <c r="G885" s="97"/>
    </row>
    <row r="886" spans="1:7" ht="14.25" customHeight="1">
      <c r="A886" s="97"/>
      <c r="B886" s="97"/>
      <c r="C886" s="96"/>
      <c r="D886" s="97"/>
      <c r="E886" s="97"/>
      <c r="F886" s="97"/>
      <c r="G886" s="97"/>
    </row>
    <row r="887" spans="1:7" ht="14.25" customHeight="1">
      <c r="A887" s="97"/>
      <c r="B887" s="97"/>
      <c r="C887" s="96"/>
      <c r="D887" s="97"/>
      <c r="E887" s="97"/>
      <c r="F887" s="97"/>
      <c r="G887" s="97"/>
    </row>
    <row r="888" spans="1:7" ht="14.25" customHeight="1">
      <c r="A888" s="97"/>
      <c r="B888" s="97"/>
      <c r="C888" s="96"/>
      <c r="D888" s="97"/>
      <c r="E888" s="97"/>
      <c r="F888" s="97"/>
      <c r="G888" s="97"/>
    </row>
    <row r="889" spans="1:7" ht="14.25" customHeight="1">
      <c r="A889" s="97"/>
      <c r="B889" s="97"/>
      <c r="C889" s="96"/>
      <c r="D889" s="97"/>
      <c r="E889" s="97"/>
      <c r="F889" s="97"/>
      <c r="G889" s="97"/>
    </row>
    <row r="890" spans="1:7" ht="14.25" customHeight="1">
      <c r="A890" s="97"/>
      <c r="B890" s="97"/>
      <c r="C890" s="96"/>
      <c r="D890" s="97"/>
      <c r="E890" s="97"/>
      <c r="F890" s="97"/>
      <c r="G890" s="97"/>
    </row>
    <row r="891" spans="1:7" ht="14.25" customHeight="1">
      <c r="A891" s="97"/>
      <c r="B891" s="97"/>
      <c r="C891" s="96"/>
      <c r="D891" s="97"/>
      <c r="E891" s="97"/>
      <c r="F891" s="97"/>
      <c r="G891" s="97"/>
    </row>
    <row r="892" spans="1:7" ht="14.25" customHeight="1">
      <c r="A892" s="97"/>
      <c r="B892" s="97"/>
      <c r="C892" s="96"/>
      <c r="D892" s="97"/>
      <c r="E892" s="97"/>
      <c r="F892" s="97"/>
      <c r="G892" s="97"/>
    </row>
    <row r="893" spans="1:7" ht="14.25" customHeight="1">
      <c r="A893" s="97"/>
      <c r="B893" s="97"/>
      <c r="C893" s="96"/>
      <c r="D893" s="97"/>
      <c r="E893" s="97"/>
      <c r="F893" s="97"/>
      <c r="G893" s="97"/>
    </row>
    <row r="894" spans="1:7" ht="14.25" customHeight="1">
      <c r="A894" s="97"/>
      <c r="B894" s="97"/>
      <c r="C894" s="96"/>
      <c r="D894" s="97"/>
      <c r="E894" s="97"/>
      <c r="F894" s="97"/>
      <c r="G894" s="97"/>
    </row>
    <row r="895" spans="1:7" ht="14.25" customHeight="1">
      <c r="A895" s="97"/>
      <c r="B895" s="97"/>
      <c r="C895" s="96"/>
      <c r="D895" s="97"/>
      <c r="E895" s="97"/>
      <c r="F895" s="97"/>
      <c r="G895" s="97"/>
    </row>
    <row r="896" spans="1:7" ht="14.25" customHeight="1">
      <c r="A896" s="97"/>
      <c r="B896" s="97"/>
      <c r="C896" s="96"/>
      <c r="D896" s="97"/>
      <c r="E896" s="97"/>
      <c r="F896" s="97"/>
      <c r="G896" s="97"/>
    </row>
    <row r="897" spans="1:7" ht="14.25" customHeight="1">
      <c r="A897" s="97"/>
      <c r="B897" s="97"/>
      <c r="C897" s="96"/>
      <c r="D897" s="97"/>
      <c r="E897" s="97"/>
      <c r="F897" s="97"/>
      <c r="G897" s="97"/>
    </row>
    <row r="898" spans="1:7" ht="14.25" customHeight="1">
      <c r="A898" s="97"/>
      <c r="B898" s="97"/>
      <c r="C898" s="96"/>
      <c r="D898" s="97"/>
      <c r="E898" s="97"/>
      <c r="F898" s="97"/>
      <c r="G898" s="97"/>
    </row>
    <row r="899" spans="1:7" ht="14.25" customHeight="1">
      <c r="A899" s="97"/>
      <c r="B899" s="97"/>
      <c r="C899" s="96"/>
      <c r="D899" s="97"/>
      <c r="E899" s="97"/>
      <c r="F899" s="97"/>
      <c r="G899" s="97"/>
    </row>
    <row r="900" spans="1:7" ht="14.25" customHeight="1">
      <c r="A900" s="97"/>
      <c r="B900" s="97"/>
      <c r="C900" s="96"/>
      <c r="D900" s="97"/>
      <c r="E900" s="97"/>
      <c r="F900" s="97"/>
      <c r="G900" s="97"/>
    </row>
    <row r="901" spans="1:7" ht="14.25" customHeight="1">
      <c r="A901" s="97"/>
      <c r="B901" s="97"/>
      <c r="C901" s="96"/>
      <c r="D901" s="97"/>
      <c r="E901" s="97"/>
      <c r="F901" s="97"/>
      <c r="G901" s="97"/>
    </row>
    <row r="902" spans="1:7" ht="14.25" customHeight="1">
      <c r="A902" s="97"/>
      <c r="B902" s="97"/>
      <c r="C902" s="96"/>
      <c r="D902" s="97"/>
      <c r="E902" s="97"/>
      <c r="F902" s="97"/>
      <c r="G902" s="97"/>
    </row>
    <row r="903" spans="1:7" ht="14.25" customHeight="1">
      <c r="A903" s="97"/>
      <c r="B903" s="97"/>
      <c r="C903" s="96"/>
      <c r="D903" s="97"/>
      <c r="E903" s="97"/>
      <c r="F903" s="97"/>
      <c r="G903" s="97"/>
    </row>
    <row r="904" spans="1:7" ht="14.25" customHeight="1">
      <c r="A904" s="97"/>
      <c r="B904" s="97"/>
      <c r="C904" s="96"/>
      <c r="D904" s="97"/>
      <c r="E904" s="97"/>
      <c r="F904" s="97"/>
      <c r="G904" s="97"/>
    </row>
    <row r="905" spans="1:7" ht="14.25" customHeight="1">
      <c r="A905" s="97"/>
      <c r="B905" s="97"/>
      <c r="C905" s="96"/>
      <c r="D905" s="97"/>
      <c r="E905" s="97"/>
      <c r="F905" s="97"/>
      <c r="G905" s="97"/>
    </row>
    <row r="906" spans="1:7" ht="14.25" customHeight="1">
      <c r="A906" s="97"/>
      <c r="B906" s="97"/>
      <c r="C906" s="96"/>
      <c r="D906" s="97"/>
      <c r="E906" s="97"/>
      <c r="F906" s="97"/>
      <c r="G906" s="97"/>
    </row>
    <row r="907" spans="1:7" ht="14.25" customHeight="1">
      <c r="A907" s="97"/>
      <c r="B907" s="97"/>
      <c r="C907" s="96"/>
      <c r="D907" s="97"/>
      <c r="E907" s="97"/>
      <c r="F907" s="97"/>
      <c r="G907" s="97"/>
    </row>
    <row r="908" spans="1:7" ht="14.25" customHeight="1">
      <c r="A908" s="97"/>
      <c r="B908" s="97"/>
      <c r="C908" s="96"/>
      <c r="D908" s="97"/>
      <c r="E908" s="97"/>
      <c r="F908" s="97"/>
      <c r="G908" s="97"/>
    </row>
    <row r="909" spans="1:7" ht="14.25" customHeight="1">
      <c r="A909" s="97"/>
      <c r="B909" s="97"/>
      <c r="C909" s="96"/>
      <c r="D909" s="97"/>
      <c r="E909" s="97"/>
      <c r="F909" s="97"/>
      <c r="G909" s="97"/>
    </row>
    <row r="910" spans="1:7" ht="14.25" customHeight="1">
      <c r="A910" s="97"/>
      <c r="B910" s="97"/>
      <c r="C910" s="96"/>
      <c r="D910" s="97"/>
      <c r="E910" s="97"/>
      <c r="F910" s="97"/>
      <c r="G910" s="97"/>
    </row>
    <row r="911" spans="1:7" ht="14.25" customHeight="1">
      <c r="A911" s="97"/>
      <c r="B911" s="97"/>
      <c r="C911" s="96"/>
      <c r="D911" s="97"/>
      <c r="E911" s="97"/>
      <c r="F911" s="97"/>
      <c r="G911" s="97"/>
    </row>
    <row r="912" spans="1:7" ht="14.25" customHeight="1">
      <c r="A912" s="97"/>
      <c r="B912" s="97"/>
      <c r="C912" s="96"/>
      <c r="D912" s="97"/>
      <c r="E912" s="97"/>
      <c r="F912" s="97"/>
      <c r="G912" s="97"/>
    </row>
    <row r="913" spans="1:7" ht="14.25" customHeight="1">
      <c r="A913" s="97"/>
      <c r="B913" s="97"/>
      <c r="C913" s="96"/>
      <c r="D913" s="97"/>
      <c r="E913" s="97"/>
      <c r="F913" s="97"/>
      <c r="G913" s="97"/>
    </row>
    <row r="914" spans="1:7" ht="14.25" customHeight="1">
      <c r="A914" s="97"/>
      <c r="B914" s="97"/>
      <c r="C914" s="96"/>
      <c r="D914" s="97"/>
      <c r="E914" s="97"/>
      <c r="F914" s="97"/>
      <c r="G914" s="97"/>
    </row>
    <row r="915" spans="1:7" ht="14.25" customHeight="1">
      <c r="A915" s="97"/>
      <c r="B915" s="97"/>
      <c r="C915" s="96"/>
      <c r="D915" s="97"/>
      <c r="E915" s="97"/>
      <c r="F915" s="97"/>
      <c r="G915" s="97"/>
    </row>
    <row r="916" spans="1:7" ht="14.25" customHeight="1">
      <c r="A916" s="97"/>
      <c r="B916" s="97"/>
      <c r="C916" s="96"/>
      <c r="D916" s="97"/>
      <c r="E916" s="97"/>
      <c r="F916" s="97"/>
      <c r="G916" s="97"/>
    </row>
    <row r="917" spans="1:7" ht="14.25" customHeight="1">
      <c r="A917" s="97"/>
      <c r="B917" s="97"/>
      <c r="C917" s="96"/>
      <c r="D917" s="97"/>
      <c r="E917" s="97"/>
      <c r="F917" s="97"/>
      <c r="G917" s="97"/>
    </row>
    <row r="918" spans="1:7" ht="14.25" customHeight="1">
      <c r="A918" s="97"/>
      <c r="B918" s="97"/>
      <c r="C918" s="96"/>
      <c r="D918" s="97"/>
      <c r="E918" s="97"/>
      <c r="F918" s="97"/>
      <c r="G918" s="97"/>
    </row>
    <row r="919" spans="1:7" ht="14.25" customHeight="1">
      <c r="A919" s="97"/>
      <c r="B919" s="97"/>
      <c r="C919" s="96"/>
      <c r="D919" s="97"/>
      <c r="E919" s="97"/>
      <c r="F919" s="97"/>
      <c r="G919" s="97"/>
    </row>
    <row r="920" spans="1:7" ht="14.25" customHeight="1">
      <c r="A920" s="97"/>
      <c r="B920" s="97"/>
      <c r="C920" s="96"/>
      <c r="D920" s="97"/>
      <c r="E920" s="97"/>
      <c r="F920" s="97"/>
      <c r="G920" s="97"/>
    </row>
    <row r="921" spans="1:7" ht="14.25" customHeight="1">
      <c r="A921" s="97"/>
      <c r="B921" s="97"/>
      <c r="C921" s="96"/>
      <c r="D921" s="97"/>
      <c r="E921" s="97"/>
      <c r="F921" s="97"/>
      <c r="G921" s="97"/>
    </row>
    <row r="922" spans="1:7" ht="14.25" customHeight="1">
      <c r="A922" s="97"/>
      <c r="B922" s="97"/>
      <c r="C922" s="96"/>
      <c r="D922" s="97"/>
      <c r="E922" s="97"/>
      <c r="F922" s="97"/>
      <c r="G922" s="97"/>
    </row>
    <row r="923" spans="1:7" ht="14.25" customHeight="1">
      <c r="A923" s="97"/>
      <c r="B923" s="97"/>
      <c r="C923" s="96"/>
      <c r="D923" s="97"/>
      <c r="E923" s="97"/>
      <c r="F923" s="97"/>
      <c r="G923" s="97"/>
    </row>
    <row r="924" spans="1:7" ht="14.25" customHeight="1">
      <c r="A924" s="97"/>
      <c r="B924" s="97"/>
      <c r="C924" s="96"/>
      <c r="D924" s="97"/>
      <c r="E924" s="97"/>
      <c r="F924" s="97"/>
      <c r="G924" s="97"/>
    </row>
    <row r="925" spans="1:7" ht="14.25" customHeight="1">
      <c r="A925" s="97"/>
      <c r="B925" s="97"/>
      <c r="C925" s="96"/>
      <c r="D925" s="97"/>
      <c r="E925" s="97"/>
      <c r="F925" s="97"/>
      <c r="G925" s="97"/>
    </row>
    <row r="926" spans="1:7" ht="14.25" customHeight="1">
      <c r="A926" s="97"/>
      <c r="B926" s="97"/>
      <c r="C926" s="96"/>
      <c r="D926" s="97"/>
      <c r="E926" s="97"/>
      <c r="F926" s="97"/>
      <c r="G926" s="97"/>
    </row>
    <row r="927" spans="1:7" ht="14.25" customHeight="1">
      <c r="A927" s="97"/>
      <c r="B927" s="97"/>
      <c r="C927" s="96"/>
      <c r="D927" s="97"/>
      <c r="E927" s="97"/>
      <c r="F927" s="97"/>
      <c r="G927" s="97"/>
    </row>
    <row r="928" spans="1:7" ht="14.25" customHeight="1">
      <c r="A928" s="97"/>
      <c r="B928" s="97"/>
      <c r="C928" s="96"/>
      <c r="D928" s="97"/>
      <c r="E928" s="97"/>
      <c r="F928" s="97"/>
      <c r="G928" s="97"/>
    </row>
    <row r="929" spans="1:7" ht="14.25" customHeight="1">
      <c r="A929" s="97"/>
      <c r="B929" s="97"/>
      <c r="C929" s="96"/>
      <c r="D929" s="97"/>
      <c r="E929" s="97"/>
      <c r="F929" s="97"/>
      <c r="G929" s="97"/>
    </row>
    <row r="930" spans="1:7" ht="14.25" customHeight="1">
      <c r="A930" s="97"/>
      <c r="B930" s="97"/>
      <c r="C930" s="96"/>
      <c r="D930" s="97"/>
      <c r="E930" s="97"/>
      <c r="F930" s="97"/>
      <c r="G930" s="97"/>
    </row>
    <row r="931" spans="1:7" ht="14.25" customHeight="1">
      <c r="A931" s="97"/>
      <c r="B931" s="97"/>
      <c r="C931" s="96"/>
      <c r="D931" s="97"/>
      <c r="E931" s="97"/>
      <c r="F931" s="97"/>
      <c r="G931" s="97"/>
    </row>
    <row r="932" spans="1:7" ht="14.25" customHeight="1">
      <c r="A932" s="97"/>
      <c r="B932" s="97"/>
      <c r="C932" s="96"/>
      <c r="D932" s="97"/>
      <c r="E932" s="97"/>
      <c r="F932" s="97"/>
      <c r="G932" s="97"/>
    </row>
    <row r="933" spans="1:7" ht="14.25" customHeight="1">
      <c r="A933" s="97"/>
      <c r="B933" s="97"/>
      <c r="C933" s="96"/>
      <c r="D933" s="97"/>
      <c r="E933" s="97"/>
      <c r="F933" s="97"/>
      <c r="G933" s="97"/>
    </row>
    <row r="934" spans="1:7" ht="14.25" customHeight="1">
      <c r="A934" s="97"/>
      <c r="B934" s="97"/>
      <c r="C934" s="96"/>
      <c r="D934" s="97"/>
      <c r="E934" s="97"/>
      <c r="F934" s="97"/>
      <c r="G934" s="97"/>
    </row>
    <row r="935" spans="1:7" ht="14.25" customHeight="1">
      <c r="A935" s="97"/>
      <c r="B935" s="97"/>
      <c r="C935" s="96"/>
      <c r="D935" s="97"/>
      <c r="E935" s="97"/>
      <c r="F935" s="97"/>
      <c r="G935" s="97"/>
    </row>
    <row r="936" spans="1:7" ht="14.25" customHeight="1">
      <c r="A936" s="97"/>
      <c r="B936" s="97"/>
      <c r="C936" s="96"/>
      <c r="D936" s="97"/>
      <c r="E936" s="97"/>
      <c r="F936" s="97"/>
      <c r="G936" s="97"/>
    </row>
    <row r="937" spans="1:7" ht="14.25" customHeight="1">
      <c r="A937" s="97"/>
      <c r="B937" s="97"/>
      <c r="C937" s="96"/>
      <c r="D937" s="97"/>
      <c r="E937" s="97"/>
      <c r="F937" s="97"/>
      <c r="G937" s="97"/>
    </row>
    <row r="938" spans="1:7" ht="14.25" customHeight="1">
      <c r="A938" s="97"/>
      <c r="B938" s="97"/>
      <c r="C938" s="96"/>
      <c r="D938" s="97"/>
      <c r="E938" s="97"/>
      <c r="F938" s="97"/>
      <c r="G938" s="97"/>
    </row>
    <row r="939" spans="1:7" ht="14.25" customHeight="1">
      <c r="A939" s="97"/>
      <c r="B939" s="97"/>
      <c r="C939" s="96"/>
      <c r="D939" s="97"/>
      <c r="E939" s="97"/>
      <c r="F939" s="97"/>
      <c r="G939" s="97"/>
    </row>
    <row r="940" spans="1:7" ht="14.25" customHeight="1">
      <c r="A940" s="97"/>
      <c r="B940" s="97"/>
      <c r="C940" s="96"/>
      <c r="D940" s="97"/>
      <c r="E940" s="97"/>
      <c r="F940" s="97"/>
      <c r="G940" s="97"/>
    </row>
    <row r="941" spans="1:7" ht="14.25" customHeight="1">
      <c r="A941" s="97"/>
      <c r="B941" s="97"/>
      <c r="C941" s="96"/>
      <c r="D941" s="97"/>
      <c r="E941" s="97"/>
      <c r="F941" s="97"/>
      <c r="G941" s="97"/>
    </row>
    <row r="942" spans="1:7" ht="14.25" customHeight="1">
      <c r="A942" s="97"/>
      <c r="B942" s="97"/>
      <c r="C942" s="96"/>
      <c r="D942" s="97"/>
      <c r="E942" s="97"/>
      <c r="F942" s="97"/>
      <c r="G942" s="97"/>
    </row>
    <row r="943" spans="1:7" ht="14.25" customHeight="1">
      <c r="A943" s="97"/>
      <c r="B943" s="97"/>
      <c r="C943" s="96"/>
      <c r="D943" s="97"/>
      <c r="E943" s="97"/>
      <c r="F943" s="97"/>
      <c r="G943" s="97"/>
    </row>
    <row r="944" spans="1:7" ht="14.25" customHeight="1">
      <c r="A944" s="97"/>
      <c r="B944" s="97"/>
      <c r="C944" s="96"/>
      <c r="D944" s="97"/>
      <c r="E944" s="97"/>
      <c r="F944" s="97"/>
      <c r="G944" s="97"/>
    </row>
    <row r="945" spans="1:7" ht="14.25" customHeight="1">
      <c r="A945" s="97"/>
      <c r="B945" s="97"/>
      <c r="C945" s="96"/>
      <c r="D945" s="97"/>
      <c r="E945" s="97"/>
      <c r="F945" s="97"/>
      <c r="G945" s="97"/>
    </row>
    <row r="946" spans="1:7" ht="14.25" customHeight="1">
      <c r="A946" s="97"/>
      <c r="B946" s="97"/>
      <c r="C946" s="96"/>
      <c r="D946" s="97"/>
      <c r="E946" s="97"/>
      <c r="F946" s="97"/>
      <c r="G946" s="97"/>
    </row>
    <row r="947" spans="1:7" ht="14.25" customHeight="1">
      <c r="A947" s="97"/>
      <c r="B947" s="97"/>
      <c r="C947" s="96"/>
      <c r="D947" s="97"/>
      <c r="E947" s="97"/>
      <c r="F947" s="97"/>
      <c r="G947" s="97"/>
    </row>
    <row r="948" spans="1:7" ht="14.25" customHeight="1">
      <c r="A948" s="97"/>
      <c r="B948" s="97"/>
      <c r="C948" s="96"/>
      <c r="D948" s="97"/>
      <c r="E948" s="97"/>
      <c r="F948" s="97"/>
      <c r="G948" s="97"/>
    </row>
    <row r="949" spans="1:7" ht="14.25" customHeight="1">
      <c r="A949" s="97"/>
      <c r="B949" s="97"/>
      <c r="C949" s="96"/>
      <c r="D949" s="97"/>
      <c r="E949" s="97"/>
      <c r="F949" s="97"/>
      <c r="G949" s="97"/>
    </row>
    <row r="950" spans="1:7" ht="14.25" customHeight="1">
      <c r="A950" s="97"/>
      <c r="B950" s="97"/>
      <c r="C950" s="96"/>
      <c r="D950" s="97"/>
      <c r="E950" s="97"/>
      <c r="F950" s="97"/>
      <c r="G950" s="97"/>
    </row>
    <row r="951" spans="1:7" ht="14.25" customHeight="1">
      <c r="A951" s="97"/>
      <c r="B951" s="97"/>
      <c r="C951" s="96"/>
      <c r="D951" s="97"/>
      <c r="E951" s="97"/>
      <c r="F951" s="97"/>
      <c r="G951" s="97"/>
    </row>
    <row r="952" spans="1:7" ht="14.25" customHeight="1">
      <c r="A952" s="97"/>
      <c r="B952" s="97"/>
      <c r="C952" s="96"/>
      <c r="D952" s="97"/>
      <c r="E952" s="97"/>
      <c r="F952" s="97"/>
      <c r="G952" s="97"/>
    </row>
    <row r="953" spans="1:7" ht="14.25" customHeight="1">
      <c r="A953" s="97"/>
      <c r="B953" s="97"/>
      <c r="C953" s="96"/>
      <c r="D953" s="97"/>
      <c r="E953" s="97"/>
      <c r="F953" s="97"/>
      <c r="G953" s="97"/>
    </row>
    <row r="954" spans="1:7" ht="14.25" customHeight="1">
      <c r="A954" s="97"/>
      <c r="B954" s="97"/>
      <c r="C954" s="96"/>
      <c r="D954" s="97"/>
      <c r="E954" s="97"/>
      <c r="F954" s="97"/>
      <c r="G954" s="97"/>
    </row>
    <row r="955" spans="1:7" ht="14.25" customHeight="1">
      <c r="A955" s="97"/>
      <c r="B955" s="97"/>
      <c r="C955" s="96"/>
      <c r="D955" s="97"/>
      <c r="E955" s="97"/>
      <c r="F955" s="97"/>
      <c r="G955" s="97"/>
    </row>
    <row r="956" spans="1:7" ht="14.25" customHeight="1">
      <c r="A956" s="97"/>
      <c r="B956" s="97"/>
      <c r="C956" s="96"/>
      <c r="D956" s="97"/>
      <c r="E956" s="97"/>
      <c r="F956" s="97"/>
      <c r="G956" s="97"/>
    </row>
    <row r="957" spans="1:7" ht="14.25" customHeight="1">
      <c r="A957" s="97"/>
      <c r="B957" s="97"/>
      <c r="C957" s="96"/>
      <c r="D957" s="97"/>
      <c r="E957" s="97"/>
      <c r="F957" s="97"/>
      <c r="G957" s="97"/>
    </row>
    <row r="958" spans="1:7" ht="14.25" customHeight="1">
      <c r="A958" s="97"/>
      <c r="B958" s="97"/>
      <c r="C958" s="96"/>
      <c r="D958" s="97"/>
      <c r="E958" s="97"/>
      <c r="F958" s="97"/>
      <c r="G958" s="97"/>
    </row>
    <row r="959" spans="1:7" ht="14.25" customHeight="1">
      <c r="A959" s="97"/>
      <c r="B959" s="97"/>
      <c r="C959" s="96"/>
      <c r="D959" s="97"/>
      <c r="E959" s="97"/>
      <c r="F959" s="97"/>
      <c r="G959" s="97"/>
    </row>
    <row r="960" spans="1:7" ht="14.25" customHeight="1">
      <c r="A960" s="97"/>
      <c r="B960" s="97"/>
      <c r="C960" s="96"/>
      <c r="D960" s="97"/>
      <c r="E960" s="97"/>
      <c r="F960" s="97"/>
      <c r="G960" s="97"/>
    </row>
    <row r="961" spans="1:7" ht="14.25" customHeight="1">
      <c r="A961" s="97"/>
      <c r="B961" s="97"/>
      <c r="C961" s="96"/>
      <c r="D961" s="97"/>
      <c r="E961" s="97"/>
      <c r="F961" s="97"/>
      <c r="G961" s="97"/>
    </row>
    <row r="962" spans="1:7" ht="14.25" customHeight="1">
      <c r="A962" s="97"/>
      <c r="B962" s="97"/>
      <c r="C962" s="96"/>
      <c r="D962" s="97"/>
      <c r="E962" s="97"/>
      <c r="F962" s="97"/>
      <c r="G962" s="97"/>
    </row>
    <row r="963" spans="1:7" ht="14.25" customHeight="1">
      <c r="A963" s="97"/>
      <c r="B963" s="97"/>
      <c r="C963" s="96"/>
      <c r="D963" s="97"/>
      <c r="E963" s="97"/>
      <c r="F963" s="97"/>
      <c r="G963" s="97"/>
    </row>
    <row r="964" spans="1:7" ht="14.25" customHeight="1">
      <c r="A964" s="97"/>
      <c r="B964" s="97"/>
      <c r="C964" s="96"/>
      <c r="D964" s="97"/>
      <c r="E964" s="97"/>
      <c r="F964" s="97"/>
      <c r="G964" s="97"/>
    </row>
    <row r="965" spans="1:7" ht="14.25" customHeight="1">
      <c r="A965" s="97"/>
      <c r="B965" s="97"/>
      <c r="C965" s="96"/>
      <c r="D965" s="97"/>
      <c r="E965" s="97"/>
      <c r="F965" s="97"/>
      <c r="G965" s="97"/>
    </row>
    <row r="966" spans="1:7" ht="14.25" customHeight="1">
      <c r="A966" s="97"/>
      <c r="B966" s="97"/>
      <c r="C966" s="96"/>
      <c r="D966" s="97"/>
      <c r="E966" s="97"/>
      <c r="F966" s="97"/>
      <c r="G966" s="97"/>
    </row>
    <row r="967" spans="1:7" ht="14.25" customHeight="1">
      <c r="A967" s="97"/>
      <c r="B967" s="97"/>
      <c r="C967" s="96"/>
      <c r="D967" s="97"/>
      <c r="E967" s="97"/>
      <c r="F967" s="97"/>
      <c r="G967" s="97"/>
    </row>
    <row r="968" spans="1:7" ht="14.25" customHeight="1">
      <c r="A968" s="97"/>
      <c r="B968" s="97"/>
      <c r="C968" s="96"/>
      <c r="D968" s="97"/>
      <c r="E968" s="97"/>
      <c r="F968" s="97"/>
      <c r="G968" s="97"/>
    </row>
    <row r="969" spans="1:7" ht="14.25" customHeight="1">
      <c r="A969" s="97"/>
      <c r="B969" s="97"/>
      <c r="C969" s="96"/>
      <c r="D969" s="97"/>
      <c r="E969" s="97"/>
      <c r="F969" s="97"/>
      <c r="G969" s="97"/>
    </row>
    <row r="970" spans="1:7" ht="14.25" customHeight="1">
      <c r="A970" s="97"/>
      <c r="B970" s="97"/>
      <c r="C970" s="96"/>
      <c r="D970" s="97"/>
      <c r="E970" s="97"/>
      <c r="F970" s="97"/>
      <c r="G970" s="97"/>
    </row>
    <row r="971" spans="1:7" ht="14.25" customHeight="1">
      <c r="A971" s="97"/>
      <c r="B971" s="97"/>
      <c r="C971" s="96"/>
      <c r="D971" s="97"/>
      <c r="E971" s="97"/>
      <c r="F971" s="97"/>
      <c r="G971" s="97"/>
    </row>
    <row r="972" spans="1:7" ht="14.25" customHeight="1">
      <c r="A972" s="97"/>
      <c r="B972" s="97"/>
      <c r="C972" s="96"/>
      <c r="D972" s="97"/>
      <c r="E972" s="97"/>
      <c r="F972" s="97"/>
      <c r="G972" s="97"/>
    </row>
    <row r="973" spans="1:7" ht="14.25" customHeight="1">
      <c r="A973" s="97"/>
      <c r="B973" s="97"/>
      <c r="C973" s="96"/>
      <c r="D973" s="97"/>
      <c r="E973" s="97"/>
      <c r="F973" s="97"/>
      <c r="G973" s="97"/>
    </row>
    <row r="974" spans="1:7" ht="14.25" customHeight="1">
      <c r="A974" s="97"/>
      <c r="B974" s="97"/>
      <c r="C974" s="96"/>
      <c r="D974" s="97"/>
      <c r="E974" s="97"/>
      <c r="F974" s="97"/>
      <c r="G974" s="97"/>
    </row>
    <row r="975" spans="1:7" ht="14.25" customHeight="1">
      <c r="A975" s="97"/>
      <c r="B975" s="97"/>
      <c r="C975" s="96"/>
      <c r="D975" s="97"/>
      <c r="E975" s="97"/>
      <c r="F975" s="97"/>
      <c r="G975" s="97"/>
    </row>
    <row r="976" spans="1:7" ht="14.25" customHeight="1">
      <c r="A976" s="97"/>
      <c r="B976" s="97"/>
      <c r="C976" s="96"/>
      <c r="D976" s="97"/>
      <c r="E976" s="97"/>
      <c r="F976" s="97"/>
      <c r="G976" s="97"/>
    </row>
    <row r="977" spans="1:7" ht="14.25" customHeight="1">
      <c r="A977" s="97"/>
      <c r="B977" s="97"/>
      <c r="C977" s="96"/>
      <c r="D977" s="97"/>
      <c r="E977" s="97"/>
      <c r="F977" s="97"/>
      <c r="G977" s="97"/>
    </row>
    <row r="978" spans="1:7" ht="14.25" customHeight="1">
      <c r="A978" s="97"/>
      <c r="B978" s="97"/>
      <c r="C978" s="96"/>
      <c r="D978" s="97"/>
      <c r="E978" s="97"/>
      <c r="F978" s="97"/>
      <c r="G978" s="97"/>
    </row>
    <row r="979" spans="1:7" ht="14.25" customHeight="1">
      <c r="A979" s="97"/>
      <c r="B979" s="97"/>
      <c r="C979" s="96"/>
      <c r="D979" s="97"/>
      <c r="E979" s="97"/>
      <c r="F979" s="97"/>
      <c r="G979" s="97"/>
    </row>
    <row r="980" spans="1:7" ht="14.25" customHeight="1">
      <c r="A980" s="97"/>
      <c r="B980" s="97"/>
      <c r="C980" s="96"/>
      <c r="D980" s="97"/>
      <c r="E980" s="97"/>
      <c r="F980" s="97"/>
      <c r="G980" s="97"/>
    </row>
    <row r="981" spans="1:7" ht="14.25" customHeight="1">
      <c r="A981" s="97"/>
      <c r="B981" s="97"/>
      <c r="C981" s="96"/>
      <c r="D981" s="97"/>
      <c r="E981" s="97"/>
      <c r="F981" s="97"/>
      <c r="G981" s="97"/>
    </row>
    <row r="982" spans="1:7" ht="14.25" customHeight="1">
      <c r="A982" s="97"/>
      <c r="B982" s="97"/>
      <c r="C982" s="96"/>
      <c r="D982" s="97"/>
      <c r="E982" s="97"/>
      <c r="F982" s="97"/>
      <c r="G982" s="97"/>
    </row>
    <row r="983" spans="1:7" ht="14.25" customHeight="1">
      <c r="A983" s="97"/>
      <c r="B983" s="97"/>
      <c r="C983" s="96"/>
      <c r="D983" s="97"/>
      <c r="E983" s="97"/>
      <c r="F983" s="97"/>
      <c r="G983" s="97"/>
    </row>
    <row r="984" spans="1:7" ht="14.25" customHeight="1">
      <c r="A984" s="97"/>
      <c r="B984" s="97"/>
      <c r="C984" s="96"/>
      <c r="D984" s="97"/>
      <c r="E984" s="97"/>
      <c r="F984" s="97"/>
      <c r="G984" s="97"/>
    </row>
    <row r="985" spans="1:7" ht="14.25" customHeight="1">
      <c r="A985" s="97"/>
      <c r="B985" s="97"/>
      <c r="C985" s="96"/>
      <c r="D985" s="97"/>
      <c r="E985" s="97"/>
      <c r="F985" s="97"/>
      <c r="G985" s="97"/>
    </row>
    <row r="986" spans="1:7" ht="14.25" customHeight="1">
      <c r="A986" s="97"/>
      <c r="B986" s="97"/>
      <c r="C986" s="96"/>
      <c r="D986" s="97"/>
      <c r="E986" s="97"/>
      <c r="F986" s="97"/>
      <c r="G986" s="97"/>
    </row>
    <row r="987" spans="1:7" ht="14.25" customHeight="1">
      <c r="A987" s="97"/>
      <c r="B987" s="97"/>
      <c r="C987" s="96"/>
      <c r="D987" s="97"/>
      <c r="E987" s="97"/>
      <c r="F987" s="97"/>
      <c r="G987" s="97"/>
    </row>
    <row r="988" spans="1:7" ht="14.25" customHeight="1">
      <c r="A988" s="97"/>
      <c r="B988" s="97"/>
      <c r="C988" s="96"/>
      <c r="D988" s="97"/>
      <c r="E988" s="97"/>
      <c r="F988" s="97"/>
      <c r="G988" s="97"/>
    </row>
    <row r="989" spans="1:7" ht="14.25" customHeight="1">
      <c r="A989" s="97"/>
      <c r="B989" s="97"/>
      <c r="C989" s="96"/>
      <c r="D989" s="97"/>
      <c r="E989" s="97"/>
      <c r="F989" s="97"/>
      <c r="G989" s="97"/>
    </row>
    <row r="990" spans="1:7" ht="14.25" customHeight="1">
      <c r="A990" s="97"/>
      <c r="B990" s="97"/>
      <c r="C990" s="96"/>
      <c r="D990" s="97"/>
      <c r="E990" s="97"/>
      <c r="F990" s="97"/>
      <c r="G990" s="97"/>
    </row>
    <row r="991" spans="1:7" ht="14.25" customHeight="1">
      <c r="A991" s="97"/>
      <c r="B991" s="97"/>
      <c r="C991" s="96"/>
      <c r="D991" s="97"/>
      <c r="E991" s="97"/>
      <c r="F991" s="97"/>
      <c r="G991" s="97"/>
    </row>
    <row r="992" spans="1:7" ht="14.25" customHeight="1">
      <c r="A992" s="97"/>
      <c r="B992" s="97"/>
      <c r="C992" s="96"/>
      <c r="D992" s="97"/>
      <c r="E992" s="97"/>
      <c r="F992" s="97"/>
      <c r="G992" s="97"/>
    </row>
    <row r="993" spans="1:7" ht="14.25" customHeight="1">
      <c r="A993" s="97"/>
      <c r="B993" s="97"/>
      <c r="C993" s="96"/>
      <c r="D993" s="97"/>
      <c r="E993" s="97"/>
      <c r="F993" s="97"/>
      <c r="G993" s="97"/>
    </row>
    <row r="994" spans="1:7" ht="14.25" customHeight="1">
      <c r="A994" s="97"/>
      <c r="B994" s="97"/>
      <c r="C994" s="96"/>
      <c r="D994" s="97"/>
      <c r="E994" s="97"/>
      <c r="F994" s="97"/>
      <c r="G994" s="97"/>
    </row>
    <row r="995" spans="1:7" ht="14.25" customHeight="1">
      <c r="A995" s="97"/>
      <c r="B995" s="97"/>
      <c r="C995" s="96"/>
      <c r="D995" s="97"/>
      <c r="E995" s="97"/>
      <c r="F995" s="97"/>
      <c r="G995" s="97"/>
    </row>
    <row r="996" spans="1:7" ht="14.25" customHeight="1">
      <c r="A996" s="97"/>
      <c r="B996" s="97"/>
      <c r="C996" s="96"/>
      <c r="D996" s="97"/>
      <c r="E996" s="97"/>
      <c r="F996" s="97"/>
      <c r="G996" s="97"/>
    </row>
    <row r="997" spans="1:7" ht="14.25" customHeight="1">
      <c r="A997" s="97"/>
      <c r="B997" s="97"/>
      <c r="C997" s="96"/>
      <c r="D997" s="97"/>
      <c r="E997" s="97"/>
      <c r="F997" s="97"/>
      <c r="G997" s="97"/>
    </row>
    <row r="998" spans="1:7" ht="14.25" customHeight="1">
      <c r="A998" s="97"/>
      <c r="B998" s="97"/>
      <c r="C998" s="96"/>
      <c r="D998" s="97"/>
      <c r="E998" s="97"/>
      <c r="F998" s="97"/>
      <c r="G998" s="97"/>
    </row>
    <row r="999" spans="1:7" ht="14.25" customHeight="1">
      <c r="A999" s="97"/>
      <c r="B999" s="97"/>
      <c r="C999" s="96"/>
      <c r="D999" s="97"/>
      <c r="E999" s="97"/>
      <c r="F999" s="97"/>
      <c r="G999" s="97"/>
    </row>
    <row r="1000" spans="1:7" ht="14.25" customHeight="1">
      <c r="A1000" s="97"/>
      <c r="B1000" s="97"/>
      <c r="C1000" s="96"/>
      <c r="D1000" s="97"/>
      <c r="E1000" s="97"/>
      <c r="F1000" s="97"/>
      <c r="G1000" s="97"/>
    </row>
  </sheetData>
  <mergeCells count="5">
    <mergeCell ref="C1:G1"/>
    <mergeCell ref="H1:L1"/>
    <mergeCell ref="M1:Q1"/>
    <mergeCell ref="R1:V1"/>
    <mergeCell ref="W1:AA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00"/>
  <sheetViews>
    <sheetView workbookViewId="0">
      <selection activeCell="X120" sqref="X120"/>
    </sheetView>
  </sheetViews>
  <sheetFormatPr defaultColWidth="14.44140625" defaultRowHeight="15" customHeight="1"/>
  <cols>
    <col min="1" max="1" width="20" customWidth="1"/>
    <col min="2" max="4" width="22.5546875" customWidth="1"/>
    <col min="5" max="5" width="20.6640625" customWidth="1"/>
    <col min="6" max="7" width="19.88671875" customWidth="1"/>
    <col min="8" max="8" width="12" customWidth="1"/>
    <col min="9" max="9" width="14.6640625" customWidth="1"/>
    <col min="10" max="28" width="8.6640625" customWidth="1"/>
  </cols>
  <sheetData>
    <row r="1" spans="1:28" ht="14.25" customHeight="1">
      <c r="A1" s="97"/>
      <c r="B1" s="97"/>
      <c r="C1" s="118"/>
      <c r="D1" s="151" t="s">
        <v>24</v>
      </c>
      <c r="E1" s="152"/>
      <c r="F1" s="152"/>
      <c r="G1" s="152"/>
      <c r="H1" s="153"/>
      <c r="I1" s="154" t="s">
        <v>25</v>
      </c>
      <c r="J1" s="155"/>
      <c r="K1" s="155"/>
      <c r="L1" s="155"/>
      <c r="M1" s="156"/>
      <c r="N1" s="157" t="s">
        <v>26</v>
      </c>
      <c r="O1" s="155"/>
      <c r="P1" s="155"/>
      <c r="Q1" s="155"/>
      <c r="R1" s="156"/>
      <c r="S1" s="158" t="s">
        <v>27</v>
      </c>
      <c r="T1" s="155"/>
      <c r="U1" s="155"/>
      <c r="V1" s="155"/>
      <c r="W1" s="156"/>
      <c r="X1" s="159" t="s">
        <v>28</v>
      </c>
      <c r="Y1" s="155"/>
      <c r="Z1" s="155"/>
      <c r="AA1" s="155"/>
      <c r="AB1" s="156"/>
    </row>
    <row r="2" spans="1:28" ht="14.25" customHeight="1">
      <c r="A2" s="98" t="s">
        <v>29</v>
      </c>
      <c r="B2" s="98" t="s">
        <v>13</v>
      </c>
      <c r="C2" s="99"/>
      <c r="D2" s="99" t="s">
        <v>30</v>
      </c>
      <c r="E2" s="99" t="s">
        <v>31</v>
      </c>
      <c r="F2" s="99" t="s">
        <v>32</v>
      </c>
      <c r="G2" s="99" t="s">
        <v>33</v>
      </c>
      <c r="H2" s="44" t="s">
        <v>34</v>
      </c>
      <c r="I2" s="100" t="s">
        <v>35</v>
      </c>
      <c r="J2" s="100" t="s">
        <v>36</v>
      </c>
      <c r="K2" s="100" t="s">
        <v>37</v>
      </c>
      <c r="L2" s="100" t="s">
        <v>38</v>
      </c>
      <c r="M2" s="100" t="s">
        <v>34</v>
      </c>
      <c r="N2" s="101" t="s">
        <v>35</v>
      </c>
      <c r="O2" s="101" t="s">
        <v>39</v>
      </c>
      <c r="P2" s="101" t="s">
        <v>40</v>
      </c>
      <c r="Q2" s="101" t="s">
        <v>38</v>
      </c>
      <c r="R2" s="101" t="s">
        <v>34</v>
      </c>
      <c r="S2" s="102" t="s">
        <v>35</v>
      </c>
      <c r="T2" s="102" t="s">
        <v>41</v>
      </c>
      <c r="U2" s="102" t="s">
        <v>37</v>
      </c>
      <c r="V2" s="102" t="s">
        <v>38</v>
      </c>
      <c r="W2" s="102" t="s">
        <v>34</v>
      </c>
      <c r="X2" s="103" t="s">
        <v>42</v>
      </c>
      <c r="Y2" s="103" t="s">
        <v>39</v>
      </c>
      <c r="Z2" s="103" t="s">
        <v>40</v>
      </c>
      <c r="AA2" s="103" t="s">
        <v>38</v>
      </c>
      <c r="AB2" s="103" t="s">
        <v>34</v>
      </c>
    </row>
    <row r="3" spans="1:28" ht="14.25" customHeight="1">
      <c r="A3" s="97"/>
      <c r="B3" s="97"/>
      <c r="C3" s="44"/>
      <c r="D3" s="44">
        <v>0</v>
      </c>
      <c r="E3" s="44">
        <v>0</v>
      </c>
      <c r="F3" s="44">
        <v>0</v>
      </c>
      <c r="G3" s="44">
        <f t="shared" ref="G3:G117" si="0">E3-F3</f>
        <v>0</v>
      </c>
      <c r="H3" s="44">
        <f t="shared" ref="H3:H117" si="1">G3*D3</f>
        <v>0</v>
      </c>
      <c r="I3" s="91">
        <v>0</v>
      </c>
      <c r="J3" s="91">
        <v>0</v>
      </c>
      <c r="K3" s="91">
        <v>0</v>
      </c>
      <c r="L3" s="91">
        <f t="shared" ref="L3:L117" si="2">J3-K3</f>
        <v>0</v>
      </c>
      <c r="M3" s="91">
        <f t="shared" ref="M3:M117" si="3">L3*I3</f>
        <v>0</v>
      </c>
      <c r="N3" s="92">
        <v>800</v>
      </c>
      <c r="O3" s="92">
        <v>750</v>
      </c>
      <c r="P3" s="92">
        <v>60</v>
      </c>
      <c r="Q3" s="92">
        <f t="shared" ref="Q3:Q117" si="4">O3-P3</f>
        <v>690</v>
      </c>
      <c r="R3" s="92">
        <f t="shared" ref="R3:R117" si="5">Q3*N3</f>
        <v>552000</v>
      </c>
      <c r="S3" s="93">
        <v>0</v>
      </c>
      <c r="T3" s="93">
        <v>0</v>
      </c>
      <c r="U3" s="93">
        <v>0</v>
      </c>
      <c r="V3" s="93">
        <f t="shared" ref="V3:V117" si="6">T3-U3</f>
        <v>0</v>
      </c>
      <c r="W3" s="93">
        <f t="shared" ref="W3:W117" si="7">V3*S3</f>
        <v>0</v>
      </c>
      <c r="X3" s="94">
        <v>0</v>
      </c>
      <c r="Y3" s="94">
        <v>0</v>
      </c>
      <c r="Z3" s="94">
        <v>0</v>
      </c>
      <c r="AA3" s="94">
        <f t="shared" ref="AA3:AA117" si="8">Y3-Z3</f>
        <v>0</v>
      </c>
      <c r="AB3" s="94">
        <f t="shared" ref="AB3:AB117" si="9">AA3*X3</f>
        <v>0</v>
      </c>
    </row>
    <row r="4" spans="1:28" ht="14.25" customHeight="1">
      <c r="A4" s="97"/>
      <c r="B4" s="97"/>
      <c r="C4" s="44"/>
      <c r="D4" s="44">
        <v>0</v>
      </c>
      <c r="E4" s="44">
        <v>0</v>
      </c>
      <c r="F4" s="44">
        <v>0</v>
      </c>
      <c r="G4" s="44">
        <f t="shared" si="0"/>
        <v>0</v>
      </c>
      <c r="H4" s="44">
        <f t="shared" si="1"/>
        <v>0</v>
      </c>
      <c r="I4" s="91">
        <v>0</v>
      </c>
      <c r="J4" s="91">
        <v>0</v>
      </c>
      <c r="K4" s="91">
        <v>0</v>
      </c>
      <c r="L4" s="91">
        <f t="shared" si="2"/>
        <v>0</v>
      </c>
      <c r="M4" s="91">
        <f t="shared" si="3"/>
        <v>0</v>
      </c>
      <c r="N4" s="92">
        <v>0</v>
      </c>
      <c r="O4" s="92">
        <v>0</v>
      </c>
      <c r="P4" s="92">
        <v>0</v>
      </c>
      <c r="Q4" s="92">
        <f t="shared" si="4"/>
        <v>0</v>
      </c>
      <c r="R4" s="92">
        <f t="shared" si="5"/>
        <v>0</v>
      </c>
      <c r="S4" s="93">
        <v>0</v>
      </c>
      <c r="T4" s="93">
        <v>0</v>
      </c>
      <c r="U4" s="93">
        <v>0</v>
      </c>
      <c r="V4" s="93">
        <f t="shared" si="6"/>
        <v>0</v>
      </c>
      <c r="W4" s="93">
        <f t="shared" si="7"/>
        <v>0</v>
      </c>
      <c r="X4" s="94">
        <v>0</v>
      </c>
      <c r="Y4" s="94">
        <v>0</v>
      </c>
      <c r="Z4" s="94">
        <v>0</v>
      </c>
      <c r="AA4" s="94">
        <f t="shared" si="8"/>
        <v>0</v>
      </c>
      <c r="AB4" s="94">
        <f t="shared" si="9"/>
        <v>0</v>
      </c>
    </row>
    <row r="5" spans="1:28" ht="14.25" customHeight="1">
      <c r="A5" s="97"/>
      <c r="B5" s="97"/>
      <c r="C5" s="44"/>
      <c r="D5" s="44">
        <v>0</v>
      </c>
      <c r="E5" s="44">
        <v>0</v>
      </c>
      <c r="F5" s="44">
        <v>0</v>
      </c>
      <c r="G5" s="44">
        <f t="shared" si="0"/>
        <v>0</v>
      </c>
      <c r="H5" s="44">
        <f t="shared" si="1"/>
        <v>0</v>
      </c>
      <c r="I5" s="91">
        <v>0</v>
      </c>
      <c r="J5" s="91">
        <v>0</v>
      </c>
      <c r="K5" s="91">
        <v>0</v>
      </c>
      <c r="L5" s="91">
        <f t="shared" si="2"/>
        <v>0</v>
      </c>
      <c r="M5" s="91">
        <f t="shared" si="3"/>
        <v>0</v>
      </c>
      <c r="N5" s="92">
        <v>0</v>
      </c>
      <c r="O5" s="92">
        <v>0</v>
      </c>
      <c r="P5" s="92">
        <v>0</v>
      </c>
      <c r="Q5" s="92">
        <f t="shared" si="4"/>
        <v>0</v>
      </c>
      <c r="R5" s="92">
        <f t="shared" si="5"/>
        <v>0</v>
      </c>
      <c r="S5" s="93">
        <v>0</v>
      </c>
      <c r="T5" s="93">
        <v>0</v>
      </c>
      <c r="U5" s="93">
        <v>0</v>
      </c>
      <c r="V5" s="93">
        <f t="shared" si="6"/>
        <v>0</v>
      </c>
      <c r="W5" s="93">
        <f t="shared" si="7"/>
        <v>0</v>
      </c>
      <c r="X5" s="94">
        <v>0</v>
      </c>
      <c r="Y5" s="94">
        <v>0</v>
      </c>
      <c r="Z5" s="94">
        <v>0</v>
      </c>
      <c r="AA5" s="94">
        <f t="shared" si="8"/>
        <v>0</v>
      </c>
      <c r="AB5" s="94">
        <f t="shared" si="9"/>
        <v>0</v>
      </c>
    </row>
    <row r="6" spans="1:28" ht="14.25" customHeight="1">
      <c r="A6" s="97"/>
      <c r="B6" s="97"/>
      <c r="C6" s="44"/>
      <c r="D6" s="44">
        <v>0</v>
      </c>
      <c r="E6" s="44">
        <v>0</v>
      </c>
      <c r="F6" s="44">
        <v>0</v>
      </c>
      <c r="G6" s="44">
        <f t="shared" si="0"/>
        <v>0</v>
      </c>
      <c r="H6" s="44">
        <f t="shared" si="1"/>
        <v>0</v>
      </c>
      <c r="I6" s="91">
        <v>0</v>
      </c>
      <c r="J6" s="91">
        <v>0</v>
      </c>
      <c r="K6" s="91">
        <v>0</v>
      </c>
      <c r="L6" s="91">
        <f t="shared" si="2"/>
        <v>0</v>
      </c>
      <c r="M6" s="91">
        <f t="shared" si="3"/>
        <v>0</v>
      </c>
      <c r="N6" s="92">
        <v>0</v>
      </c>
      <c r="O6" s="92">
        <v>0</v>
      </c>
      <c r="P6" s="92">
        <v>0</v>
      </c>
      <c r="Q6" s="92">
        <f t="shared" si="4"/>
        <v>0</v>
      </c>
      <c r="R6" s="92">
        <f t="shared" si="5"/>
        <v>0</v>
      </c>
      <c r="S6" s="93">
        <v>0</v>
      </c>
      <c r="T6" s="93">
        <v>0</v>
      </c>
      <c r="U6" s="93">
        <v>0</v>
      </c>
      <c r="V6" s="93">
        <f t="shared" si="6"/>
        <v>0</v>
      </c>
      <c r="W6" s="93">
        <f t="shared" si="7"/>
        <v>0</v>
      </c>
      <c r="X6" s="94">
        <v>0</v>
      </c>
      <c r="Y6" s="94">
        <v>0</v>
      </c>
      <c r="Z6" s="94">
        <v>0</v>
      </c>
      <c r="AA6" s="94">
        <f t="shared" si="8"/>
        <v>0</v>
      </c>
      <c r="AB6" s="94">
        <f t="shared" si="9"/>
        <v>0</v>
      </c>
    </row>
    <row r="7" spans="1:28" ht="14.25" customHeight="1">
      <c r="A7" s="97"/>
      <c r="B7" s="97"/>
      <c r="C7" s="44"/>
      <c r="D7" s="44">
        <v>0</v>
      </c>
      <c r="E7" s="44">
        <v>0</v>
      </c>
      <c r="F7" s="44">
        <v>0</v>
      </c>
      <c r="G7" s="44">
        <f t="shared" si="0"/>
        <v>0</v>
      </c>
      <c r="H7" s="44">
        <f t="shared" si="1"/>
        <v>0</v>
      </c>
      <c r="I7" s="91">
        <v>0</v>
      </c>
      <c r="J7" s="91">
        <v>0</v>
      </c>
      <c r="K7" s="91">
        <v>0</v>
      </c>
      <c r="L7" s="91">
        <f t="shared" si="2"/>
        <v>0</v>
      </c>
      <c r="M7" s="91">
        <f t="shared" si="3"/>
        <v>0</v>
      </c>
      <c r="N7" s="92">
        <v>0</v>
      </c>
      <c r="O7" s="92">
        <v>0</v>
      </c>
      <c r="P7" s="92">
        <v>0</v>
      </c>
      <c r="Q7" s="92">
        <f t="shared" si="4"/>
        <v>0</v>
      </c>
      <c r="R7" s="92">
        <f t="shared" si="5"/>
        <v>0</v>
      </c>
      <c r="S7" s="93">
        <v>0</v>
      </c>
      <c r="T7" s="93">
        <v>0</v>
      </c>
      <c r="U7" s="93">
        <v>0</v>
      </c>
      <c r="V7" s="93">
        <f t="shared" si="6"/>
        <v>0</v>
      </c>
      <c r="W7" s="93">
        <f t="shared" si="7"/>
        <v>0</v>
      </c>
      <c r="X7" s="94">
        <v>0</v>
      </c>
      <c r="Y7" s="94">
        <v>0</v>
      </c>
      <c r="Z7" s="94">
        <v>0</v>
      </c>
      <c r="AA7" s="94">
        <f t="shared" si="8"/>
        <v>0</v>
      </c>
      <c r="AB7" s="94">
        <f t="shared" si="9"/>
        <v>0</v>
      </c>
    </row>
    <row r="8" spans="1:28" ht="14.25" customHeight="1">
      <c r="A8" s="97"/>
      <c r="B8" s="97"/>
      <c r="C8" s="44"/>
      <c r="D8" s="44">
        <v>0</v>
      </c>
      <c r="E8" s="44">
        <v>0</v>
      </c>
      <c r="F8" s="44">
        <v>0</v>
      </c>
      <c r="G8" s="44">
        <f t="shared" si="0"/>
        <v>0</v>
      </c>
      <c r="H8" s="44">
        <f t="shared" si="1"/>
        <v>0</v>
      </c>
      <c r="I8" s="91">
        <v>0</v>
      </c>
      <c r="J8" s="91">
        <v>0</v>
      </c>
      <c r="K8" s="91">
        <v>0</v>
      </c>
      <c r="L8" s="91">
        <f t="shared" si="2"/>
        <v>0</v>
      </c>
      <c r="M8" s="91">
        <f t="shared" si="3"/>
        <v>0</v>
      </c>
      <c r="N8" s="92">
        <v>0</v>
      </c>
      <c r="O8" s="92">
        <v>0</v>
      </c>
      <c r="P8" s="92">
        <v>0</v>
      </c>
      <c r="Q8" s="92">
        <f t="shared" si="4"/>
        <v>0</v>
      </c>
      <c r="R8" s="92">
        <f t="shared" si="5"/>
        <v>0</v>
      </c>
      <c r="S8" s="93">
        <v>0</v>
      </c>
      <c r="T8" s="93">
        <v>0</v>
      </c>
      <c r="U8" s="93">
        <v>0</v>
      </c>
      <c r="V8" s="93">
        <f t="shared" si="6"/>
        <v>0</v>
      </c>
      <c r="W8" s="93">
        <f t="shared" si="7"/>
        <v>0</v>
      </c>
      <c r="X8" s="94">
        <v>0</v>
      </c>
      <c r="Y8" s="94">
        <v>0</v>
      </c>
      <c r="Z8" s="94">
        <v>0</v>
      </c>
      <c r="AA8" s="94">
        <f t="shared" si="8"/>
        <v>0</v>
      </c>
      <c r="AB8" s="94">
        <f t="shared" si="9"/>
        <v>0</v>
      </c>
    </row>
    <row r="9" spans="1:28" ht="14.25" customHeight="1">
      <c r="A9" s="97"/>
      <c r="B9" s="97"/>
      <c r="C9" s="44"/>
      <c r="D9" s="44">
        <v>0</v>
      </c>
      <c r="E9" s="44">
        <v>0</v>
      </c>
      <c r="F9" s="44">
        <v>0</v>
      </c>
      <c r="G9" s="44">
        <f t="shared" si="0"/>
        <v>0</v>
      </c>
      <c r="H9" s="44">
        <f t="shared" si="1"/>
        <v>0</v>
      </c>
      <c r="I9" s="91">
        <v>0</v>
      </c>
      <c r="J9" s="91">
        <v>0</v>
      </c>
      <c r="K9" s="91">
        <v>0</v>
      </c>
      <c r="L9" s="91">
        <f t="shared" si="2"/>
        <v>0</v>
      </c>
      <c r="M9" s="91">
        <f t="shared" si="3"/>
        <v>0</v>
      </c>
      <c r="N9" s="92">
        <v>0</v>
      </c>
      <c r="O9" s="92">
        <v>0</v>
      </c>
      <c r="P9" s="92">
        <v>0</v>
      </c>
      <c r="Q9" s="92">
        <f t="shared" si="4"/>
        <v>0</v>
      </c>
      <c r="R9" s="92">
        <f t="shared" si="5"/>
        <v>0</v>
      </c>
      <c r="S9" s="93">
        <v>0</v>
      </c>
      <c r="T9" s="93">
        <v>0</v>
      </c>
      <c r="U9" s="93">
        <v>0</v>
      </c>
      <c r="V9" s="93">
        <f t="shared" si="6"/>
        <v>0</v>
      </c>
      <c r="W9" s="93">
        <f t="shared" si="7"/>
        <v>0</v>
      </c>
      <c r="X9" s="94">
        <v>0</v>
      </c>
      <c r="Y9" s="94">
        <v>0</v>
      </c>
      <c r="Z9" s="94">
        <v>0</v>
      </c>
      <c r="AA9" s="94">
        <f t="shared" si="8"/>
        <v>0</v>
      </c>
      <c r="AB9" s="94">
        <f t="shared" si="9"/>
        <v>0</v>
      </c>
    </row>
    <row r="10" spans="1:28" ht="14.25" customHeight="1">
      <c r="A10" s="97"/>
      <c r="B10" s="97"/>
      <c r="C10" s="44"/>
      <c r="D10" s="44">
        <v>0</v>
      </c>
      <c r="E10" s="44">
        <v>0</v>
      </c>
      <c r="F10" s="44">
        <v>0</v>
      </c>
      <c r="G10" s="44">
        <f t="shared" si="0"/>
        <v>0</v>
      </c>
      <c r="H10" s="44">
        <f t="shared" si="1"/>
        <v>0</v>
      </c>
      <c r="I10" s="91">
        <v>0</v>
      </c>
      <c r="J10" s="91">
        <v>0</v>
      </c>
      <c r="K10" s="91">
        <v>0</v>
      </c>
      <c r="L10" s="91">
        <f t="shared" si="2"/>
        <v>0</v>
      </c>
      <c r="M10" s="91">
        <f t="shared" si="3"/>
        <v>0</v>
      </c>
      <c r="N10" s="92">
        <v>0</v>
      </c>
      <c r="O10" s="92">
        <v>0</v>
      </c>
      <c r="P10" s="92">
        <v>0</v>
      </c>
      <c r="Q10" s="92">
        <f t="shared" si="4"/>
        <v>0</v>
      </c>
      <c r="R10" s="92">
        <f t="shared" si="5"/>
        <v>0</v>
      </c>
      <c r="S10" s="93">
        <v>0</v>
      </c>
      <c r="T10" s="93">
        <v>0</v>
      </c>
      <c r="U10" s="93">
        <v>0</v>
      </c>
      <c r="V10" s="93">
        <f t="shared" si="6"/>
        <v>0</v>
      </c>
      <c r="W10" s="93">
        <f t="shared" si="7"/>
        <v>0</v>
      </c>
      <c r="X10" s="94">
        <v>0</v>
      </c>
      <c r="Y10" s="94">
        <v>0</v>
      </c>
      <c r="Z10" s="94">
        <v>0</v>
      </c>
      <c r="AA10" s="94">
        <f t="shared" si="8"/>
        <v>0</v>
      </c>
      <c r="AB10" s="94">
        <f t="shared" si="9"/>
        <v>0</v>
      </c>
    </row>
    <row r="11" spans="1:28" ht="14.25" customHeight="1">
      <c r="A11" s="97"/>
      <c r="B11" s="97"/>
      <c r="C11" s="44"/>
      <c r="D11" s="44">
        <v>0</v>
      </c>
      <c r="E11" s="44">
        <v>0</v>
      </c>
      <c r="F11" s="44">
        <v>0</v>
      </c>
      <c r="G11" s="44">
        <f t="shared" si="0"/>
        <v>0</v>
      </c>
      <c r="H11" s="44">
        <f t="shared" si="1"/>
        <v>0</v>
      </c>
      <c r="I11" s="91">
        <v>0</v>
      </c>
      <c r="J11" s="91">
        <v>0</v>
      </c>
      <c r="K11" s="91">
        <v>0</v>
      </c>
      <c r="L11" s="91">
        <f t="shared" si="2"/>
        <v>0</v>
      </c>
      <c r="M11" s="91">
        <f t="shared" si="3"/>
        <v>0</v>
      </c>
      <c r="N11" s="92">
        <v>0</v>
      </c>
      <c r="O11" s="92">
        <v>0</v>
      </c>
      <c r="P11" s="92">
        <v>0</v>
      </c>
      <c r="Q11" s="92">
        <f t="shared" si="4"/>
        <v>0</v>
      </c>
      <c r="R11" s="92">
        <f t="shared" si="5"/>
        <v>0</v>
      </c>
      <c r="S11" s="93">
        <v>0</v>
      </c>
      <c r="T11" s="93">
        <v>0</v>
      </c>
      <c r="U11" s="93">
        <v>0</v>
      </c>
      <c r="V11" s="93">
        <f t="shared" si="6"/>
        <v>0</v>
      </c>
      <c r="W11" s="93">
        <f t="shared" si="7"/>
        <v>0</v>
      </c>
      <c r="X11" s="94">
        <v>0</v>
      </c>
      <c r="Y11" s="94">
        <v>0</v>
      </c>
      <c r="Z11" s="94">
        <v>0</v>
      </c>
      <c r="AA11" s="94">
        <f t="shared" si="8"/>
        <v>0</v>
      </c>
      <c r="AB11" s="94">
        <f t="shared" si="9"/>
        <v>0</v>
      </c>
    </row>
    <row r="12" spans="1:28" ht="14.25" customHeight="1">
      <c r="A12" s="97"/>
      <c r="B12" s="97"/>
      <c r="C12" s="44"/>
      <c r="D12" s="44">
        <v>0</v>
      </c>
      <c r="E12" s="44">
        <v>0</v>
      </c>
      <c r="F12" s="44">
        <v>0</v>
      </c>
      <c r="G12" s="44">
        <f t="shared" si="0"/>
        <v>0</v>
      </c>
      <c r="H12" s="44">
        <f t="shared" si="1"/>
        <v>0</v>
      </c>
      <c r="I12" s="91">
        <v>0</v>
      </c>
      <c r="J12" s="91">
        <v>0</v>
      </c>
      <c r="K12" s="91">
        <v>0</v>
      </c>
      <c r="L12" s="91">
        <f t="shared" si="2"/>
        <v>0</v>
      </c>
      <c r="M12" s="91">
        <f t="shared" si="3"/>
        <v>0</v>
      </c>
      <c r="N12" s="92">
        <v>0</v>
      </c>
      <c r="O12" s="92">
        <v>0</v>
      </c>
      <c r="P12" s="92">
        <v>0</v>
      </c>
      <c r="Q12" s="92">
        <f t="shared" si="4"/>
        <v>0</v>
      </c>
      <c r="R12" s="92">
        <f t="shared" si="5"/>
        <v>0</v>
      </c>
      <c r="S12" s="93">
        <v>0</v>
      </c>
      <c r="T12" s="93">
        <v>0</v>
      </c>
      <c r="U12" s="93">
        <v>0</v>
      </c>
      <c r="V12" s="93">
        <f t="shared" si="6"/>
        <v>0</v>
      </c>
      <c r="W12" s="93">
        <f t="shared" si="7"/>
        <v>0</v>
      </c>
      <c r="X12" s="94">
        <v>0</v>
      </c>
      <c r="Y12" s="94">
        <v>0</v>
      </c>
      <c r="Z12" s="94">
        <v>0</v>
      </c>
      <c r="AA12" s="94">
        <f t="shared" si="8"/>
        <v>0</v>
      </c>
      <c r="AB12" s="94">
        <f t="shared" si="9"/>
        <v>0</v>
      </c>
    </row>
    <row r="13" spans="1:28" ht="14.25" customHeight="1">
      <c r="A13" s="97"/>
      <c r="B13" s="97"/>
      <c r="C13" s="44"/>
      <c r="D13" s="44">
        <v>0</v>
      </c>
      <c r="E13" s="44">
        <v>0</v>
      </c>
      <c r="F13" s="44">
        <v>0</v>
      </c>
      <c r="G13" s="44">
        <f t="shared" si="0"/>
        <v>0</v>
      </c>
      <c r="H13" s="44">
        <f t="shared" si="1"/>
        <v>0</v>
      </c>
      <c r="I13" s="91">
        <v>0</v>
      </c>
      <c r="J13" s="91">
        <v>0</v>
      </c>
      <c r="K13" s="91">
        <v>0</v>
      </c>
      <c r="L13" s="91">
        <f t="shared" si="2"/>
        <v>0</v>
      </c>
      <c r="M13" s="91">
        <f t="shared" si="3"/>
        <v>0</v>
      </c>
      <c r="N13" s="92">
        <v>0</v>
      </c>
      <c r="O13" s="92">
        <v>0</v>
      </c>
      <c r="P13" s="92">
        <v>0</v>
      </c>
      <c r="Q13" s="92">
        <f t="shared" si="4"/>
        <v>0</v>
      </c>
      <c r="R13" s="92">
        <f t="shared" si="5"/>
        <v>0</v>
      </c>
      <c r="S13" s="93">
        <v>0</v>
      </c>
      <c r="T13" s="93">
        <v>0</v>
      </c>
      <c r="U13" s="93">
        <v>0</v>
      </c>
      <c r="V13" s="93">
        <f t="shared" si="6"/>
        <v>0</v>
      </c>
      <c r="W13" s="93">
        <f t="shared" si="7"/>
        <v>0</v>
      </c>
      <c r="X13" s="94">
        <v>0</v>
      </c>
      <c r="Y13" s="94">
        <v>0</v>
      </c>
      <c r="Z13" s="94">
        <v>0</v>
      </c>
      <c r="AA13" s="94">
        <f t="shared" si="8"/>
        <v>0</v>
      </c>
      <c r="AB13" s="94">
        <f t="shared" si="9"/>
        <v>0</v>
      </c>
    </row>
    <row r="14" spans="1:28" ht="14.25" customHeight="1">
      <c r="A14" s="97"/>
      <c r="B14" s="97"/>
      <c r="C14" s="44"/>
      <c r="D14" s="44">
        <v>0</v>
      </c>
      <c r="E14" s="44">
        <v>0</v>
      </c>
      <c r="F14" s="44">
        <v>0</v>
      </c>
      <c r="G14" s="44">
        <f t="shared" si="0"/>
        <v>0</v>
      </c>
      <c r="H14" s="44">
        <f t="shared" si="1"/>
        <v>0</v>
      </c>
      <c r="I14" s="91">
        <v>0</v>
      </c>
      <c r="J14" s="91">
        <v>0</v>
      </c>
      <c r="K14" s="91">
        <v>0</v>
      </c>
      <c r="L14" s="91">
        <f t="shared" si="2"/>
        <v>0</v>
      </c>
      <c r="M14" s="91">
        <f t="shared" si="3"/>
        <v>0</v>
      </c>
      <c r="N14" s="92">
        <v>0</v>
      </c>
      <c r="O14" s="92">
        <v>0</v>
      </c>
      <c r="P14" s="92">
        <v>0</v>
      </c>
      <c r="Q14" s="92">
        <f t="shared" si="4"/>
        <v>0</v>
      </c>
      <c r="R14" s="92">
        <f t="shared" si="5"/>
        <v>0</v>
      </c>
      <c r="S14" s="93">
        <v>0</v>
      </c>
      <c r="T14" s="93">
        <v>0</v>
      </c>
      <c r="U14" s="93">
        <v>0</v>
      </c>
      <c r="V14" s="93">
        <f t="shared" si="6"/>
        <v>0</v>
      </c>
      <c r="W14" s="93">
        <f t="shared" si="7"/>
        <v>0</v>
      </c>
      <c r="X14" s="94">
        <v>0</v>
      </c>
      <c r="Y14" s="94">
        <v>0</v>
      </c>
      <c r="Z14" s="94">
        <v>0</v>
      </c>
      <c r="AA14" s="94">
        <f t="shared" si="8"/>
        <v>0</v>
      </c>
      <c r="AB14" s="94">
        <f t="shared" si="9"/>
        <v>0</v>
      </c>
    </row>
    <row r="15" spans="1:28" ht="14.25" customHeight="1">
      <c r="A15" s="97"/>
      <c r="B15" s="97"/>
      <c r="C15" s="44"/>
      <c r="D15" s="44">
        <v>0</v>
      </c>
      <c r="E15" s="44">
        <v>0</v>
      </c>
      <c r="F15" s="44">
        <v>0</v>
      </c>
      <c r="G15" s="44">
        <f t="shared" si="0"/>
        <v>0</v>
      </c>
      <c r="H15" s="44">
        <f t="shared" si="1"/>
        <v>0</v>
      </c>
      <c r="I15" s="91">
        <v>0</v>
      </c>
      <c r="J15" s="91">
        <v>0</v>
      </c>
      <c r="K15" s="91">
        <v>0</v>
      </c>
      <c r="L15" s="91">
        <f t="shared" si="2"/>
        <v>0</v>
      </c>
      <c r="M15" s="91">
        <f t="shared" si="3"/>
        <v>0</v>
      </c>
      <c r="N15" s="92">
        <v>0</v>
      </c>
      <c r="O15" s="92">
        <v>0</v>
      </c>
      <c r="P15" s="92">
        <v>0</v>
      </c>
      <c r="Q15" s="92">
        <f t="shared" si="4"/>
        <v>0</v>
      </c>
      <c r="R15" s="92">
        <f t="shared" si="5"/>
        <v>0</v>
      </c>
      <c r="S15" s="93">
        <v>0</v>
      </c>
      <c r="T15" s="93">
        <v>0</v>
      </c>
      <c r="U15" s="93">
        <v>0</v>
      </c>
      <c r="V15" s="93">
        <f t="shared" si="6"/>
        <v>0</v>
      </c>
      <c r="W15" s="93">
        <f t="shared" si="7"/>
        <v>0</v>
      </c>
      <c r="X15" s="94">
        <v>0</v>
      </c>
      <c r="Y15" s="94">
        <v>0</v>
      </c>
      <c r="Z15" s="94">
        <v>0</v>
      </c>
      <c r="AA15" s="94">
        <f t="shared" si="8"/>
        <v>0</v>
      </c>
      <c r="AB15" s="94">
        <f t="shared" si="9"/>
        <v>0</v>
      </c>
    </row>
    <row r="16" spans="1:28" ht="14.25" customHeight="1">
      <c r="A16" s="97"/>
      <c r="B16" s="97"/>
      <c r="C16" s="44"/>
      <c r="D16" s="44">
        <v>0</v>
      </c>
      <c r="E16" s="44">
        <v>0</v>
      </c>
      <c r="F16" s="44">
        <v>0</v>
      </c>
      <c r="G16" s="44">
        <f t="shared" si="0"/>
        <v>0</v>
      </c>
      <c r="H16" s="44">
        <f t="shared" si="1"/>
        <v>0</v>
      </c>
      <c r="I16" s="91">
        <v>0</v>
      </c>
      <c r="J16" s="91">
        <v>0</v>
      </c>
      <c r="K16" s="91">
        <v>0</v>
      </c>
      <c r="L16" s="91">
        <f t="shared" si="2"/>
        <v>0</v>
      </c>
      <c r="M16" s="91">
        <f t="shared" si="3"/>
        <v>0</v>
      </c>
      <c r="N16" s="92">
        <v>0</v>
      </c>
      <c r="O16" s="92">
        <v>0</v>
      </c>
      <c r="P16" s="92">
        <v>0</v>
      </c>
      <c r="Q16" s="92">
        <f t="shared" si="4"/>
        <v>0</v>
      </c>
      <c r="R16" s="92">
        <f t="shared" si="5"/>
        <v>0</v>
      </c>
      <c r="S16" s="93">
        <v>0</v>
      </c>
      <c r="T16" s="93">
        <v>0</v>
      </c>
      <c r="U16" s="93">
        <v>0</v>
      </c>
      <c r="V16" s="93">
        <f t="shared" si="6"/>
        <v>0</v>
      </c>
      <c r="W16" s="93">
        <f t="shared" si="7"/>
        <v>0</v>
      </c>
      <c r="X16" s="94">
        <v>0</v>
      </c>
      <c r="Y16" s="94">
        <v>0</v>
      </c>
      <c r="Z16" s="94">
        <v>0</v>
      </c>
      <c r="AA16" s="94">
        <f t="shared" si="8"/>
        <v>0</v>
      </c>
      <c r="AB16" s="94">
        <f t="shared" si="9"/>
        <v>0</v>
      </c>
    </row>
    <row r="17" spans="1:28" ht="14.25" customHeight="1">
      <c r="A17" s="97"/>
      <c r="B17" s="97"/>
      <c r="C17" s="44"/>
      <c r="D17" s="44">
        <v>0</v>
      </c>
      <c r="E17" s="44">
        <v>0</v>
      </c>
      <c r="F17" s="44">
        <v>0</v>
      </c>
      <c r="G17" s="44">
        <f t="shared" si="0"/>
        <v>0</v>
      </c>
      <c r="H17" s="44">
        <f t="shared" si="1"/>
        <v>0</v>
      </c>
      <c r="I17" s="91">
        <v>0</v>
      </c>
      <c r="J17" s="91">
        <v>0</v>
      </c>
      <c r="K17" s="91">
        <v>0</v>
      </c>
      <c r="L17" s="91">
        <f t="shared" si="2"/>
        <v>0</v>
      </c>
      <c r="M17" s="91">
        <f t="shared" si="3"/>
        <v>0</v>
      </c>
      <c r="N17" s="92">
        <v>0</v>
      </c>
      <c r="O17" s="92">
        <v>0</v>
      </c>
      <c r="P17" s="92">
        <v>0</v>
      </c>
      <c r="Q17" s="92">
        <f t="shared" si="4"/>
        <v>0</v>
      </c>
      <c r="R17" s="92">
        <f t="shared" si="5"/>
        <v>0</v>
      </c>
      <c r="S17" s="93">
        <v>0</v>
      </c>
      <c r="T17" s="93">
        <v>0</v>
      </c>
      <c r="U17" s="93">
        <v>0</v>
      </c>
      <c r="V17" s="93">
        <f t="shared" si="6"/>
        <v>0</v>
      </c>
      <c r="W17" s="93">
        <f t="shared" si="7"/>
        <v>0</v>
      </c>
      <c r="X17" s="94">
        <v>0</v>
      </c>
      <c r="Y17" s="94">
        <v>0</v>
      </c>
      <c r="Z17" s="94">
        <v>0</v>
      </c>
      <c r="AA17" s="94">
        <f t="shared" si="8"/>
        <v>0</v>
      </c>
      <c r="AB17" s="94">
        <f t="shared" si="9"/>
        <v>0</v>
      </c>
    </row>
    <row r="18" spans="1:28" ht="14.25" customHeight="1">
      <c r="A18" s="97"/>
      <c r="B18" s="97"/>
      <c r="C18" s="44"/>
      <c r="D18" s="44">
        <v>0</v>
      </c>
      <c r="E18" s="44">
        <v>0</v>
      </c>
      <c r="F18" s="44">
        <v>0</v>
      </c>
      <c r="G18" s="44">
        <f t="shared" si="0"/>
        <v>0</v>
      </c>
      <c r="H18" s="44">
        <f t="shared" si="1"/>
        <v>0</v>
      </c>
      <c r="I18" s="91">
        <v>0</v>
      </c>
      <c r="J18" s="91">
        <v>0</v>
      </c>
      <c r="K18" s="91">
        <v>0</v>
      </c>
      <c r="L18" s="91">
        <f t="shared" si="2"/>
        <v>0</v>
      </c>
      <c r="M18" s="91">
        <f t="shared" si="3"/>
        <v>0</v>
      </c>
      <c r="N18" s="92">
        <v>0</v>
      </c>
      <c r="O18" s="92">
        <v>0</v>
      </c>
      <c r="P18" s="92">
        <v>0</v>
      </c>
      <c r="Q18" s="92">
        <f t="shared" si="4"/>
        <v>0</v>
      </c>
      <c r="R18" s="92">
        <f t="shared" si="5"/>
        <v>0</v>
      </c>
      <c r="S18" s="93">
        <v>0</v>
      </c>
      <c r="T18" s="93">
        <v>0</v>
      </c>
      <c r="U18" s="93">
        <v>0</v>
      </c>
      <c r="V18" s="93">
        <f t="shared" si="6"/>
        <v>0</v>
      </c>
      <c r="W18" s="93">
        <f t="shared" si="7"/>
        <v>0</v>
      </c>
      <c r="X18" s="94">
        <v>0</v>
      </c>
      <c r="Y18" s="94">
        <v>0</v>
      </c>
      <c r="Z18" s="94">
        <v>0</v>
      </c>
      <c r="AA18" s="94">
        <f t="shared" si="8"/>
        <v>0</v>
      </c>
      <c r="AB18" s="94">
        <f t="shared" si="9"/>
        <v>0</v>
      </c>
    </row>
    <row r="19" spans="1:28" ht="14.25" customHeight="1">
      <c r="A19" s="97"/>
      <c r="B19" s="97"/>
      <c r="C19" s="44"/>
      <c r="D19" s="44">
        <v>0</v>
      </c>
      <c r="E19" s="44">
        <v>0</v>
      </c>
      <c r="F19" s="44">
        <v>0</v>
      </c>
      <c r="G19" s="44">
        <f t="shared" si="0"/>
        <v>0</v>
      </c>
      <c r="H19" s="44">
        <f t="shared" si="1"/>
        <v>0</v>
      </c>
      <c r="I19" s="91">
        <v>0</v>
      </c>
      <c r="J19" s="91">
        <v>0</v>
      </c>
      <c r="K19" s="91">
        <v>0</v>
      </c>
      <c r="L19" s="91">
        <f t="shared" si="2"/>
        <v>0</v>
      </c>
      <c r="M19" s="91">
        <f t="shared" si="3"/>
        <v>0</v>
      </c>
      <c r="N19" s="92">
        <v>0</v>
      </c>
      <c r="O19" s="92">
        <v>0</v>
      </c>
      <c r="P19" s="92">
        <v>0</v>
      </c>
      <c r="Q19" s="92">
        <f t="shared" si="4"/>
        <v>0</v>
      </c>
      <c r="R19" s="92">
        <f t="shared" si="5"/>
        <v>0</v>
      </c>
      <c r="S19" s="93">
        <v>0</v>
      </c>
      <c r="T19" s="93">
        <v>0</v>
      </c>
      <c r="U19" s="93">
        <v>0</v>
      </c>
      <c r="V19" s="93">
        <f t="shared" si="6"/>
        <v>0</v>
      </c>
      <c r="W19" s="93">
        <f t="shared" si="7"/>
        <v>0</v>
      </c>
      <c r="X19" s="94">
        <v>0</v>
      </c>
      <c r="Y19" s="94">
        <v>0</v>
      </c>
      <c r="Z19" s="94">
        <v>0</v>
      </c>
      <c r="AA19" s="94">
        <f t="shared" si="8"/>
        <v>0</v>
      </c>
      <c r="AB19" s="94">
        <f t="shared" si="9"/>
        <v>0</v>
      </c>
    </row>
    <row r="20" spans="1:28" ht="14.25" customHeight="1">
      <c r="A20" s="97"/>
      <c r="B20" s="97"/>
      <c r="C20" s="44"/>
      <c r="D20" s="44">
        <v>0</v>
      </c>
      <c r="E20" s="44">
        <v>0</v>
      </c>
      <c r="F20" s="44">
        <v>0</v>
      </c>
      <c r="G20" s="44">
        <f t="shared" si="0"/>
        <v>0</v>
      </c>
      <c r="H20" s="44">
        <f t="shared" si="1"/>
        <v>0</v>
      </c>
      <c r="I20" s="91">
        <v>0</v>
      </c>
      <c r="J20" s="91">
        <v>0</v>
      </c>
      <c r="K20" s="91">
        <v>0</v>
      </c>
      <c r="L20" s="91">
        <f t="shared" si="2"/>
        <v>0</v>
      </c>
      <c r="M20" s="91">
        <f t="shared" si="3"/>
        <v>0</v>
      </c>
      <c r="N20" s="92">
        <v>0</v>
      </c>
      <c r="O20" s="92">
        <v>0</v>
      </c>
      <c r="P20" s="92">
        <v>0</v>
      </c>
      <c r="Q20" s="92">
        <f t="shared" si="4"/>
        <v>0</v>
      </c>
      <c r="R20" s="92">
        <f t="shared" si="5"/>
        <v>0</v>
      </c>
      <c r="S20" s="93">
        <v>0</v>
      </c>
      <c r="T20" s="93">
        <v>0</v>
      </c>
      <c r="U20" s="93">
        <v>0</v>
      </c>
      <c r="V20" s="93">
        <f t="shared" si="6"/>
        <v>0</v>
      </c>
      <c r="W20" s="93">
        <f t="shared" si="7"/>
        <v>0</v>
      </c>
      <c r="X20" s="94">
        <v>0</v>
      </c>
      <c r="Y20" s="94">
        <v>0</v>
      </c>
      <c r="Z20" s="94">
        <v>0</v>
      </c>
      <c r="AA20" s="94">
        <f t="shared" si="8"/>
        <v>0</v>
      </c>
      <c r="AB20" s="94">
        <f t="shared" si="9"/>
        <v>0</v>
      </c>
    </row>
    <row r="21" spans="1:28" ht="14.25" customHeight="1">
      <c r="A21" s="97"/>
      <c r="B21" s="97"/>
      <c r="C21" s="44"/>
      <c r="D21" s="44">
        <v>0</v>
      </c>
      <c r="E21" s="44">
        <v>0</v>
      </c>
      <c r="F21" s="44">
        <v>0</v>
      </c>
      <c r="G21" s="44">
        <f t="shared" si="0"/>
        <v>0</v>
      </c>
      <c r="H21" s="44">
        <f t="shared" si="1"/>
        <v>0</v>
      </c>
      <c r="I21" s="91">
        <v>0</v>
      </c>
      <c r="J21" s="91">
        <v>0</v>
      </c>
      <c r="K21" s="91">
        <v>0</v>
      </c>
      <c r="L21" s="91">
        <f t="shared" si="2"/>
        <v>0</v>
      </c>
      <c r="M21" s="91">
        <f t="shared" si="3"/>
        <v>0</v>
      </c>
      <c r="N21" s="92">
        <v>0</v>
      </c>
      <c r="O21" s="92">
        <v>0</v>
      </c>
      <c r="P21" s="92">
        <v>0</v>
      </c>
      <c r="Q21" s="92">
        <f t="shared" si="4"/>
        <v>0</v>
      </c>
      <c r="R21" s="92">
        <f t="shared" si="5"/>
        <v>0</v>
      </c>
      <c r="S21" s="93">
        <v>0</v>
      </c>
      <c r="T21" s="93">
        <v>0</v>
      </c>
      <c r="U21" s="93">
        <v>0</v>
      </c>
      <c r="V21" s="93">
        <f t="shared" si="6"/>
        <v>0</v>
      </c>
      <c r="W21" s="93">
        <f t="shared" si="7"/>
        <v>0</v>
      </c>
      <c r="X21" s="94">
        <v>0</v>
      </c>
      <c r="Y21" s="94">
        <v>0</v>
      </c>
      <c r="Z21" s="94">
        <v>0</v>
      </c>
      <c r="AA21" s="94">
        <f t="shared" si="8"/>
        <v>0</v>
      </c>
      <c r="AB21" s="94">
        <f t="shared" si="9"/>
        <v>0</v>
      </c>
    </row>
    <row r="22" spans="1:28" ht="14.25" customHeight="1">
      <c r="A22" s="97"/>
      <c r="B22" s="97"/>
      <c r="C22" s="44"/>
      <c r="D22" s="44">
        <v>0</v>
      </c>
      <c r="E22" s="44">
        <v>0</v>
      </c>
      <c r="F22" s="44">
        <v>0</v>
      </c>
      <c r="G22" s="44">
        <f t="shared" si="0"/>
        <v>0</v>
      </c>
      <c r="H22" s="44">
        <f t="shared" si="1"/>
        <v>0</v>
      </c>
      <c r="I22" s="91">
        <v>0</v>
      </c>
      <c r="J22" s="91">
        <v>0</v>
      </c>
      <c r="K22" s="91">
        <v>0</v>
      </c>
      <c r="L22" s="91">
        <f t="shared" si="2"/>
        <v>0</v>
      </c>
      <c r="M22" s="91">
        <f t="shared" si="3"/>
        <v>0</v>
      </c>
      <c r="N22" s="92">
        <v>0</v>
      </c>
      <c r="O22" s="92">
        <v>0</v>
      </c>
      <c r="P22" s="92">
        <v>0</v>
      </c>
      <c r="Q22" s="92">
        <f t="shared" si="4"/>
        <v>0</v>
      </c>
      <c r="R22" s="92">
        <f t="shared" si="5"/>
        <v>0</v>
      </c>
      <c r="S22" s="93">
        <v>0</v>
      </c>
      <c r="T22" s="93">
        <v>0</v>
      </c>
      <c r="U22" s="93">
        <v>0</v>
      </c>
      <c r="V22" s="93">
        <f t="shared" si="6"/>
        <v>0</v>
      </c>
      <c r="W22" s="93">
        <f t="shared" si="7"/>
        <v>0</v>
      </c>
      <c r="X22" s="94">
        <v>0</v>
      </c>
      <c r="Y22" s="94">
        <v>0</v>
      </c>
      <c r="Z22" s="94">
        <v>0</v>
      </c>
      <c r="AA22" s="94">
        <f t="shared" si="8"/>
        <v>0</v>
      </c>
      <c r="AB22" s="94">
        <f t="shared" si="9"/>
        <v>0</v>
      </c>
    </row>
    <row r="23" spans="1:28" ht="14.25" customHeight="1">
      <c r="A23" s="97"/>
      <c r="B23" s="97"/>
      <c r="C23" s="44"/>
      <c r="D23" s="44">
        <v>0</v>
      </c>
      <c r="E23" s="44">
        <v>0</v>
      </c>
      <c r="F23" s="44">
        <v>0</v>
      </c>
      <c r="G23" s="44">
        <f t="shared" si="0"/>
        <v>0</v>
      </c>
      <c r="H23" s="44">
        <f t="shared" si="1"/>
        <v>0</v>
      </c>
      <c r="I23" s="91">
        <v>0</v>
      </c>
      <c r="J23" s="91">
        <v>0</v>
      </c>
      <c r="K23" s="91">
        <v>0</v>
      </c>
      <c r="L23" s="91">
        <f t="shared" si="2"/>
        <v>0</v>
      </c>
      <c r="M23" s="91">
        <f t="shared" si="3"/>
        <v>0</v>
      </c>
      <c r="N23" s="92">
        <v>0</v>
      </c>
      <c r="O23" s="92">
        <v>0</v>
      </c>
      <c r="P23" s="92">
        <v>0</v>
      </c>
      <c r="Q23" s="92">
        <f t="shared" si="4"/>
        <v>0</v>
      </c>
      <c r="R23" s="92">
        <f t="shared" si="5"/>
        <v>0</v>
      </c>
      <c r="S23" s="93">
        <v>0</v>
      </c>
      <c r="T23" s="93">
        <v>0</v>
      </c>
      <c r="U23" s="93">
        <v>0</v>
      </c>
      <c r="V23" s="93">
        <f t="shared" si="6"/>
        <v>0</v>
      </c>
      <c r="W23" s="93">
        <f t="shared" si="7"/>
        <v>0</v>
      </c>
      <c r="X23" s="94">
        <v>0</v>
      </c>
      <c r="Y23" s="94">
        <v>0</v>
      </c>
      <c r="Z23" s="94">
        <v>0</v>
      </c>
      <c r="AA23" s="94">
        <f t="shared" si="8"/>
        <v>0</v>
      </c>
      <c r="AB23" s="94">
        <f t="shared" si="9"/>
        <v>0</v>
      </c>
    </row>
    <row r="24" spans="1:28" ht="14.25" customHeight="1">
      <c r="A24" s="97"/>
      <c r="B24" s="97"/>
      <c r="C24" s="44"/>
      <c r="D24" s="44">
        <v>0</v>
      </c>
      <c r="E24" s="44">
        <v>0</v>
      </c>
      <c r="F24" s="44">
        <v>0</v>
      </c>
      <c r="G24" s="44">
        <f t="shared" si="0"/>
        <v>0</v>
      </c>
      <c r="H24" s="44">
        <f t="shared" si="1"/>
        <v>0</v>
      </c>
      <c r="I24" s="91">
        <v>0</v>
      </c>
      <c r="J24" s="91">
        <v>0</v>
      </c>
      <c r="K24" s="91">
        <v>0</v>
      </c>
      <c r="L24" s="91">
        <f t="shared" si="2"/>
        <v>0</v>
      </c>
      <c r="M24" s="91">
        <f t="shared" si="3"/>
        <v>0</v>
      </c>
      <c r="N24" s="92">
        <v>0</v>
      </c>
      <c r="O24" s="92">
        <v>0</v>
      </c>
      <c r="P24" s="92">
        <v>0</v>
      </c>
      <c r="Q24" s="92">
        <f t="shared" si="4"/>
        <v>0</v>
      </c>
      <c r="R24" s="92">
        <f t="shared" si="5"/>
        <v>0</v>
      </c>
      <c r="S24" s="93">
        <v>0</v>
      </c>
      <c r="T24" s="93">
        <v>0</v>
      </c>
      <c r="U24" s="93">
        <v>0</v>
      </c>
      <c r="V24" s="93">
        <f t="shared" si="6"/>
        <v>0</v>
      </c>
      <c r="W24" s="93">
        <f t="shared" si="7"/>
        <v>0</v>
      </c>
      <c r="X24" s="94">
        <v>0</v>
      </c>
      <c r="Y24" s="94">
        <v>0</v>
      </c>
      <c r="Z24" s="94">
        <v>0</v>
      </c>
      <c r="AA24" s="94">
        <f t="shared" si="8"/>
        <v>0</v>
      </c>
      <c r="AB24" s="94">
        <f t="shared" si="9"/>
        <v>0</v>
      </c>
    </row>
    <row r="25" spans="1:28" ht="14.25" customHeight="1">
      <c r="A25" s="97"/>
      <c r="B25" s="97"/>
      <c r="C25" s="44"/>
      <c r="D25" s="44">
        <v>0</v>
      </c>
      <c r="E25" s="44">
        <v>0</v>
      </c>
      <c r="F25" s="44">
        <v>0</v>
      </c>
      <c r="G25" s="44">
        <f t="shared" si="0"/>
        <v>0</v>
      </c>
      <c r="H25" s="44">
        <f t="shared" si="1"/>
        <v>0</v>
      </c>
      <c r="I25" s="91">
        <v>0</v>
      </c>
      <c r="J25" s="91">
        <v>0</v>
      </c>
      <c r="K25" s="91">
        <v>0</v>
      </c>
      <c r="L25" s="91">
        <f t="shared" si="2"/>
        <v>0</v>
      </c>
      <c r="M25" s="91">
        <f t="shared" si="3"/>
        <v>0</v>
      </c>
      <c r="N25" s="92">
        <v>0</v>
      </c>
      <c r="O25" s="92">
        <v>0</v>
      </c>
      <c r="P25" s="92">
        <v>0</v>
      </c>
      <c r="Q25" s="92">
        <f t="shared" si="4"/>
        <v>0</v>
      </c>
      <c r="R25" s="92">
        <f t="shared" si="5"/>
        <v>0</v>
      </c>
      <c r="S25" s="93">
        <v>0</v>
      </c>
      <c r="T25" s="93">
        <v>0</v>
      </c>
      <c r="U25" s="93">
        <v>0</v>
      </c>
      <c r="V25" s="93">
        <f t="shared" si="6"/>
        <v>0</v>
      </c>
      <c r="W25" s="93">
        <f t="shared" si="7"/>
        <v>0</v>
      </c>
      <c r="X25" s="94">
        <v>0</v>
      </c>
      <c r="Y25" s="94">
        <v>0</v>
      </c>
      <c r="Z25" s="94">
        <v>0</v>
      </c>
      <c r="AA25" s="94">
        <f t="shared" si="8"/>
        <v>0</v>
      </c>
      <c r="AB25" s="94">
        <f t="shared" si="9"/>
        <v>0</v>
      </c>
    </row>
    <row r="26" spans="1:28" ht="14.25" customHeight="1">
      <c r="A26" s="97"/>
      <c r="B26" s="97"/>
      <c r="C26" s="44"/>
      <c r="D26" s="44">
        <v>0</v>
      </c>
      <c r="E26" s="44">
        <v>0</v>
      </c>
      <c r="F26" s="44">
        <v>0</v>
      </c>
      <c r="G26" s="44">
        <f t="shared" si="0"/>
        <v>0</v>
      </c>
      <c r="H26" s="44">
        <f t="shared" si="1"/>
        <v>0</v>
      </c>
      <c r="I26" s="91">
        <v>0</v>
      </c>
      <c r="J26" s="91">
        <v>0</v>
      </c>
      <c r="K26" s="91">
        <v>0</v>
      </c>
      <c r="L26" s="91">
        <f t="shared" si="2"/>
        <v>0</v>
      </c>
      <c r="M26" s="91">
        <f t="shared" si="3"/>
        <v>0</v>
      </c>
      <c r="N26" s="92">
        <v>0</v>
      </c>
      <c r="O26" s="92">
        <v>0</v>
      </c>
      <c r="P26" s="92">
        <v>0</v>
      </c>
      <c r="Q26" s="92">
        <f t="shared" si="4"/>
        <v>0</v>
      </c>
      <c r="R26" s="92">
        <f t="shared" si="5"/>
        <v>0</v>
      </c>
      <c r="S26" s="93">
        <v>0</v>
      </c>
      <c r="T26" s="93">
        <v>0</v>
      </c>
      <c r="U26" s="93">
        <v>0</v>
      </c>
      <c r="V26" s="93">
        <f t="shared" si="6"/>
        <v>0</v>
      </c>
      <c r="W26" s="93">
        <f t="shared" si="7"/>
        <v>0</v>
      </c>
      <c r="X26" s="94">
        <v>0</v>
      </c>
      <c r="Y26" s="94">
        <v>0</v>
      </c>
      <c r="Z26" s="94">
        <v>0</v>
      </c>
      <c r="AA26" s="94">
        <f t="shared" si="8"/>
        <v>0</v>
      </c>
      <c r="AB26" s="94">
        <f t="shared" si="9"/>
        <v>0</v>
      </c>
    </row>
    <row r="27" spans="1:28" ht="14.25" customHeight="1">
      <c r="A27" s="97"/>
      <c r="B27" s="97"/>
      <c r="C27" s="44"/>
      <c r="D27" s="44">
        <v>0</v>
      </c>
      <c r="E27" s="44">
        <v>0</v>
      </c>
      <c r="F27" s="44">
        <v>0</v>
      </c>
      <c r="G27" s="44">
        <f t="shared" si="0"/>
        <v>0</v>
      </c>
      <c r="H27" s="44">
        <f t="shared" si="1"/>
        <v>0</v>
      </c>
      <c r="I27" s="91">
        <v>0</v>
      </c>
      <c r="J27" s="91">
        <v>0</v>
      </c>
      <c r="K27" s="91">
        <v>0</v>
      </c>
      <c r="L27" s="91">
        <f t="shared" si="2"/>
        <v>0</v>
      </c>
      <c r="M27" s="91">
        <f t="shared" si="3"/>
        <v>0</v>
      </c>
      <c r="N27" s="92">
        <v>0</v>
      </c>
      <c r="O27" s="92">
        <v>0</v>
      </c>
      <c r="P27" s="92">
        <v>0</v>
      </c>
      <c r="Q27" s="92">
        <f t="shared" si="4"/>
        <v>0</v>
      </c>
      <c r="R27" s="92">
        <f t="shared" si="5"/>
        <v>0</v>
      </c>
      <c r="S27" s="93">
        <v>0</v>
      </c>
      <c r="T27" s="93">
        <v>0</v>
      </c>
      <c r="U27" s="93">
        <v>0</v>
      </c>
      <c r="V27" s="93">
        <f t="shared" si="6"/>
        <v>0</v>
      </c>
      <c r="W27" s="93">
        <f t="shared" si="7"/>
        <v>0</v>
      </c>
      <c r="X27" s="94">
        <v>0</v>
      </c>
      <c r="Y27" s="94">
        <v>0</v>
      </c>
      <c r="Z27" s="94">
        <v>0</v>
      </c>
      <c r="AA27" s="94">
        <f t="shared" si="8"/>
        <v>0</v>
      </c>
      <c r="AB27" s="94">
        <f t="shared" si="9"/>
        <v>0</v>
      </c>
    </row>
    <row r="28" spans="1:28" ht="14.25" customHeight="1">
      <c r="A28" s="97"/>
      <c r="B28" s="97"/>
      <c r="C28" s="44"/>
      <c r="D28" s="44">
        <v>0</v>
      </c>
      <c r="E28" s="44">
        <v>0</v>
      </c>
      <c r="F28" s="44">
        <v>0</v>
      </c>
      <c r="G28" s="44">
        <f t="shared" si="0"/>
        <v>0</v>
      </c>
      <c r="H28" s="44">
        <f t="shared" si="1"/>
        <v>0</v>
      </c>
      <c r="I28" s="91">
        <v>0</v>
      </c>
      <c r="J28" s="91">
        <v>0</v>
      </c>
      <c r="K28" s="91">
        <v>0</v>
      </c>
      <c r="L28" s="91">
        <f t="shared" si="2"/>
        <v>0</v>
      </c>
      <c r="M28" s="91">
        <f t="shared" si="3"/>
        <v>0</v>
      </c>
      <c r="N28" s="92">
        <v>0</v>
      </c>
      <c r="O28" s="92">
        <v>0</v>
      </c>
      <c r="P28" s="92">
        <v>0</v>
      </c>
      <c r="Q28" s="92">
        <f t="shared" si="4"/>
        <v>0</v>
      </c>
      <c r="R28" s="92">
        <f t="shared" si="5"/>
        <v>0</v>
      </c>
      <c r="S28" s="93">
        <v>0</v>
      </c>
      <c r="T28" s="93">
        <v>0</v>
      </c>
      <c r="U28" s="93">
        <v>0</v>
      </c>
      <c r="V28" s="93">
        <f t="shared" si="6"/>
        <v>0</v>
      </c>
      <c r="W28" s="93">
        <f t="shared" si="7"/>
        <v>0</v>
      </c>
      <c r="X28" s="94">
        <v>0</v>
      </c>
      <c r="Y28" s="94">
        <v>0</v>
      </c>
      <c r="Z28" s="94">
        <v>0</v>
      </c>
      <c r="AA28" s="94">
        <f t="shared" si="8"/>
        <v>0</v>
      </c>
      <c r="AB28" s="94">
        <f t="shared" si="9"/>
        <v>0</v>
      </c>
    </row>
    <row r="29" spans="1:28" ht="14.25" customHeight="1">
      <c r="A29" s="97"/>
      <c r="B29" s="97"/>
      <c r="C29" s="44"/>
      <c r="D29" s="44">
        <v>0</v>
      </c>
      <c r="E29" s="44">
        <v>0</v>
      </c>
      <c r="F29" s="44">
        <v>0</v>
      </c>
      <c r="G29" s="44">
        <f t="shared" si="0"/>
        <v>0</v>
      </c>
      <c r="H29" s="44">
        <f t="shared" si="1"/>
        <v>0</v>
      </c>
      <c r="I29" s="91">
        <v>0</v>
      </c>
      <c r="J29" s="91">
        <v>0</v>
      </c>
      <c r="K29" s="91">
        <v>0</v>
      </c>
      <c r="L29" s="91">
        <f t="shared" si="2"/>
        <v>0</v>
      </c>
      <c r="M29" s="91">
        <f t="shared" si="3"/>
        <v>0</v>
      </c>
      <c r="N29" s="92">
        <v>0</v>
      </c>
      <c r="O29" s="92">
        <v>0</v>
      </c>
      <c r="P29" s="92">
        <v>0</v>
      </c>
      <c r="Q29" s="92">
        <f t="shared" si="4"/>
        <v>0</v>
      </c>
      <c r="R29" s="92">
        <f t="shared" si="5"/>
        <v>0</v>
      </c>
      <c r="S29" s="93">
        <v>0</v>
      </c>
      <c r="T29" s="93">
        <v>0</v>
      </c>
      <c r="U29" s="93">
        <v>0</v>
      </c>
      <c r="V29" s="93">
        <f t="shared" si="6"/>
        <v>0</v>
      </c>
      <c r="W29" s="93">
        <f t="shared" si="7"/>
        <v>0</v>
      </c>
      <c r="X29" s="94">
        <v>0</v>
      </c>
      <c r="Y29" s="94">
        <v>0</v>
      </c>
      <c r="Z29" s="94">
        <v>0</v>
      </c>
      <c r="AA29" s="94">
        <f t="shared" si="8"/>
        <v>0</v>
      </c>
      <c r="AB29" s="94">
        <f t="shared" si="9"/>
        <v>0</v>
      </c>
    </row>
    <row r="30" spans="1:28" ht="14.25" customHeight="1">
      <c r="A30" s="97"/>
      <c r="B30" s="97"/>
      <c r="C30" s="44"/>
      <c r="D30" s="44">
        <v>0</v>
      </c>
      <c r="E30" s="44">
        <v>0</v>
      </c>
      <c r="F30" s="44">
        <v>0</v>
      </c>
      <c r="G30" s="44">
        <f t="shared" si="0"/>
        <v>0</v>
      </c>
      <c r="H30" s="44">
        <f t="shared" si="1"/>
        <v>0</v>
      </c>
      <c r="I30" s="91">
        <v>0</v>
      </c>
      <c r="J30" s="91">
        <v>0</v>
      </c>
      <c r="K30" s="91">
        <v>0</v>
      </c>
      <c r="L30" s="91">
        <f t="shared" si="2"/>
        <v>0</v>
      </c>
      <c r="M30" s="91">
        <f t="shared" si="3"/>
        <v>0</v>
      </c>
      <c r="N30" s="92">
        <v>0</v>
      </c>
      <c r="O30" s="92">
        <v>0</v>
      </c>
      <c r="P30" s="92">
        <v>0</v>
      </c>
      <c r="Q30" s="92">
        <f t="shared" si="4"/>
        <v>0</v>
      </c>
      <c r="R30" s="92">
        <f t="shared" si="5"/>
        <v>0</v>
      </c>
      <c r="S30" s="93">
        <v>0</v>
      </c>
      <c r="T30" s="93">
        <v>0</v>
      </c>
      <c r="U30" s="93">
        <v>0</v>
      </c>
      <c r="V30" s="93">
        <f t="shared" si="6"/>
        <v>0</v>
      </c>
      <c r="W30" s="93">
        <f t="shared" si="7"/>
        <v>0</v>
      </c>
      <c r="X30" s="94">
        <v>0</v>
      </c>
      <c r="Y30" s="94">
        <v>0</v>
      </c>
      <c r="Z30" s="94">
        <v>0</v>
      </c>
      <c r="AA30" s="94">
        <f t="shared" si="8"/>
        <v>0</v>
      </c>
      <c r="AB30" s="94">
        <f t="shared" si="9"/>
        <v>0</v>
      </c>
    </row>
    <row r="31" spans="1:28" ht="14.25" customHeight="1">
      <c r="A31" s="97"/>
      <c r="B31" s="97"/>
      <c r="C31" s="44"/>
      <c r="D31" s="44">
        <v>240</v>
      </c>
      <c r="E31" s="44">
        <v>90</v>
      </c>
      <c r="F31" s="44">
        <v>5</v>
      </c>
      <c r="G31" s="44">
        <f t="shared" si="0"/>
        <v>85</v>
      </c>
      <c r="H31" s="44">
        <f t="shared" si="1"/>
        <v>20400</v>
      </c>
      <c r="I31" s="91">
        <v>240</v>
      </c>
      <c r="J31" s="91">
        <v>90</v>
      </c>
      <c r="K31" s="91">
        <v>5</v>
      </c>
      <c r="L31" s="91">
        <f t="shared" si="2"/>
        <v>85</v>
      </c>
      <c r="M31" s="91">
        <f t="shared" si="3"/>
        <v>20400</v>
      </c>
      <c r="N31" s="92">
        <v>240</v>
      </c>
      <c r="O31" s="92">
        <v>90</v>
      </c>
      <c r="P31" s="92">
        <v>5</v>
      </c>
      <c r="Q31" s="92">
        <f t="shared" si="4"/>
        <v>85</v>
      </c>
      <c r="R31" s="92">
        <f t="shared" si="5"/>
        <v>20400</v>
      </c>
      <c r="S31" s="93">
        <v>240</v>
      </c>
      <c r="T31" s="93">
        <v>90</v>
      </c>
      <c r="U31" s="93">
        <v>5</v>
      </c>
      <c r="V31" s="93">
        <f t="shared" si="6"/>
        <v>85</v>
      </c>
      <c r="W31" s="93">
        <f t="shared" si="7"/>
        <v>20400</v>
      </c>
      <c r="X31" s="94">
        <v>240</v>
      </c>
      <c r="Y31" s="94">
        <v>90</v>
      </c>
      <c r="Z31" s="94">
        <v>5</v>
      </c>
      <c r="AA31" s="94">
        <f t="shared" si="8"/>
        <v>85</v>
      </c>
      <c r="AB31" s="94">
        <f t="shared" si="9"/>
        <v>20400</v>
      </c>
    </row>
    <row r="32" spans="1:28" ht="14.25" customHeight="1">
      <c r="A32" s="97"/>
      <c r="B32" s="97"/>
      <c r="C32" s="44"/>
      <c r="D32" s="44">
        <v>0</v>
      </c>
      <c r="E32" s="43">
        <v>0</v>
      </c>
      <c r="F32" s="43">
        <v>0</v>
      </c>
      <c r="G32" s="44">
        <f t="shared" si="0"/>
        <v>0</v>
      </c>
      <c r="H32" s="44">
        <f t="shared" si="1"/>
        <v>0</v>
      </c>
      <c r="I32" s="91">
        <v>0</v>
      </c>
      <c r="J32" s="104">
        <v>0</v>
      </c>
      <c r="K32" s="104">
        <v>0</v>
      </c>
      <c r="L32" s="91">
        <f t="shared" si="2"/>
        <v>0</v>
      </c>
      <c r="M32" s="91">
        <f t="shared" si="3"/>
        <v>0</v>
      </c>
      <c r="N32" s="92">
        <v>0</v>
      </c>
      <c r="O32" s="105">
        <v>0</v>
      </c>
      <c r="P32" s="105">
        <v>0</v>
      </c>
      <c r="Q32" s="92">
        <f t="shared" si="4"/>
        <v>0</v>
      </c>
      <c r="R32" s="92">
        <f t="shared" si="5"/>
        <v>0</v>
      </c>
      <c r="S32" s="93">
        <v>0</v>
      </c>
      <c r="T32" s="106">
        <v>0</v>
      </c>
      <c r="U32" s="106">
        <v>0</v>
      </c>
      <c r="V32" s="93">
        <f t="shared" si="6"/>
        <v>0</v>
      </c>
      <c r="W32" s="93">
        <f t="shared" si="7"/>
        <v>0</v>
      </c>
      <c r="X32" s="94">
        <v>0</v>
      </c>
      <c r="Y32" s="107">
        <v>0</v>
      </c>
      <c r="Z32" s="107">
        <v>0</v>
      </c>
      <c r="AA32" s="94">
        <f t="shared" si="8"/>
        <v>0</v>
      </c>
      <c r="AB32" s="94">
        <f t="shared" si="9"/>
        <v>0</v>
      </c>
    </row>
    <row r="33" spans="1:28" ht="14.25" customHeight="1">
      <c r="A33" s="97"/>
      <c r="B33" s="97"/>
      <c r="C33" s="44"/>
      <c r="D33" s="44">
        <v>0</v>
      </c>
      <c r="E33" s="43">
        <v>0</v>
      </c>
      <c r="F33" s="43">
        <v>0</v>
      </c>
      <c r="G33" s="44">
        <f t="shared" si="0"/>
        <v>0</v>
      </c>
      <c r="H33" s="44">
        <f t="shared" si="1"/>
        <v>0</v>
      </c>
      <c r="I33" s="91">
        <v>0</v>
      </c>
      <c r="J33" s="104">
        <v>0</v>
      </c>
      <c r="K33" s="104">
        <v>0</v>
      </c>
      <c r="L33" s="91">
        <f t="shared" si="2"/>
        <v>0</v>
      </c>
      <c r="M33" s="91">
        <f t="shared" si="3"/>
        <v>0</v>
      </c>
      <c r="N33" s="92">
        <v>0</v>
      </c>
      <c r="O33" s="105">
        <v>0</v>
      </c>
      <c r="P33" s="105">
        <v>0</v>
      </c>
      <c r="Q33" s="92">
        <f t="shared" si="4"/>
        <v>0</v>
      </c>
      <c r="R33" s="92">
        <f t="shared" si="5"/>
        <v>0</v>
      </c>
      <c r="S33" s="93">
        <v>0</v>
      </c>
      <c r="T33" s="106">
        <v>0</v>
      </c>
      <c r="U33" s="106">
        <v>0</v>
      </c>
      <c r="V33" s="93">
        <f t="shared" si="6"/>
        <v>0</v>
      </c>
      <c r="W33" s="93">
        <f t="shared" si="7"/>
        <v>0</v>
      </c>
      <c r="X33" s="94">
        <v>0</v>
      </c>
      <c r="Y33" s="107">
        <v>0</v>
      </c>
      <c r="Z33" s="107">
        <v>0</v>
      </c>
      <c r="AA33" s="94">
        <f t="shared" si="8"/>
        <v>0</v>
      </c>
      <c r="AB33" s="94">
        <f t="shared" si="9"/>
        <v>0</v>
      </c>
    </row>
    <row r="34" spans="1:28" ht="14.25" customHeight="1">
      <c r="A34" s="97"/>
      <c r="B34" s="97"/>
      <c r="C34" s="44"/>
      <c r="D34" s="44">
        <v>0</v>
      </c>
      <c r="E34" s="43">
        <v>0</v>
      </c>
      <c r="F34" s="43">
        <v>0</v>
      </c>
      <c r="G34" s="44">
        <f t="shared" si="0"/>
        <v>0</v>
      </c>
      <c r="H34" s="44">
        <f t="shared" si="1"/>
        <v>0</v>
      </c>
      <c r="I34" s="91">
        <v>0</v>
      </c>
      <c r="J34" s="104">
        <v>0</v>
      </c>
      <c r="K34" s="104">
        <v>0</v>
      </c>
      <c r="L34" s="91">
        <f t="shared" si="2"/>
        <v>0</v>
      </c>
      <c r="M34" s="91">
        <f t="shared" si="3"/>
        <v>0</v>
      </c>
      <c r="N34" s="92">
        <v>0</v>
      </c>
      <c r="O34" s="105">
        <v>0</v>
      </c>
      <c r="P34" s="105">
        <v>0</v>
      </c>
      <c r="Q34" s="92">
        <f t="shared" si="4"/>
        <v>0</v>
      </c>
      <c r="R34" s="92">
        <f t="shared" si="5"/>
        <v>0</v>
      </c>
      <c r="S34" s="93">
        <v>0</v>
      </c>
      <c r="T34" s="106">
        <v>0</v>
      </c>
      <c r="U34" s="106">
        <v>0</v>
      </c>
      <c r="V34" s="93">
        <f t="shared" si="6"/>
        <v>0</v>
      </c>
      <c r="W34" s="93">
        <f t="shared" si="7"/>
        <v>0</v>
      </c>
      <c r="X34" s="94">
        <v>0</v>
      </c>
      <c r="Y34" s="107">
        <v>0</v>
      </c>
      <c r="Z34" s="107">
        <v>0</v>
      </c>
      <c r="AA34" s="94">
        <f t="shared" si="8"/>
        <v>0</v>
      </c>
      <c r="AB34" s="94">
        <f t="shared" si="9"/>
        <v>0</v>
      </c>
    </row>
    <row r="35" spans="1:28" ht="14.25" customHeight="1">
      <c r="A35" s="97"/>
      <c r="B35" s="97"/>
      <c r="C35" s="44"/>
      <c r="D35" s="44">
        <v>0</v>
      </c>
      <c r="E35" s="43">
        <v>0</v>
      </c>
      <c r="F35" s="43">
        <v>0</v>
      </c>
      <c r="G35" s="44">
        <f t="shared" si="0"/>
        <v>0</v>
      </c>
      <c r="H35" s="44">
        <f t="shared" si="1"/>
        <v>0</v>
      </c>
      <c r="I35" s="91">
        <v>0</v>
      </c>
      <c r="J35" s="104">
        <v>0</v>
      </c>
      <c r="K35" s="104">
        <v>0</v>
      </c>
      <c r="L35" s="91">
        <f t="shared" si="2"/>
        <v>0</v>
      </c>
      <c r="M35" s="91">
        <f t="shared" si="3"/>
        <v>0</v>
      </c>
      <c r="N35" s="92">
        <v>0</v>
      </c>
      <c r="O35" s="105">
        <v>0</v>
      </c>
      <c r="P35" s="105">
        <v>0</v>
      </c>
      <c r="Q35" s="92">
        <f t="shared" si="4"/>
        <v>0</v>
      </c>
      <c r="R35" s="92">
        <f t="shared" si="5"/>
        <v>0</v>
      </c>
      <c r="S35" s="93">
        <v>0</v>
      </c>
      <c r="T35" s="106">
        <v>0</v>
      </c>
      <c r="U35" s="106">
        <v>0</v>
      </c>
      <c r="V35" s="93">
        <f t="shared" si="6"/>
        <v>0</v>
      </c>
      <c r="W35" s="93">
        <f t="shared" si="7"/>
        <v>0</v>
      </c>
      <c r="X35" s="94">
        <v>0</v>
      </c>
      <c r="Y35" s="107">
        <v>0</v>
      </c>
      <c r="Z35" s="107">
        <v>0</v>
      </c>
      <c r="AA35" s="94">
        <f t="shared" si="8"/>
        <v>0</v>
      </c>
      <c r="AB35" s="94">
        <f t="shared" si="9"/>
        <v>0</v>
      </c>
    </row>
    <row r="36" spans="1:28" ht="14.25" customHeight="1">
      <c r="A36" s="97"/>
      <c r="B36" s="97"/>
      <c r="C36" s="44"/>
      <c r="D36" s="44">
        <v>0</v>
      </c>
      <c r="E36" s="43">
        <v>0</v>
      </c>
      <c r="F36" s="43">
        <v>0</v>
      </c>
      <c r="G36" s="44">
        <f t="shared" si="0"/>
        <v>0</v>
      </c>
      <c r="H36" s="44">
        <f t="shared" si="1"/>
        <v>0</v>
      </c>
      <c r="I36" s="91">
        <v>0</v>
      </c>
      <c r="J36" s="104">
        <v>0</v>
      </c>
      <c r="K36" s="104">
        <v>0</v>
      </c>
      <c r="L36" s="91">
        <f t="shared" si="2"/>
        <v>0</v>
      </c>
      <c r="M36" s="91">
        <f t="shared" si="3"/>
        <v>0</v>
      </c>
      <c r="N36" s="92">
        <v>0</v>
      </c>
      <c r="O36" s="105">
        <v>0</v>
      </c>
      <c r="P36" s="105">
        <v>0</v>
      </c>
      <c r="Q36" s="92">
        <f t="shared" si="4"/>
        <v>0</v>
      </c>
      <c r="R36" s="92">
        <f t="shared" si="5"/>
        <v>0</v>
      </c>
      <c r="S36" s="93">
        <v>0</v>
      </c>
      <c r="T36" s="106">
        <v>0</v>
      </c>
      <c r="U36" s="106">
        <v>0</v>
      </c>
      <c r="V36" s="93">
        <f t="shared" si="6"/>
        <v>0</v>
      </c>
      <c r="W36" s="93">
        <f t="shared" si="7"/>
        <v>0</v>
      </c>
      <c r="X36" s="94">
        <v>0</v>
      </c>
      <c r="Y36" s="107">
        <v>0</v>
      </c>
      <c r="Z36" s="107">
        <v>0</v>
      </c>
      <c r="AA36" s="94">
        <f t="shared" si="8"/>
        <v>0</v>
      </c>
      <c r="AB36" s="94">
        <f t="shared" si="9"/>
        <v>0</v>
      </c>
    </row>
    <row r="37" spans="1:28" ht="14.25" customHeight="1">
      <c r="A37" s="97"/>
      <c r="B37" s="97"/>
      <c r="C37" s="44"/>
      <c r="D37" s="44">
        <v>0</v>
      </c>
      <c r="E37" s="43">
        <v>0</v>
      </c>
      <c r="F37" s="43">
        <v>0</v>
      </c>
      <c r="G37" s="44">
        <f t="shared" si="0"/>
        <v>0</v>
      </c>
      <c r="H37" s="44">
        <f t="shared" si="1"/>
        <v>0</v>
      </c>
      <c r="I37" s="91">
        <v>0</v>
      </c>
      <c r="J37" s="104">
        <v>0</v>
      </c>
      <c r="K37" s="104">
        <v>0</v>
      </c>
      <c r="L37" s="91">
        <f t="shared" si="2"/>
        <v>0</v>
      </c>
      <c r="M37" s="91">
        <f t="shared" si="3"/>
        <v>0</v>
      </c>
      <c r="N37" s="92">
        <v>0</v>
      </c>
      <c r="O37" s="105">
        <v>0</v>
      </c>
      <c r="P37" s="105">
        <v>0</v>
      </c>
      <c r="Q37" s="92">
        <f t="shared" si="4"/>
        <v>0</v>
      </c>
      <c r="R37" s="92">
        <f t="shared" si="5"/>
        <v>0</v>
      </c>
      <c r="S37" s="93">
        <v>0</v>
      </c>
      <c r="T37" s="106">
        <v>0</v>
      </c>
      <c r="U37" s="106">
        <v>0</v>
      </c>
      <c r="V37" s="93">
        <f t="shared" si="6"/>
        <v>0</v>
      </c>
      <c r="W37" s="93">
        <f t="shared" si="7"/>
        <v>0</v>
      </c>
      <c r="X37" s="94">
        <v>0</v>
      </c>
      <c r="Y37" s="107">
        <v>0</v>
      </c>
      <c r="Z37" s="107">
        <v>0</v>
      </c>
      <c r="AA37" s="94">
        <f t="shared" si="8"/>
        <v>0</v>
      </c>
      <c r="AB37" s="94">
        <f t="shared" si="9"/>
        <v>0</v>
      </c>
    </row>
    <row r="38" spans="1:28" ht="14.25" customHeight="1">
      <c r="A38" s="97"/>
      <c r="B38" s="97"/>
      <c r="C38" s="44"/>
      <c r="D38" s="44">
        <v>0</v>
      </c>
      <c r="E38" s="43">
        <v>0</v>
      </c>
      <c r="F38" s="43">
        <v>0</v>
      </c>
      <c r="G38" s="44">
        <f t="shared" si="0"/>
        <v>0</v>
      </c>
      <c r="H38" s="44">
        <f t="shared" si="1"/>
        <v>0</v>
      </c>
      <c r="I38" s="91">
        <v>0</v>
      </c>
      <c r="J38" s="104">
        <v>0</v>
      </c>
      <c r="K38" s="104">
        <v>0</v>
      </c>
      <c r="L38" s="91">
        <f t="shared" si="2"/>
        <v>0</v>
      </c>
      <c r="M38" s="91">
        <f t="shared" si="3"/>
        <v>0</v>
      </c>
      <c r="N38" s="92">
        <v>0</v>
      </c>
      <c r="O38" s="105">
        <v>0</v>
      </c>
      <c r="P38" s="105">
        <v>0</v>
      </c>
      <c r="Q38" s="92">
        <f t="shared" si="4"/>
        <v>0</v>
      </c>
      <c r="R38" s="92">
        <f t="shared" si="5"/>
        <v>0</v>
      </c>
      <c r="S38" s="93">
        <v>0</v>
      </c>
      <c r="T38" s="106">
        <v>0</v>
      </c>
      <c r="U38" s="106">
        <v>0</v>
      </c>
      <c r="V38" s="93">
        <f t="shared" si="6"/>
        <v>0</v>
      </c>
      <c r="W38" s="93">
        <f t="shared" si="7"/>
        <v>0</v>
      </c>
      <c r="X38" s="94">
        <v>0</v>
      </c>
      <c r="Y38" s="107">
        <v>0</v>
      </c>
      <c r="Z38" s="107">
        <v>0</v>
      </c>
      <c r="AA38" s="94">
        <f t="shared" si="8"/>
        <v>0</v>
      </c>
      <c r="AB38" s="94">
        <f t="shared" si="9"/>
        <v>0</v>
      </c>
    </row>
    <row r="39" spans="1:28" ht="14.25" customHeight="1">
      <c r="A39" s="97"/>
      <c r="B39" s="97"/>
      <c r="C39" s="44"/>
      <c r="D39" s="44">
        <v>0</v>
      </c>
      <c r="E39" s="43">
        <v>0</v>
      </c>
      <c r="F39" s="43">
        <v>0</v>
      </c>
      <c r="G39" s="44">
        <f t="shared" si="0"/>
        <v>0</v>
      </c>
      <c r="H39" s="44">
        <f t="shared" si="1"/>
        <v>0</v>
      </c>
      <c r="I39" s="91">
        <v>0</v>
      </c>
      <c r="J39" s="104">
        <v>0</v>
      </c>
      <c r="K39" s="104">
        <v>0</v>
      </c>
      <c r="L39" s="91">
        <f t="shared" si="2"/>
        <v>0</v>
      </c>
      <c r="M39" s="91">
        <f t="shared" si="3"/>
        <v>0</v>
      </c>
      <c r="N39" s="92">
        <v>0</v>
      </c>
      <c r="O39" s="105">
        <v>0</v>
      </c>
      <c r="P39" s="105">
        <v>0</v>
      </c>
      <c r="Q39" s="92">
        <f t="shared" si="4"/>
        <v>0</v>
      </c>
      <c r="R39" s="92">
        <f t="shared" si="5"/>
        <v>0</v>
      </c>
      <c r="S39" s="93">
        <v>0</v>
      </c>
      <c r="T39" s="106">
        <v>0</v>
      </c>
      <c r="U39" s="106">
        <v>0</v>
      </c>
      <c r="V39" s="93">
        <f t="shared" si="6"/>
        <v>0</v>
      </c>
      <c r="W39" s="93">
        <f t="shared" si="7"/>
        <v>0</v>
      </c>
      <c r="X39" s="94">
        <v>0</v>
      </c>
      <c r="Y39" s="107">
        <v>0</v>
      </c>
      <c r="Z39" s="107">
        <v>0</v>
      </c>
      <c r="AA39" s="94">
        <f t="shared" si="8"/>
        <v>0</v>
      </c>
      <c r="AB39" s="94">
        <f t="shared" si="9"/>
        <v>0</v>
      </c>
    </row>
    <row r="40" spans="1:28" ht="14.25" customHeight="1">
      <c r="A40" s="97"/>
      <c r="B40" s="97"/>
      <c r="C40" s="44"/>
      <c r="D40" s="44">
        <v>0</v>
      </c>
      <c r="E40" s="43">
        <v>0</v>
      </c>
      <c r="F40" s="43">
        <v>0</v>
      </c>
      <c r="G40" s="44">
        <f t="shared" si="0"/>
        <v>0</v>
      </c>
      <c r="H40" s="44">
        <f t="shared" si="1"/>
        <v>0</v>
      </c>
      <c r="I40" s="91">
        <v>0</v>
      </c>
      <c r="J40" s="104">
        <v>0</v>
      </c>
      <c r="K40" s="104">
        <v>0</v>
      </c>
      <c r="L40" s="91">
        <f t="shared" si="2"/>
        <v>0</v>
      </c>
      <c r="M40" s="91">
        <f t="shared" si="3"/>
        <v>0</v>
      </c>
      <c r="N40" s="92">
        <v>0</v>
      </c>
      <c r="O40" s="105">
        <v>0</v>
      </c>
      <c r="P40" s="105">
        <v>0</v>
      </c>
      <c r="Q40" s="92">
        <f t="shared" si="4"/>
        <v>0</v>
      </c>
      <c r="R40" s="92">
        <f t="shared" si="5"/>
        <v>0</v>
      </c>
      <c r="S40" s="93">
        <v>0</v>
      </c>
      <c r="T40" s="106">
        <v>0</v>
      </c>
      <c r="U40" s="106">
        <v>0</v>
      </c>
      <c r="V40" s="93">
        <f t="shared" si="6"/>
        <v>0</v>
      </c>
      <c r="W40" s="93">
        <f t="shared" si="7"/>
        <v>0</v>
      </c>
      <c r="X40" s="94">
        <v>0</v>
      </c>
      <c r="Y40" s="107">
        <v>0</v>
      </c>
      <c r="Z40" s="107">
        <v>0</v>
      </c>
      <c r="AA40" s="94">
        <f t="shared" si="8"/>
        <v>0</v>
      </c>
      <c r="AB40" s="94">
        <f t="shared" si="9"/>
        <v>0</v>
      </c>
    </row>
    <row r="41" spans="1:28" ht="14.25" customHeight="1">
      <c r="A41" s="97"/>
      <c r="B41" s="97"/>
      <c r="C41" s="44"/>
      <c r="D41" s="44">
        <v>0</v>
      </c>
      <c r="E41" s="43">
        <v>0</v>
      </c>
      <c r="F41" s="43">
        <v>0</v>
      </c>
      <c r="G41" s="44">
        <f t="shared" si="0"/>
        <v>0</v>
      </c>
      <c r="H41" s="44">
        <f t="shared" si="1"/>
        <v>0</v>
      </c>
      <c r="I41" s="91">
        <v>0</v>
      </c>
      <c r="J41" s="104">
        <v>0</v>
      </c>
      <c r="K41" s="104">
        <v>0</v>
      </c>
      <c r="L41" s="91">
        <f t="shared" si="2"/>
        <v>0</v>
      </c>
      <c r="M41" s="91">
        <f t="shared" si="3"/>
        <v>0</v>
      </c>
      <c r="N41" s="92">
        <v>0</v>
      </c>
      <c r="O41" s="105">
        <v>0</v>
      </c>
      <c r="P41" s="105">
        <v>0</v>
      </c>
      <c r="Q41" s="92">
        <f t="shared" si="4"/>
        <v>0</v>
      </c>
      <c r="R41" s="92">
        <f t="shared" si="5"/>
        <v>0</v>
      </c>
      <c r="S41" s="93">
        <v>0</v>
      </c>
      <c r="T41" s="106">
        <v>0</v>
      </c>
      <c r="U41" s="106">
        <v>0</v>
      </c>
      <c r="V41" s="93">
        <f t="shared" si="6"/>
        <v>0</v>
      </c>
      <c r="W41" s="93">
        <f t="shared" si="7"/>
        <v>0</v>
      </c>
      <c r="X41" s="94">
        <v>0</v>
      </c>
      <c r="Y41" s="107">
        <v>0</v>
      </c>
      <c r="Z41" s="107">
        <v>0</v>
      </c>
      <c r="AA41" s="94">
        <f t="shared" si="8"/>
        <v>0</v>
      </c>
      <c r="AB41" s="94">
        <f t="shared" si="9"/>
        <v>0</v>
      </c>
    </row>
    <row r="42" spans="1:28" ht="14.25" customHeight="1">
      <c r="A42" s="97"/>
      <c r="B42" s="97"/>
      <c r="C42" s="44"/>
      <c r="D42" s="44">
        <v>0</v>
      </c>
      <c r="E42" s="43">
        <v>0</v>
      </c>
      <c r="F42" s="43">
        <v>0</v>
      </c>
      <c r="G42" s="44">
        <f t="shared" si="0"/>
        <v>0</v>
      </c>
      <c r="H42" s="44">
        <f t="shared" si="1"/>
        <v>0</v>
      </c>
      <c r="I42" s="91">
        <v>0</v>
      </c>
      <c r="J42" s="104">
        <v>0</v>
      </c>
      <c r="K42" s="104">
        <v>0</v>
      </c>
      <c r="L42" s="91">
        <f t="shared" si="2"/>
        <v>0</v>
      </c>
      <c r="M42" s="91">
        <f t="shared" si="3"/>
        <v>0</v>
      </c>
      <c r="N42" s="92">
        <v>0</v>
      </c>
      <c r="O42" s="105">
        <v>0</v>
      </c>
      <c r="P42" s="105">
        <v>0</v>
      </c>
      <c r="Q42" s="92">
        <f t="shared" si="4"/>
        <v>0</v>
      </c>
      <c r="R42" s="92">
        <f t="shared" si="5"/>
        <v>0</v>
      </c>
      <c r="S42" s="93">
        <v>0</v>
      </c>
      <c r="T42" s="106">
        <v>0</v>
      </c>
      <c r="U42" s="106">
        <v>0</v>
      </c>
      <c r="V42" s="93">
        <f t="shared" si="6"/>
        <v>0</v>
      </c>
      <c r="W42" s="93">
        <f t="shared" si="7"/>
        <v>0</v>
      </c>
      <c r="X42" s="94">
        <v>0</v>
      </c>
      <c r="Y42" s="107">
        <v>0</v>
      </c>
      <c r="Z42" s="107">
        <v>0</v>
      </c>
      <c r="AA42" s="94">
        <f t="shared" si="8"/>
        <v>0</v>
      </c>
      <c r="AB42" s="94">
        <f t="shared" si="9"/>
        <v>0</v>
      </c>
    </row>
    <row r="43" spans="1:28" ht="14.25" customHeight="1">
      <c r="A43" s="97"/>
      <c r="B43" s="97"/>
      <c r="C43" s="44"/>
      <c r="D43" s="44">
        <v>0</v>
      </c>
      <c r="E43" s="43">
        <v>0</v>
      </c>
      <c r="F43" s="43">
        <v>0</v>
      </c>
      <c r="G43" s="44">
        <f t="shared" si="0"/>
        <v>0</v>
      </c>
      <c r="H43" s="44">
        <f t="shared" si="1"/>
        <v>0</v>
      </c>
      <c r="I43" s="91">
        <v>0</v>
      </c>
      <c r="J43" s="104">
        <v>0</v>
      </c>
      <c r="K43" s="104">
        <v>0</v>
      </c>
      <c r="L43" s="91">
        <f t="shared" si="2"/>
        <v>0</v>
      </c>
      <c r="M43" s="91">
        <f t="shared" si="3"/>
        <v>0</v>
      </c>
      <c r="N43" s="92">
        <v>0</v>
      </c>
      <c r="O43" s="105">
        <v>0</v>
      </c>
      <c r="P43" s="105">
        <v>0</v>
      </c>
      <c r="Q43" s="92">
        <f t="shared" si="4"/>
        <v>0</v>
      </c>
      <c r="R43" s="92">
        <f t="shared" si="5"/>
        <v>0</v>
      </c>
      <c r="S43" s="93">
        <v>0</v>
      </c>
      <c r="T43" s="106">
        <v>0</v>
      </c>
      <c r="U43" s="106">
        <v>0</v>
      </c>
      <c r="V43" s="93">
        <f t="shared" si="6"/>
        <v>0</v>
      </c>
      <c r="W43" s="93">
        <f t="shared" si="7"/>
        <v>0</v>
      </c>
      <c r="X43" s="94">
        <v>0</v>
      </c>
      <c r="Y43" s="107">
        <v>0</v>
      </c>
      <c r="Z43" s="107">
        <v>0</v>
      </c>
      <c r="AA43" s="94">
        <f t="shared" si="8"/>
        <v>0</v>
      </c>
      <c r="AB43" s="94">
        <f t="shared" si="9"/>
        <v>0</v>
      </c>
    </row>
    <row r="44" spans="1:28" ht="14.25" customHeight="1">
      <c r="A44" s="97"/>
      <c r="B44" s="97"/>
      <c r="C44" s="44"/>
      <c r="D44" s="44">
        <v>0</v>
      </c>
      <c r="E44" s="43">
        <v>0</v>
      </c>
      <c r="F44" s="43">
        <v>0</v>
      </c>
      <c r="G44" s="44">
        <f t="shared" si="0"/>
        <v>0</v>
      </c>
      <c r="H44" s="44">
        <f t="shared" si="1"/>
        <v>0</v>
      </c>
      <c r="I44" s="91">
        <v>0</v>
      </c>
      <c r="J44" s="104">
        <v>0</v>
      </c>
      <c r="K44" s="104">
        <v>0</v>
      </c>
      <c r="L44" s="91">
        <f t="shared" si="2"/>
        <v>0</v>
      </c>
      <c r="M44" s="91">
        <f t="shared" si="3"/>
        <v>0</v>
      </c>
      <c r="N44" s="92">
        <v>0</v>
      </c>
      <c r="O44" s="105">
        <v>0</v>
      </c>
      <c r="P44" s="105">
        <v>0</v>
      </c>
      <c r="Q44" s="92">
        <f t="shared" si="4"/>
        <v>0</v>
      </c>
      <c r="R44" s="92">
        <f t="shared" si="5"/>
        <v>0</v>
      </c>
      <c r="S44" s="93">
        <v>0</v>
      </c>
      <c r="T44" s="106">
        <v>0</v>
      </c>
      <c r="U44" s="106">
        <v>0</v>
      </c>
      <c r="V44" s="93">
        <f t="shared" si="6"/>
        <v>0</v>
      </c>
      <c r="W44" s="93">
        <f t="shared" si="7"/>
        <v>0</v>
      </c>
      <c r="X44" s="94">
        <v>0</v>
      </c>
      <c r="Y44" s="107">
        <v>0</v>
      </c>
      <c r="Z44" s="107">
        <v>0</v>
      </c>
      <c r="AA44" s="94">
        <f t="shared" si="8"/>
        <v>0</v>
      </c>
      <c r="AB44" s="94">
        <f t="shared" si="9"/>
        <v>0</v>
      </c>
    </row>
    <row r="45" spans="1:28" ht="14.25" customHeight="1">
      <c r="A45" s="97"/>
      <c r="B45" s="97"/>
      <c r="C45" s="44"/>
      <c r="D45" s="44">
        <v>0</v>
      </c>
      <c r="E45" s="43">
        <v>0</v>
      </c>
      <c r="F45" s="43">
        <v>0</v>
      </c>
      <c r="G45" s="44">
        <f t="shared" si="0"/>
        <v>0</v>
      </c>
      <c r="H45" s="44">
        <f t="shared" si="1"/>
        <v>0</v>
      </c>
      <c r="I45" s="91">
        <v>0</v>
      </c>
      <c r="J45" s="104">
        <v>0</v>
      </c>
      <c r="K45" s="104">
        <v>0</v>
      </c>
      <c r="L45" s="91">
        <f t="shared" si="2"/>
        <v>0</v>
      </c>
      <c r="M45" s="91">
        <f t="shared" si="3"/>
        <v>0</v>
      </c>
      <c r="N45" s="92">
        <v>0</v>
      </c>
      <c r="O45" s="105">
        <v>0</v>
      </c>
      <c r="P45" s="105">
        <v>0</v>
      </c>
      <c r="Q45" s="92">
        <f t="shared" si="4"/>
        <v>0</v>
      </c>
      <c r="R45" s="92">
        <f t="shared" si="5"/>
        <v>0</v>
      </c>
      <c r="S45" s="93">
        <v>0</v>
      </c>
      <c r="T45" s="106">
        <v>0</v>
      </c>
      <c r="U45" s="106">
        <v>0</v>
      </c>
      <c r="V45" s="93">
        <f t="shared" si="6"/>
        <v>0</v>
      </c>
      <c r="W45" s="93">
        <f t="shared" si="7"/>
        <v>0</v>
      </c>
      <c r="X45" s="94">
        <v>0</v>
      </c>
      <c r="Y45" s="107">
        <v>0</v>
      </c>
      <c r="Z45" s="107">
        <v>0</v>
      </c>
      <c r="AA45" s="94">
        <f t="shared" si="8"/>
        <v>0</v>
      </c>
      <c r="AB45" s="94">
        <f t="shared" si="9"/>
        <v>0</v>
      </c>
    </row>
    <row r="46" spans="1:28" ht="14.25" customHeight="1">
      <c r="A46" s="97"/>
      <c r="B46" s="97"/>
      <c r="C46" s="44"/>
      <c r="D46" s="44">
        <v>0</v>
      </c>
      <c r="E46" s="43">
        <v>0</v>
      </c>
      <c r="F46" s="43">
        <v>0</v>
      </c>
      <c r="G46" s="44">
        <f t="shared" si="0"/>
        <v>0</v>
      </c>
      <c r="H46" s="44">
        <f t="shared" si="1"/>
        <v>0</v>
      </c>
      <c r="I46" s="91">
        <v>0</v>
      </c>
      <c r="J46" s="104">
        <v>0</v>
      </c>
      <c r="K46" s="104">
        <v>0</v>
      </c>
      <c r="L46" s="91">
        <f t="shared" si="2"/>
        <v>0</v>
      </c>
      <c r="M46" s="91">
        <f t="shared" si="3"/>
        <v>0</v>
      </c>
      <c r="N46" s="92">
        <v>0</v>
      </c>
      <c r="O46" s="105">
        <v>0</v>
      </c>
      <c r="P46" s="105">
        <v>0</v>
      </c>
      <c r="Q46" s="92">
        <f t="shared" si="4"/>
        <v>0</v>
      </c>
      <c r="R46" s="92">
        <f t="shared" si="5"/>
        <v>0</v>
      </c>
      <c r="S46" s="93">
        <v>0</v>
      </c>
      <c r="T46" s="106">
        <v>0</v>
      </c>
      <c r="U46" s="106">
        <v>0</v>
      </c>
      <c r="V46" s="93">
        <f t="shared" si="6"/>
        <v>0</v>
      </c>
      <c r="W46" s="93">
        <f t="shared" si="7"/>
        <v>0</v>
      </c>
      <c r="X46" s="94">
        <v>0</v>
      </c>
      <c r="Y46" s="107">
        <v>0</v>
      </c>
      <c r="Z46" s="107">
        <v>0</v>
      </c>
      <c r="AA46" s="94">
        <f t="shared" si="8"/>
        <v>0</v>
      </c>
      <c r="AB46" s="94">
        <f t="shared" si="9"/>
        <v>0</v>
      </c>
    </row>
    <row r="47" spans="1:28" ht="14.25" customHeight="1">
      <c r="A47" s="97"/>
      <c r="B47" s="97"/>
      <c r="C47" s="44"/>
      <c r="D47" s="44">
        <v>0</v>
      </c>
      <c r="E47" s="43">
        <v>0</v>
      </c>
      <c r="F47" s="43">
        <v>0</v>
      </c>
      <c r="G47" s="44">
        <f t="shared" si="0"/>
        <v>0</v>
      </c>
      <c r="H47" s="44">
        <f t="shared" si="1"/>
        <v>0</v>
      </c>
      <c r="I47" s="91">
        <v>0</v>
      </c>
      <c r="J47" s="104">
        <v>0</v>
      </c>
      <c r="K47" s="104">
        <v>0</v>
      </c>
      <c r="L47" s="91">
        <f t="shared" si="2"/>
        <v>0</v>
      </c>
      <c r="M47" s="91">
        <f t="shared" si="3"/>
        <v>0</v>
      </c>
      <c r="N47" s="92">
        <v>0</v>
      </c>
      <c r="O47" s="105">
        <v>0</v>
      </c>
      <c r="P47" s="105">
        <v>0</v>
      </c>
      <c r="Q47" s="92">
        <f t="shared" si="4"/>
        <v>0</v>
      </c>
      <c r="R47" s="92">
        <f t="shared" si="5"/>
        <v>0</v>
      </c>
      <c r="S47" s="93">
        <v>0</v>
      </c>
      <c r="T47" s="106">
        <v>0</v>
      </c>
      <c r="U47" s="106">
        <v>0</v>
      </c>
      <c r="V47" s="93">
        <f t="shared" si="6"/>
        <v>0</v>
      </c>
      <c r="W47" s="93">
        <f t="shared" si="7"/>
        <v>0</v>
      </c>
      <c r="X47" s="94">
        <v>0</v>
      </c>
      <c r="Y47" s="107">
        <v>0</v>
      </c>
      <c r="Z47" s="107">
        <v>0</v>
      </c>
      <c r="AA47" s="94">
        <f t="shared" si="8"/>
        <v>0</v>
      </c>
      <c r="AB47" s="94">
        <f t="shared" si="9"/>
        <v>0</v>
      </c>
    </row>
    <row r="48" spans="1:28" ht="14.25" customHeight="1">
      <c r="A48" s="97"/>
      <c r="B48" s="97"/>
      <c r="C48" s="44"/>
      <c r="D48" s="44">
        <v>0</v>
      </c>
      <c r="E48" s="43">
        <v>0</v>
      </c>
      <c r="F48" s="43">
        <v>0</v>
      </c>
      <c r="G48" s="44">
        <f t="shared" si="0"/>
        <v>0</v>
      </c>
      <c r="H48" s="44">
        <f t="shared" si="1"/>
        <v>0</v>
      </c>
      <c r="I48" s="91">
        <v>0</v>
      </c>
      <c r="J48" s="104">
        <v>0</v>
      </c>
      <c r="K48" s="104">
        <v>0</v>
      </c>
      <c r="L48" s="91">
        <f t="shared" si="2"/>
        <v>0</v>
      </c>
      <c r="M48" s="91">
        <f t="shared" si="3"/>
        <v>0</v>
      </c>
      <c r="N48" s="92">
        <v>0</v>
      </c>
      <c r="O48" s="105">
        <v>0</v>
      </c>
      <c r="P48" s="105">
        <v>0</v>
      </c>
      <c r="Q48" s="92">
        <f t="shared" si="4"/>
        <v>0</v>
      </c>
      <c r="R48" s="92">
        <f t="shared" si="5"/>
        <v>0</v>
      </c>
      <c r="S48" s="93">
        <v>0</v>
      </c>
      <c r="T48" s="106">
        <v>0</v>
      </c>
      <c r="U48" s="106">
        <v>0</v>
      </c>
      <c r="V48" s="93">
        <f t="shared" si="6"/>
        <v>0</v>
      </c>
      <c r="W48" s="93">
        <f t="shared" si="7"/>
        <v>0</v>
      </c>
      <c r="X48" s="94">
        <v>0</v>
      </c>
      <c r="Y48" s="107">
        <v>0</v>
      </c>
      <c r="Z48" s="107">
        <v>0</v>
      </c>
      <c r="AA48" s="94">
        <f t="shared" si="8"/>
        <v>0</v>
      </c>
      <c r="AB48" s="94">
        <f t="shared" si="9"/>
        <v>0</v>
      </c>
    </row>
    <row r="49" spans="1:28" ht="14.25" customHeight="1">
      <c r="A49" s="97"/>
      <c r="B49" s="97"/>
      <c r="C49" s="44"/>
      <c r="D49" s="44">
        <v>0</v>
      </c>
      <c r="E49" s="43">
        <v>0</v>
      </c>
      <c r="F49" s="43">
        <v>0</v>
      </c>
      <c r="G49" s="44">
        <f t="shared" si="0"/>
        <v>0</v>
      </c>
      <c r="H49" s="44">
        <f t="shared" si="1"/>
        <v>0</v>
      </c>
      <c r="I49" s="91">
        <v>0</v>
      </c>
      <c r="J49" s="104">
        <v>0</v>
      </c>
      <c r="K49" s="104">
        <v>0</v>
      </c>
      <c r="L49" s="91">
        <f t="shared" si="2"/>
        <v>0</v>
      </c>
      <c r="M49" s="91">
        <f t="shared" si="3"/>
        <v>0</v>
      </c>
      <c r="N49" s="92">
        <v>0</v>
      </c>
      <c r="O49" s="105">
        <v>0</v>
      </c>
      <c r="P49" s="105">
        <v>0</v>
      </c>
      <c r="Q49" s="92">
        <f t="shared" si="4"/>
        <v>0</v>
      </c>
      <c r="R49" s="92">
        <f t="shared" si="5"/>
        <v>0</v>
      </c>
      <c r="S49" s="93">
        <v>0</v>
      </c>
      <c r="T49" s="106">
        <v>0</v>
      </c>
      <c r="U49" s="106">
        <v>0</v>
      </c>
      <c r="V49" s="93">
        <f t="shared" si="6"/>
        <v>0</v>
      </c>
      <c r="W49" s="93">
        <f t="shared" si="7"/>
        <v>0</v>
      </c>
      <c r="X49" s="94">
        <v>0</v>
      </c>
      <c r="Y49" s="107">
        <v>0</v>
      </c>
      <c r="Z49" s="107">
        <v>0</v>
      </c>
      <c r="AA49" s="94">
        <f t="shared" si="8"/>
        <v>0</v>
      </c>
      <c r="AB49" s="94">
        <f t="shared" si="9"/>
        <v>0</v>
      </c>
    </row>
    <row r="50" spans="1:28" ht="14.25" customHeight="1">
      <c r="A50" s="97"/>
      <c r="B50" s="97"/>
      <c r="C50" s="44"/>
      <c r="D50" s="44">
        <v>0</v>
      </c>
      <c r="E50" s="43">
        <v>0</v>
      </c>
      <c r="F50" s="43">
        <v>0</v>
      </c>
      <c r="G50" s="44">
        <f t="shared" si="0"/>
        <v>0</v>
      </c>
      <c r="H50" s="44">
        <f t="shared" si="1"/>
        <v>0</v>
      </c>
      <c r="I50" s="91">
        <v>0</v>
      </c>
      <c r="J50" s="104">
        <v>0</v>
      </c>
      <c r="K50" s="104">
        <v>0</v>
      </c>
      <c r="L50" s="91">
        <f t="shared" si="2"/>
        <v>0</v>
      </c>
      <c r="M50" s="91">
        <f t="shared" si="3"/>
        <v>0</v>
      </c>
      <c r="N50" s="92">
        <v>0</v>
      </c>
      <c r="O50" s="105">
        <v>0</v>
      </c>
      <c r="P50" s="105">
        <v>0</v>
      </c>
      <c r="Q50" s="92">
        <f t="shared" si="4"/>
        <v>0</v>
      </c>
      <c r="R50" s="92">
        <f t="shared" si="5"/>
        <v>0</v>
      </c>
      <c r="S50" s="93">
        <v>0</v>
      </c>
      <c r="T50" s="106">
        <v>0</v>
      </c>
      <c r="U50" s="106">
        <v>0</v>
      </c>
      <c r="V50" s="93">
        <f t="shared" si="6"/>
        <v>0</v>
      </c>
      <c r="W50" s="93">
        <f t="shared" si="7"/>
        <v>0</v>
      </c>
      <c r="X50" s="94">
        <v>0</v>
      </c>
      <c r="Y50" s="107">
        <v>0</v>
      </c>
      <c r="Z50" s="107">
        <v>0</v>
      </c>
      <c r="AA50" s="94">
        <f t="shared" si="8"/>
        <v>0</v>
      </c>
      <c r="AB50" s="94">
        <f t="shared" si="9"/>
        <v>0</v>
      </c>
    </row>
    <row r="51" spans="1:28" ht="14.25" customHeight="1">
      <c r="A51" s="97"/>
      <c r="B51" s="97"/>
      <c r="C51" s="44"/>
      <c r="D51" s="44">
        <v>0</v>
      </c>
      <c r="E51" s="43">
        <v>0</v>
      </c>
      <c r="F51" s="43">
        <v>0</v>
      </c>
      <c r="G51" s="44">
        <f t="shared" si="0"/>
        <v>0</v>
      </c>
      <c r="H51" s="44">
        <f t="shared" si="1"/>
        <v>0</v>
      </c>
      <c r="I51" s="91">
        <v>0</v>
      </c>
      <c r="J51" s="104">
        <v>0</v>
      </c>
      <c r="K51" s="104">
        <v>0</v>
      </c>
      <c r="L51" s="91">
        <f t="shared" si="2"/>
        <v>0</v>
      </c>
      <c r="M51" s="91">
        <f t="shared" si="3"/>
        <v>0</v>
      </c>
      <c r="N51" s="92">
        <v>0</v>
      </c>
      <c r="O51" s="105">
        <v>0</v>
      </c>
      <c r="P51" s="105">
        <v>0</v>
      </c>
      <c r="Q51" s="92">
        <f t="shared" si="4"/>
        <v>0</v>
      </c>
      <c r="R51" s="92">
        <f t="shared" si="5"/>
        <v>0</v>
      </c>
      <c r="S51" s="93">
        <v>0</v>
      </c>
      <c r="T51" s="106">
        <v>0</v>
      </c>
      <c r="U51" s="106">
        <v>0</v>
      </c>
      <c r="V51" s="93">
        <f t="shared" si="6"/>
        <v>0</v>
      </c>
      <c r="W51" s="93">
        <f t="shared" si="7"/>
        <v>0</v>
      </c>
      <c r="X51" s="94">
        <v>0</v>
      </c>
      <c r="Y51" s="107">
        <v>0</v>
      </c>
      <c r="Z51" s="107">
        <v>0</v>
      </c>
      <c r="AA51" s="94">
        <f t="shared" si="8"/>
        <v>0</v>
      </c>
      <c r="AB51" s="94">
        <f t="shared" si="9"/>
        <v>0</v>
      </c>
    </row>
    <row r="52" spans="1:28" ht="14.25" customHeight="1">
      <c r="A52" s="97"/>
      <c r="B52" s="97"/>
      <c r="C52" s="44"/>
      <c r="D52" s="44">
        <v>0</v>
      </c>
      <c r="E52" s="43">
        <v>0</v>
      </c>
      <c r="F52" s="43">
        <v>0</v>
      </c>
      <c r="G52" s="44">
        <f t="shared" si="0"/>
        <v>0</v>
      </c>
      <c r="H52" s="44">
        <f t="shared" si="1"/>
        <v>0</v>
      </c>
      <c r="I52" s="91">
        <v>0</v>
      </c>
      <c r="J52" s="104">
        <v>0</v>
      </c>
      <c r="K52" s="104">
        <v>0</v>
      </c>
      <c r="L52" s="91">
        <f t="shared" si="2"/>
        <v>0</v>
      </c>
      <c r="M52" s="91">
        <f t="shared" si="3"/>
        <v>0</v>
      </c>
      <c r="N52" s="92">
        <v>0</v>
      </c>
      <c r="O52" s="105">
        <v>0</v>
      </c>
      <c r="P52" s="105">
        <v>0</v>
      </c>
      <c r="Q52" s="92">
        <f t="shared" si="4"/>
        <v>0</v>
      </c>
      <c r="R52" s="92">
        <f t="shared" si="5"/>
        <v>0</v>
      </c>
      <c r="S52" s="93">
        <v>0</v>
      </c>
      <c r="T52" s="106">
        <v>0</v>
      </c>
      <c r="U52" s="106">
        <v>0</v>
      </c>
      <c r="V52" s="93">
        <f t="shared" si="6"/>
        <v>0</v>
      </c>
      <c r="W52" s="93">
        <f t="shared" si="7"/>
        <v>0</v>
      </c>
      <c r="X52" s="94">
        <v>0</v>
      </c>
      <c r="Y52" s="107">
        <v>0</v>
      </c>
      <c r="Z52" s="107">
        <v>0</v>
      </c>
      <c r="AA52" s="94">
        <f t="shared" si="8"/>
        <v>0</v>
      </c>
      <c r="AB52" s="94">
        <f t="shared" si="9"/>
        <v>0</v>
      </c>
    </row>
    <row r="53" spans="1:28" ht="14.25" customHeight="1">
      <c r="A53" s="97"/>
      <c r="B53" s="97"/>
      <c r="C53" s="44"/>
      <c r="D53" s="44">
        <v>900</v>
      </c>
      <c r="E53" s="43">
        <v>90</v>
      </c>
      <c r="F53" s="43">
        <v>8</v>
      </c>
      <c r="G53" s="44">
        <f t="shared" si="0"/>
        <v>82</v>
      </c>
      <c r="H53" s="44">
        <f t="shared" si="1"/>
        <v>73800</v>
      </c>
      <c r="I53" s="91">
        <v>900</v>
      </c>
      <c r="J53" s="104">
        <v>90</v>
      </c>
      <c r="K53" s="104">
        <v>8</v>
      </c>
      <c r="L53" s="91">
        <f t="shared" si="2"/>
        <v>82</v>
      </c>
      <c r="M53" s="91">
        <f t="shared" si="3"/>
        <v>73800</v>
      </c>
      <c r="N53" s="92">
        <v>900</v>
      </c>
      <c r="O53" s="105">
        <v>90</v>
      </c>
      <c r="P53" s="105">
        <v>8</v>
      </c>
      <c r="Q53" s="92">
        <f t="shared" si="4"/>
        <v>82</v>
      </c>
      <c r="R53" s="92">
        <f t="shared" si="5"/>
        <v>73800</v>
      </c>
      <c r="S53" s="93">
        <v>900</v>
      </c>
      <c r="T53" s="106">
        <v>90</v>
      </c>
      <c r="U53" s="106">
        <v>8</v>
      </c>
      <c r="V53" s="93">
        <f t="shared" si="6"/>
        <v>82</v>
      </c>
      <c r="W53" s="93">
        <f t="shared" si="7"/>
        <v>73800</v>
      </c>
      <c r="X53" s="94">
        <v>900</v>
      </c>
      <c r="Y53" s="107">
        <v>90</v>
      </c>
      <c r="Z53" s="107">
        <v>8</v>
      </c>
      <c r="AA53" s="94">
        <f t="shared" si="8"/>
        <v>82</v>
      </c>
      <c r="AB53" s="94">
        <f t="shared" si="9"/>
        <v>73800</v>
      </c>
    </row>
    <row r="54" spans="1:28" ht="14.25" customHeight="1">
      <c r="A54" s="97"/>
      <c r="B54" s="97"/>
      <c r="C54" s="44"/>
      <c r="D54" s="44">
        <v>0</v>
      </c>
      <c r="E54" s="43">
        <v>0</v>
      </c>
      <c r="F54" s="43">
        <v>0</v>
      </c>
      <c r="G54" s="44">
        <f t="shared" si="0"/>
        <v>0</v>
      </c>
      <c r="H54" s="44">
        <f t="shared" si="1"/>
        <v>0</v>
      </c>
      <c r="I54" s="91">
        <v>0</v>
      </c>
      <c r="J54" s="104">
        <v>0</v>
      </c>
      <c r="K54" s="104">
        <v>0</v>
      </c>
      <c r="L54" s="91">
        <f t="shared" si="2"/>
        <v>0</v>
      </c>
      <c r="M54" s="91">
        <f t="shared" si="3"/>
        <v>0</v>
      </c>
      <c r="N54" s="92">
        <v>0</v>
      </c>
      <c r="O54" s="105">
        <v>0</v>
      </c>
      <c r="P54" s="105">
        <v>0</v>
      </c>
      <c r="Q54" s="92">
        <f t="shared" si="4"/>
        <v>0</v>
      </c>
      <c r="R54" s="92">
        <f t="shared" si="5"/>
        <v>0</v>
      </c>
      <c r="S54" s="93">
        <v>0</v>
      </c>
      <c r="T54" s="106">
        <v>0</v>
      </c>
      <c r="U54" s="106">
        <v>0</v>
      </c>
      <c r="V54" s="93">
        <f t="shared" si="6"/>
        <v>0</v>
      </c>
      <c r="W54" s="93">
        <f t="shared" si="7"/>
        <v>0</v>
      </c>
      <c r="X54" s="94">
        <v>0</v>
      </c>
      <c r="Y54" s="107">
        <v>0</v>
      </c>
      <c r="Z54" s="107">
        <v>0</v>
      </c>
      <c r="AA54" s="94">
        <f t="shared" si="8"/>
        <v>0</v>
      </c>
      <c r="AB54" s="94">
        <f t="shared" si="9"/>
        <v>0</v>
      </c>
    </row>
    <row r="55" spans="1:28" ht="14.25" customHeight="1">
      <c r="A55" s="97"/>
      <c r="B55" s="97"/>
      <c r="C55" s="44"/>
      <c r="D55" s="44">
        <v>0</v>
      </c>
      <c r="E55" s="43">
        <v>0</v>
      </c>
      <c r="F55" s="43">
        <v>0</v>
      </c>
      <c r="G55" s="44">
        <f t="shared" si="0"/>
        <v>0</v>
      </c>
      <c r="H55" s="44">
        <f t="shared" si="1"/>
        <v>0</v>
      </c>
      <c r="I55" s="91">
        <v>0</v>
      </c>
      <c r="J55" s="104">
        <v>0</v>
      </c>
      <c r="K55" s="104">
        <v>0</v>
      </c>
      <c r="L55" s="91">
        <f t="shared" si="2"/>
        <v>0</v>
      </c>
      <c r="M55" s="91">
        <f t="shared" si="3"/>
        <v>0</v>
      </c>
      <c r="N55" s="92">
        <v>0</v>
      </c>
      <c r="O55" s="105">
        <v>0</v>
      </c>
      <c r="P55" s="105">
        <v>0</v>
      </c>
      <c r="Q55" s="92">
        <f t="shared" si="4"/>
        <v>0</v>
      </c>
      <c r="R55" s="92">
        <f t="shared" si="5"/>
        <v>0</v>
      </c>
      <c r="S55" s="93">
        <v>0</v>
      </c>
      <c r="T55" s="106">
        <v>0</v>
      </c>
      <c r="U55" s="106">
        <v>0</v>
      </c>
      <c r="V55" s="93">
        <f t="shared" si="6"/>
        <v>0</v>
      </c>
      <c r="W55" s="93">
        <f t="shared" si="7"/>
        <v>0</v>
      </c>
      <c r="X55" s="94">
        <v>0</v>
      </c>
      <c r="Y55" s="107">
        <v>0</v>
      </c>
      <c r="Z55" s="107">
        <v>0</v>
      </c>
      <c r="AA55" s="94">
        <f t="shared" si="8"/>
        <v>0</v>
      </c>
      <c r="AB55" s="94">
        <f t="shared" si="9"/>
        <v>0</v>
      </c>
    </row>
    <row r="56" spans="1:28" ht="14.25" customHeight="1">
      <c r="A56" s="97"/>
      <c r="B56" s="97"/>
      <c r="C56" s="44"/>
      <c r="D56" s="44">
        <v>0</v>
      </c>
      <c r="E56" s="43">
        <v>0</v>
      </c>
      <c r="F56" s="43">
        <v>0</v>
      </c>
      <c r="G56" s="44">
        <f t="shared" si="0"/>
        <v>0</v>
      </c>
      <c r="H56" s="44">
        <f t="shared" si="1"/>
        <v>0</v>
      </c>
      <c r="I56" s="91">
        <v>0</v>
      </c>
      <c r="J56" s="104">
        <v>0</v>
      </c>
      <c r="K56" s="104">
        <v>0</v>
      </c>
      <c r="L56" s="91">
        <f t="shared" si="2"/>
        <v>0</v>
      </c>
      <c r="M56" s="91">
        <f t="shared" si="3"/>
        <v>0</v>
      </c>
      <c r="N56" s="92">
        <v>0</v>
      </c>
      <c r="O56" s="105">
        <v>0</v>
      </c>
      <c r="P56" s="105">
        <v>0</v>
      </c>
      <c r="Q56" s="92">
        <f t="shared" si="4"/>
        <v>0</v>
      </c>
      <c r="R56" s="92">
        <f t="shared" si="5"/>
        <v>0</v>
      </c>
      <c r="S56" s="93">
        <v>0</v>
      </c>
      <c r="T56" s="106">
        <v>0</v>
      </c>
      <c r="U56" s="106">
        <v>0</v>
      </c>
      <c r="V56" s="93">
        <f t="shared" si="6"/>
        <v>0</v>
      </c>
      <c r="W56" s="93">
        <f t="shared" si="7"/>
        <v>0</v>
      </c>
      <c r="X56" s="94">
        <v>0</v>
      </c>
      <c r="Y56" s="107">
        <v>0</v>
      </c>
      <c r="Z56" s="107">
        <v>0</v>
      </c>
      <c r="AA56" s="94">
        <f t="shared" si="8"/>
        <v>0</v>
      </c>
      <c r="AB56" s="94">
        <f t="shared" si="9"/>
        <v>0</v>
      </c>
    </row>
    <row r="57" spans="1:28" ht="14.25" customHeight="1">
      <c r="A57" s="97"/>
      <c r="B57" s="97"/>
      <c r="C57" s="44"/>
      <c r="D57" s="44">
        <v>0</v>
      </c>
      <c r="E57" s="43">
        <v>0</v>
      </c>
      <c r="F57" s="43">
        <v>0</v>
      </c>
      <c r="G57" s="44">
        <f t="shared" si="0"/>
        <v>0</v>
      </c>
      <c r="H57" s="44">
        <f t="shared" si="1"/>
        <v>0</v>
      </c>
      <c r="I57" s="91">
        <v>0</v>
      </c>
      <c r="J57" s="104">
        <v>0</v>
      </c>
      <c r="K57" s="104">
        <v>0</v>
      </c>
      <c r="L57" s="91">
        <f t="shared" si="2"/>
        <v>0</v>
      </c>
      <c r="M57" s="91">
        <f t="shared" si="3"/>
        <v>0</v>
      </c>
      <c r="N57" s="92">
        <v>0</v>
      </c>
      <c r="O57" s="105">
        <v>0</v>
      </c>
      <c r="P57" s="105">
        <v>0</v>
      </c>
      <c r="Q57" s="92">
        <f t="shared" si="4"/>
        <v>0</v>
      </c>
      <c r="R57" s="92">
        <f t="shared" si="5"/>
        <v>0</v>
      </c>
      <c r="S57" s="93">
        <v>0</v>
      </c>
      <c r="T57" s="106">
        <v>0</v>
      </c>
      <c r="U57" s="106">
        <v>0</v>
      </c>
      <c r="V57" s="93">
        <f t="shared" si="6"/>
        <v>0</v>
      </c>
      <c r="W57" s="93">
        <f t="shared" si="7"/>
        <v>0</v>
      </c>
      <c r="X57" s="94">
        <v>0</v>
      </c>
      <c r="Y57" s="107">
        <v>0</v>
      </c>
      <c r="Z57" s="107">
        <v>0</v>
      </c>
      <c r="AA57" s="94">
        <f t="shared" si="8"/>
        <v>0</v>
      </c>
      <c r="AB57" s="94">
        <f t="shared" si="9"/>
        <v>0</v>
      </c>
    </row>
    <row r="58" spans="1:28" ht="14.25" customHeight="1">
      <c r="A58" s="97"/>
      <c r="B58" s="97"/>
      <c r="C58" s="44"/>
      <c r="D58" s="44">
        <v>0</v>
      </c>
      <c r="E58" s="43">
        <v>0</v>
      </c>
      <c r="F58" s="43">
        <v>0</v>
      </c>
      <c r="G58" s="44">
        <f t="shared" si="0"/>
        <v>0</v>
      </c>
      <c r="H58" s="44">
        <f t="shared" si="1"/>
        <v>0</v>
      </c>
      <c r="I58" s="91">
        <v>0</v>
      </c>
      <c r="J58" s="104">
        <v>0</v>
      </c>
      <c r="K58" s="104">
        <v>0</v>
      </c>
      <c r="L58" s="91">
        <f t="shared" si="2"/>
        <v>0</v>
      </c>
      <c r="M58" s="91">
        <f t="shared" si="3"/>
        <v>0</v>
      </c>
      <c r="N58" s="92">
        <v>0</v>
      </c>
      <c r="O58" s="105">
        <v>0</v>
      </c>
      <c r="P58" s="105">
        <v>0</v>
      </c>
      <c r="Q58" s="92">
        <f t="shared" si="4"/>
        <v>0</v>
      </c>
      <c r="R58" s="92">
        <f t="shared" si="5"/>
        <v>0</v>
      </c>
      <c r="S58" s="93">
        <v>0</v>
      </c>
      <c r="T58" s="106">
        <v>0</v>
      </c>
      <c r="U58" s="106">
        <v>0</v>
      </c>
      <c r="V58" s="93">
        <f t="shared" si="6"/>
        <v>0</v>
      </c>
      <c r="W58" s="93">
        <f t="shared" si="7"/>
        <v>0</v>
      </c>
      <c r="X58" s="94">
        <v>0</v>
      </c>
      <c r="Y58" s="107">
        <v>0</v>
      </c>
      <c r="Z58" s="107">
        <v>0</v>
      </c>
      <c r="AA58" s="94">
        <f t="shared" si="8"/>
        <v>0</v>
      </c>
      <c r="AB58" s="94">
        <f t="shared" si="9"/>
        <v>0</v>
      </c>
    </row>
    <row r="59" spans="1:28" ht="14.25" customHeight="1">
      <c r="A59" s="97"/>
      <c r="B59" s="97"/>
      <c r="C59" s="44"/>
      <c r="D59" s="44">
        <v>0</v>
      </c>
      <c r="E59" s="43">
        <v>0</v>
      </c>
      <c r="F59" s="43">
        <v>0</v>
      </c>
      <c r="G59" s="44">
        <f t="shared" si="0"/>
        <v>0</v>
      </c>
      <c r="H59" s="44">
        <f t="shared" si="1"/>
        <v>0</v>
      </c>
      <c r="I59" s="91">
        <v>0</v>
      </c>
      <c r="J59" s="104">
        <v>0</v>
      </c>
      <c r="K59" s="104">
        <v>0</v>
      </c>
      <c r="L59" s="91">
        <f t="shared" si="2"/>
        <v>0</v>
      </c>
      <c r="M59" s="91">
        <f t="shared" si="3"/>
        <v>0</v>
      </c>
      <c r="N59" s="92">
        <v>0</v>
      </c>
      <c r="O59" s="105">
        <v>0</v>
      </c>
      <c r="P59" s="105">
        <v>0</v>
      </c>
      <c r="Q59" s="92">
        <f t="shared" si="4"/>
        <v>0</v>
      </c>
      <c r="R59" s="92">
        <f t="shared" si="5"/>
        <v>0</v>
      </c>
      <c r="S59" s="93">
        <v>0</v>
      </c>
      <c r="T59" s="106">
        <v>0</v>
      </c>
      <c r="U59" s="106">
        <v>0</v>
      </c>
      <c r="V59" s="93">
        <f t="shared" si="6"/>
        <v>0</v>
      </c>
      <c r="W59" s="93">
        <f t="shared" si="7"/>
        <v>0</v>
      </c>
      <c r="X59" s="94">
        <v>0</v>
      </c>
      <c r="Y59" s="107">
        <v>0</v>
      </c>
      <c r="Z59" s="107">
        <v>0</v>
      </c>
      <c r="AA59" s="94">
        <f t="shared" si="8"/>
        <v>0</v>
      </c>
      <c r="AB59" s="94">
        <f t="shared" si="9"/>
        <v>0</v>
      </c>
    </row>
    <row r="60" spans="1:28" ht="14.25" customHeight="1">
      <c r="A60" s="97"/>
      <c r="B60" s="97"/>
      <c r="C60" s="44"/>
      <c r="D60" s="44">
        <v>0</v>
      </c>
      <c r="E60" s="43">
        <v>0</v>
      </c>
      <c r="F60" s="43">
        <v>0</v>
      </c>
      <c r="G60" s="44">
        <f t="shared" si="0"/>
        <v>0</v>
      </c>
      <c r="H60" s="44">
        <f t="shared" si="1"/>
        <v>0</v>
      </c>
      <c r="I60" s="91">
        <v>0</v>
      </c>
      <c r="J60" s="104">
        <v>0</v>
      </c>
      <c r="K60" s="104">
        <v>0</v>
      </c>
      <c r="L60" s="91">
        <f t="shared" si="2"/>
        <v>0</v>
      </c>
      <c r="M60" s="91">
        <f t="shared" si="3"/>
        <v>0</v>
      </c>
      <c r="N60" s="92">
        <v>0</v>
      </c>
      <c r="O60" s="105">
        <v>0</v>
      </c>
      <c r="P60" s="105">
        <v>0</v>
      </c>
      <c r="Q60" s="92">
        <f t="shared" si="4"/>
        <v>0</v>
      </c>
      <c r="R60" s="92">
        <f t="shared" si="5"/>
        <v>0</v>
      </c>
      <c r="S60" s="93">
        <v>0</v>
      </c>
      <c r="T60" s="106">
        <v>0</v>
      </c>
      <c r="U60" s="106">
        <v>0</v>
      </c>
      <c r="V60" s="93">
        <f t="shared" si="6"/>
        <v>0</v>
      </c>
      <c r="W60" s="93">
        <f t="shared" si="7"/>
        <v>0</v>
      </c>
      <c r="X60" s="94">
        <v>0</v>
      </c>
      <c r="Y60" s="107">
        <v>0</v>
      </c>
      <c r="Z60" s="107">
        <v>0</v>
      </c>
      <c r="AA60" s="94">
        <f t="shared" si="8"/>
        <v>0</v>
      </c>
      <c r="AB60" s="94">
        <f t="shared" si="9"/>
        <v>0</v>
      </c>
    </row>
    <row r="61" spans="1:28" ht="14.25" customHeight="1">
      <c r="A61" s="97"/>
      <c r="B61" s="97"/>
      <c r="C61" s="44"/>
      <c r="D61" s="44">
        <v>0</v>
      </c>
      <c r="E61" s="43">
        <v>0</v>
      </c>
      <c r="F61" s="43">
        <v>0</v>
      </c>
      <c r="G61" s="44">
        <f t="shared" si="0"/>
        <v>0</v>
      </c>
      <c r="H61" s="44">
        <f t="shared" si="1"/>
        <v>0</v>
      </c>
      <c r="I61" s="91">
        <v>0</v>
      </c>
      <c r="J61" s="104">
        <v>0</v>
      </c>
      <c r="K61" s="104">
        <v>0</v>
      </c>
      <c r="L61" s="91">
        <f t="shared" si="2"/>
        <v>0</v>
      </c>
      <c r="M61" s="91">
        <f t="shared" si="3"/>
        <v>0</v>
      </c>
      <c r="N61" s="92">
        <v>0</v>
      </c>
      <c r="O61" s="105">
        <v>0</v>
      </c>
      <c r="P61" s="105">
        <v>0</v>
      </c>
      <c r="Q61" s="92">
        <f t="shared" si="4"/>
        <v>0</v>
      </c>
      <c r="R61" s="92">
        <f t="shared" si="5"/>
        <v>0</v>
      </c>
      <c r="S61" s="93">
        <v>0</v>
      </c>
      <c r="T61" s="106">
        <v>0</v>
      </c>
      <c r="U61" s="106">
        <v>0</v>
      </c>
      <c r="V61" s="93">
        <f t="shared" si="6"/>
        <v>0</v>
      </c>
      <c r="W61" s="93">
        <f t="shared" si="7"/>
        <v>0</v>
      </c>
      <c r="X61" s="94">
        <v>0</v>
      </c>
      <c r="Y61" s="107">
        <v>0</v>
      </c>
      <c r="Z61" s="107">
        <v>0</v>
      </c>
      <c r="AA61" s="94">
        <f t="shared" si="8"/>
        <v>0</v>
      </c>
      <c r="AB61" s="94">
        <f t="shared" si="9"/>
        <v>0</v>
      </c>
    </row>
    <row r="62" spans="1:28" ht="14.25" customHeight="1">
      <c r="A62" s="97"/>
      <c r="B62" s="97"/>
      <c r="C62" s="44"/>
      <c r="D62" s="44">
        <v>0</v>
      </c>
      <c r="E62" s="43">
        <v>0</v>
      </c>
      <c r="F62" s="43">
        <v>0</v>
      </c>
      <c r="G62" s="44">
        <f t="shared" si="0"/>
        <v>0</v>
      </c>
      <c r="H62" s="44">
        <f t="shared" si="1"/>
        <v>0</v>
      </c>
      <c r="I62" s="91">
        <v>0</v>
      </c>
      <c r="J62" s="104">
        <v>0</v>
      </c>
      <c r="K62" s="104">
        <v>0</v>
      </c>
      <c r="L62" s="91">
        <f t="shared" si="2"/>
        <v>0</v>
      </c>
      <c r="M62" s="91">
        <f t="shared" si="3"/>
        <v>0</v>
      </c>
      <c r="N62" s="92">
        <v>0</v>
      </c>
      <c r="O62" s="105">
        <v>0</v>
      </c>
      <c r="P62" s="105">
        <v>0</v>
      </c>
      <c r="Q62" s="92">
        <f t="shared" si="4"/>
        <v>0</v>
      </c>
      <c r="R62" s="92">
        <f t="shared" si="5"/>
        <v>0</v>
      </c>
      <c r="S62" s="93">
        <v>0</v>
      </c>
      <c r="T62" s="106">
        <v>0</v>
      </c>
      <c r="U62" s="106">
        <v>0</v>
      </c>
      <c r="V62" s="93">
        <f t="shared" si="6"/>
        <v>0</v>
      </c>
      <c r="W62" s="93">
        <f t="shared" si="7"/>
        <v>0</v>
      </c>
      <c r="X62" s="94">
        <v>0</v>
      </c>
      <c r="Y62" s="107">
        <v>0</v>
      </c>
      <c r="Z62" s="107">
        <v>0</v>
      </c>
      <c r="AA62" s="94">
        <f t="shared" si="8"/>
        <v>0</v>
      </c>
      <c r="AB62" s="94">
        <f t="shared" si="9"/>
        <v>0</v>
      </c>
    </row>
    <row r="63" spans="1:28" ht="14.25" customHeight="1">
      <c r="A63" s="97"/>
      <c r="B63" s="97"/>
      <c r="C63" s="44"/>
      <c r="D63" s="44">
        <v>0</v>
      </c>
      <c r="E63" s="43">
        <v>0</v>
      </c>
      <c r="F63" s="43">
        <v>0</v>
      </c>
      <c r="G63" s="44">
        <f t="shared" si="0"/>
        <v>0</v>
      </c>
      <c r="H63" s="44">
        <f t="shared" si="1"/>
        <v>0</v>
      </c>
      <c r="I63" s="91">
        <v>0</v>
      </c>
      <c r="J63" s="104">
        <v>0</v>
      </c>
      <c r="K63" s="104">
        <v>0</v>
      </c>
      <c r="L63" s="91">
        <f t="shared" si="2"/>
        <v>0</v>
      </c>
      <c r="M63" s="91">
        <f t="shared" si="3"/>
        <v>0</v>
      </c>
      <c r="N63" s="92">
        <v>0</v>
      </c>
      <c r="O63" s="105">
        <v>0</v>
      </c>
      <c r="P63" s="105">
        <v>0</v>
      </c>
      <c r="Q63" s="92">
        <f t="shared" si="4"/>
        <v>0</v>
      </c>
      <c r="R63" s="92">
        <f t="shared" si="5"/>
        <v>0</v>
      </c>
      <c r="S63" s="93">
        <v>0</v>
      </c>
      <c r="T63" s="106">
        <v>0</v>
      </c>
      <c r="U63" s="106">
        <v>0</v>
      </c>
      <c r="V63" s="93">
        <f t="shared" si="6"/>
        <v>0</v>
      </c>
      <c r="W63" s="93">
        <f t="shared" si="7"/>
        <v>0</v>
      </c>
      <c r="X63" s="94">
        <v>0</v>
      </c>
      <c r="Y63" s="107">
        <v>0</v>
      </c>
      <c r="Z63" s="107">
        <v>0</v>
      </c>
      <c r="AA63" s="94">
        <f t="shared" si="8"/>
        <v>0</v>
      </c>
      <c r="AB63" s="94">
        <f t="shared" si="9"/>
        <v>0</v>
      </c>
    </row>
    <row r="64" spans="1:28" ht="14.25" customHeight="1">
      <c r="A64" s="97"/>
      <c r="B64" s="97"/>
      <c r="C64" s="44"/>
      <c r="D64" s="44">
        <v>0</v>
      </c>
      <c r="E64" s="43">
        <v>0</v>
      </c>
      <c r="F64" s="43">
        <v>0</v>
      </c>
      <c r="G64" s="44">
        <f t="shared" si="0"/>
        <v>0</v>
      </c>
      <c r="H64" s="44">
        <f t="shared" si="1"/>
        <v>0</v>
      </c>
      <c r="I64" s="91">
        <v>0</v>
      </c>
      <c r="J64" s="104">
        <v>0</v>
      </c>
      <c r="K64" s="104">
        <v>0</v>
      </c>
      <c r="L64" s="91">
        <f t="shared" si="2"/>
        <v>0</v>
      </c>
      <c r="M64" s="91">
        <f t="shared" si="3"/>
        <v>0</v>
      </c>
      <c r="N64" s="92">
        <v>0</v>
      </c>
      <c r="O64" s="105">
        <v>0</v>
      </c>
      <c r="P64" s="105">
        <v>0</v>
      </c>
      <c r="Q64" s="92">
        <f t="shared" si="4"/>
        <v>0</v>
      </c>
      <c r="R64" s="92">
        <f t="shared" si="5"/>
        <v>0</v>
      </c>
      <c r="S64" s="93">
        <v>0</v>
      </c>
      <c r="T64" s="106">
        <v>0</v>
      </c>
      <c r="U64" s="106">
        <v>0</v>
      </c>
      <c r="V64" s="93">
        <f t="shared" si="6"/>
        <v>0</v>
      </c>
      <c r="W64" s="93">
        <f t="shared" si="7"/>
        <v>0</v>
      </c>
      <c r="X64" s="94">
        <v>0</v>
      </c>
      <c r="Y64" s="107">
        <v>0</v>
      </c>
      <c r="Z64" s="107">
        <v>0</v>
      </c>
      <c r="AA64" s="94">
        <f t="shared" si="8"/>
        <v>0</v>
      </c>
      <c r="AB64" s="94">
        <f t="shared" si="9"/>
        <v>0</v>
      </c>
    </row>
    <row r="65" spans="1:28" ht="14.25" customHeight="1">
      <c r="A65" s="97"/>
      <c r="B65" s="97"/>
      <c r="C65" s="44"/>
      <c r="D65" s="44">
        <v>0</v>
      </c>
      <c r="E65" s="43">
        <v>0</v>
      </c>
      <c r="F65" s="43">
        <v>0</v>
      </c>
      <c r="G65" s="44">
        <f t="shared" si="0"/>
        <v>0</v>
      </c>
      <c r="H65" s="44">
        <f t="shared" si="1"/>
        <v>0</v>
      </c>
      <c r="I65" s="91">
        <v>0</v>
      </c>
      <c r="J65" s="104">
        <v>0</v>
      </c>
      <c r="K65" s="104">
        <v>0</v>
      </c>
      <c r="L65" s="91">
        <f t="shared" si="2"/>
        <v>0</v>
      </c>
      <c r="M65" s="91">
        <f t="shared" si="3"/>
        <v>0</v>
      </c>
      <c r="N65" s="92">
        <v>0</v>
      </c>
      <c r="O65" s="105">
        <v>0</v>
      </c>
      <c r="P65" s="105">
        <v>0</v>
      </c>
      <c r="Q65" s="92">
        <f t="shared" si="4"/>
        <v>0</v>
      </c>
      <c r="R65" s="92">
        <f t="shared" si="5"/>
        <v>0</v>
      </c>
      <c r="S65" s="93">
        <v>0</v>
      </c>
      <c r="T65" s="106">
        <v>0</v>
      </c>
      <c r="U65" s="106">
        <v>0</v>
      </c>
      <c r="V65" s="93">
        <f t="shared" si="6"/>
        <v>0</v>
      </c>
      <c r="W65" s="93">
        <f t="shared" si="7"/>
        <v>0</v>
      </c>
      <c r="X65" s="94">
        <v>0</v>
      </c>
      <c r="Y65" s="107">
        <v>0</v>
      </c>
      <c r="Z65" s="107">
        <v>0</v>
      </c>
      <c r="AA65" s="94">
        <f t="shared" si="8"/>
        <v>0</v>
      </c>
      <c r="AB65" s="94">
        <f t="shared" si="9"/>
        <v>0</v>
      </c>
    </row>
    <row r="66" spans="1:28" ht="14.25" customHeight="1">
      <c r="A66" s="97"/>
      <c r="B66" s="97"/>
      <c r="C66" s="44"/>
      <c r="D66" s="44">
        <v>0</v>
      </c>
      <c r="E66" s="43">
        <v>0</v>
      </c>
      <c r="F66" s="43">
        <v>0</v>
      </c>
      <c r="G66" s="44">
        <f t="shared" si="0"/>
        <v>0</v>
      </c>
      <c r="H66" s="44">
        <f t="shared" si="1"/>
        <v>0</v>
      </c>
      <c r="I66" s="91">
        <v>0</v>
      </c>
      <c r="J66" s="104">
        <v>0</v>
      </c>
      <c r="K66" s="104">
        <v>0</v>
      </c>
      <c r="L66" s="91">
        <f t="shared" si="2"/>
        <v>0</v>
      </c>
      <c r="M66" s="91">
        <f t="shared" si="3"/>
        <v>0</v>
      </c>
      <c r="N66" s="92">
        <v>0</v>
      </c>
      <c r="O66" s="105">
        <v>0</v>
      </c>
      <c r="P66" s="105">
        <v>0</v>
      </c>
      <c r="Q66" s="92">
        <f t="shared" si="4"/>
        <v>0</v>
      </c>
      <c r="R66" s="92">
        <f t="shared" si="5"/>
        <v>0</v>
      </c>
      <c r="S66" s="93">
        <v>0</v>
      </c>
      <c r="T66" s="106">
        <v>0</v>
      </c>
      <c r="U66" s="106">
        <v>0</v>
      </c>
      <c r="V66" s="93">
        <f t="shared" si="6"/>
        <v>0</v>
      </c>
      <c r="W66" s="93">
        <f t="shared" si="7"/>
        <v>0</v>
      </c>
      <c r="X66" s="94">
        <v>0</v>
      </c>
      <c r="Y66" s="107">
        <v>0</v>
      </c>
      <c r="Z66" s="107">
        <v>0</v>
      </c>
      <c r="AA66" s="94">
        <f t="shared" si="8"/>
        <v>0</v>
      </c>
      <c r="AB66" s="94">
        <f t="shared" si="9"/>
        <v>0</v>
      </c>
    </row>
    <row r="67" spans="1:28" ht="14.25" customHeight="1">
      <c r="A67" s="97"/>
      <c r="B67" s="97"/>
      <c r="C67" s="44"/>
      <c r="D67" s="44">
        <v>0</v>
      </c>
      <c r="E67" s="43">
        <v>0</v>
      </c>
      <c r="F67" s="43">
        <v>0</v>
      </c>
      <c r="G67" s="44">
        <f t="shared" si="0"/>
        <v>0</v>
      </c>
      <c r="H67" s="44">
        <f t="shared" si="1"/>
        <v>0</v>
      </c>
      <c r="I67" s="91">
        <v>0</v>
      </c>
      <c r="J67" s="104">
        <v>0</v>
      </c>
      <c r="K67" s="104">
        <v>0</v>
      </c>
      <c r="L67" s="91">
        <f t="shared" si="2"/>
        <v>0</v>
      </c>
      <c r="M67" s="91">
        <f t="shared" si="3"/>
        <v>0</v>
      </c>
      <c r="N67" s="92">
        <v>0</v>
      </c>
      <c r="O67" s="105">
        <v>0</v>
      </c>
      <c r="P67" s="105">
        <v>0</v>
      </c>
      <c r="Q67" s="92">
        <f t="shared" si="4"/>
        <v>0</v>
      </c>
      <c r="R67" s="92">
        <f t="shared" si="5"/>
        <v>0</v>
      </c>
      <c r="S67" s="93">
        <v>0</v>
      </c>
      <c r="T67" s="106">
        <v>0</v>
      </c>
      <c r="U67" s="106">
        <v>0</v>
      </c>
      <c r="V67" s="93">
        <f t="shared" si="6"/>
        <v>0</v>
      </c>
      <c r="W67" s="93">
        <f t="shared" si="7"/>
        <v>0</v>
      </c>
      <c r="X67" s="94">
        <v>0</v>
      </c>
      <c r="Y67" s="107">
        <v>0</v>
      </c>
      <c r="Z67" s="107">
        <v>0</v>
      </c>
      <c r="AA67" s="94">
        <f t="shared" si="8"/>
        <v>0</v>
      </c>
      <c r="AB67" s="94">
        <f t="shared" si="9"/>
        <v>0</v>
      </c>
    </row>
    <row r="68" spans="1:28" ht="14.25" customHeight="1">
      <c r="A68" s="97"/>
      <c r="B68" s="97"/>
      <c r="C68" s="44"/>
      <c r="D68" s="44">
        <v>0</v>
      </c>
      <c r="E68" s="43">
        <v>0</v>
      </c>
      <c r="F68" s="43">
        <v>0</v>
      </c>
      <c r="G68" s="44">
        <f t="shared" si="0"/>
        <v>0</v>
      </c>
      <c r="H68" s="44">
        <f t="shared" si="1"/>
        <v>0</v>
      </c>
      <c r="I68" s="91">
        <v>0</v>
      </c>
      <c r="J68" s="104">
        <v>0</v>
      </c>
      <c r="K68" s="104">
        <v>0</v>
      </c>
      <c r="L68" s="91">
        <f t="shared" si="2"/>
        <v>0</v>
      </c>
      <c r="M68" s="91">
        <f t="shared" si="3"/>
        <v>0</v>
      </c>
      <c r="N68" s="92">
        <v>0</v>
      </c>
      <c r="O68" s="105">
        <v>0</v>
      </c>
      <c r="P68" s="105">
        <v>0</v>
      </c>
      <c r="Q68" s="92">
        <f t="shared" si="4"/>
        <v>0</v>
      </c>
      <c r="R68" s="92">
        <f t="shared" si="5"/>
        <v>0</v>
      </c>
      <c r="S68" s="93">
        <v>0</v>
      </c>
      <c r="T68" s="106">
        <v>0</v>
      </c>
      <c r="U68" s="106">
        <v>0</v>
      </c>
      <c r="V68" s="93">
        <f t="shared" si="6"/>
        <v>0</v>
      </c>
      <c r="W68" s="93">
        <f t="shared" si="7"/>
        <v>0</v>
      </c>
      <c r="X68" s="94">
        <v>0</v>
      </c>
      <c r="Y68" s="107">
        <v>0</v>
      </c>
      <c r="Z68" s="107">
        <v>0</v>
      </c>
      <c r="AA68" s="94">
        <f t="shared" si="8"/>
        <v>0</v>
      </c>
      <c r="AB68" s="94">
        <f t="shared" si="9"/>
        <v>0</v>
      </c>
    </row>
    <row r="69" spans="1:28" ht="14.25" customHeight="1">
      <c r="A69" s="97"/>
      <c r="B69" s="97"/>
      <c r="C69" s="44"/>
      <c r="D69" s="44">
        <v>0</v>
      </c>
      <c r="E69" s="43">
        <v>0</v>
      </c>
      <c r="F69" s="43">
        <v>0</v>
      </c>
      <c r="G69" s="44">
        <f t="shared" si="0"/>
        <v>0</v>
      </c>
      <c r="H69" s="44">
        <f t="shared" si="1"/>
        <v>0</v>
      </c>
      <c r="I69" s="91">
        <v>0</v>
      </c>
      <c r="J69" s="104">
        <v>0</v>
      </c>
      <c r="K69" s="104">
        <v>0</v>
      </c>
      <c r="L69" s="91">
        <f t="shared" si="2"/>
        <v>0</v>
      </c>
      <c r="M69" s="91">
        <f t="shared" si="3"/>
        <v>0</v>
      </c>
      <c r="N69" s="92">
        <v>0</v>
      </c>
      <c r="O69" s="105">
        <v>0</v>
      </c>
      <c r="P69" s="105">
        <v>0</v>
      </c>
      <c r="Q69" s="92">
        <f t="shared" si="4"/>
        <v>0</v>
      </c>
      <c r="R69" s="92">
        <f t="shared" si="5"/>
        <v>0</v>
      </c>
      <c r="S69" s="93">
        <v>0</v>
      </c>
      <c r="T69" s="106">
        <v>0</v>
      </c>
      <c r="U69" s="106">
        <v>0</v>
      </c>
      <c r="V69" s="93">
        <f t="shared" si="6"/>
        <v>0</v>
      </c>
      <c r="W69" s="93">
        <f t="shared" si="7"/>
        <v>0</v>
      </c>
      <c r="X69" s="94">
        <v>0</v>
      </c>
      <c r="Y69" s="107">
        <v>0</v>
      </c>
      <c r="Z69" s="107">
        <v>0</v>
      </c>
      <c r="AA69" s="94">
        <f t="shared" si="8"/>
        <v>0</v>
      </c>
      <c r="AB69" s="94">
        <f t="shared" si="9"/>
        <v>0</v>
      </c>
    </row>
    <row r="70" spans="1:28" ht="14.25" customHeight="1">
      <c r="A70" s="97"/>
      <c r="B70" s="97"/>
      <c r="C70" s="44"/>
      <c r="D70" s="44">
        <v>0</v>
      </c>
      <c r="E70" s="43">
        <v>0</v>
      </c>
      <c r="F70" s="43">
        <v>0</v>
      </c>
      <c r="G70" s="44">
        <f t="shared" si="0"/>
        <v>0</v>
      </c>
      <c r="H70" s="44">
        <f t="shared" si="1"/>
        <v>0</v>
      </c>
      <c r="I70" s="91">
        <v>0</v>
      </c>
      <c r="J70" s="104">
        <v>0</v>
      </c>
      <c r="K70" s="104">
        <v>0</v>
      </c>
      <c r="L70" s="91">
        <f t="shared" si="2"/>
        <v>0</v>
      </c>
      <c r="M70" s="91">
        <f t="shared" si="3"/>
        <v>0</v>
      </c>
      <c r="N70" s="92">
        <v>0</v>
      </c>
      <c r="O70" s="105">
        <v>0</v>
      </c>
      <c r="P70" s="105">
        <v>0</v>
      </c>
      <c r="Q70" s="92">
        <f t="shared" si="4"/>
        <v>0</v>
      </c>
      <c r="R70" s="92">
        <f t="shared" si="5"/>
        <v>0</v>
      </c>
      <c r="S70" s="93">
        <v>0</v>
      </c>
      <c r="T70" s="106">
        <v>0</v>
      </c>
      <c r="U70" s="106">
        <v>0</v>
      </c>
      <c r="V70" s="93">
        <f t="shared" si="6"/>
        <v>0</v>
      </c>
      <c r="W70" s="93">
        <f t="shared" si="7"/>
        <v>0</v>
      </c>
      <c r="X70" s="94">
        <v>0</v>
      </c>
      <c r="Y70" s="107">
        <v>0</v>
      </c>
      <c r="Z70" s="107">
        <v>0</v>
      </c>
      <c r="AA70" s="94">
        <f t="shared" si="8"/>
        <v>0</v>
      </c>
      <c r="AB70" s="94">
        <f t="shared" si="9"/>
        <v>0</v>
      </c>
    </row>
    <row r="71" spans="1:28" ht="14.25" customHeight="1">
      <c r="A71" s="97"/>
      <c r="B71" s="97"/>
      <c r="C71" s="44"/>
      <c r="D71" s="44">
        <v>0</v>
      </c>
      <c r="E71" s="43">
        <v>0</v>
      </c>
      <c r="F71" s="43">
        <v>0</v>
      </c>
      <c r="G71" s="44">
        <f t="shared" si="0"/>
        <v>0</v>
      </c>
      <c r="H71" s="44">
        <f t="shared" si="1"/>
        <v>0</v>
      </c>
      <c r="I71" s="91">
        <v>0</v>
      </c>
      <c r="J71" s="104">
        <v>0</v>
      </c>
      <c r="K71" s="104">
        <v>0</v>
      </c>
      <c r="L71" s="91">
        <f t="shared" si="2"/>
        <v>0</v>
      </c>
      <c r="M71" s="91">
        <f t="shared" si="3"/>
        <v>0</v>
      </c>
      <c r="N71" s="92">
        <v>0</v>
      </c>
      <c r="O71" s="105">
        <v>0</v>
      </c>
      <c r="P71" s="105">
        <v>0</v>
      </c>
      <c r="Q71" s="92">
        <f t="shared" si="4"/>
        <v>0</v>
      </c>
      <c r="R71" s="92">
        <f t="shared" si="5"/>
        <v>0</v>
      </c>
      <c r="S71" s="93">
        <v>0</v>
      </c>
      <c r="T71" s="106">
        <v>0</v>
      </c>
      <c r="U71" s="106">
        <v>0</v>
      </c>
      <c r="V71" s="93">
        <f t="shared" si="6"/>
        <v>0</v>
      </c>
      <c r="W71" s="93">
        <f t="shared" si="7"/>
        <v>0</v>
      </c>
      <c r="X71" s="94">
        <v>0</v>
      </c>
      <c r="Y71" s="107">
        <v>0</v>
      </c>
      <c r="Z71" s="107">
        <v>0</v>
      </c>
      <c r="AA71" s="94">
        <f t="shared" si="8"/>
        <v>0</v>
      </c>
      <c r="AB71" s="94">
        <f t="shared" si="9"/>
        <v>0</v>
      </c>
    </row>
    <row r="72" spans="1:28" ht="14.25" customHeight="1">
      <c r="A72" s="97"/>
      <c r="B72" s="97"/>
      <c r="C72" s="44"/>
      <c r="D72" s="44">
        <v>0</v>
      </c>
      <c r="E72" s="43">
        <v>0</v>
      </c>
      <c r="F72" s="43">
        <v>0</v>
      </c>
      <c r="G72" s="44">
        <f t="shared" si="0"/>
        <v>0</v>
      </c>
      <c r="H72" s="44">
        <f t="shared" si="1"/>
        <v>0</v>
      </c>
      <c r="I72" s="91">
        <v>0</v>
      </c>
      <c r="J72" s="104">
        <v>0</v>
      </c>
      <c r="K72" s="104">
        <v>0</v>
      </c>
      <c r="L72" s="91">
        <f t="shared" si="2"/>
        <v>0</v>
      </c>
      <c r="M72" s="91">
        <f t="shared" si="3"/>
        <v>0</v>
      </c>
      <c r="N72" s="92">
        <v>0</v>
      </c>
      <c r="O72" s="105">
        <v>0</v>
      </c>
      <c r="P72" s="105">
        <v>0</v>
      </c>
      <c r="Q72" s="92">
        <f t="shared" si="4"/>
        <v>0</v>
      </c>
      <c r="R72" s="92">
        <f t="shared" si="5"/>
        <v>0</v>
      </c>
      <c r="S72" s="93">
        <v>0</v>
      </c>
      <c r="T72" s="106">
        <v>0</v>
      </c>
      <c r="U72" s="106">
        <v>0</v>
      </c>
      <c r="V72" s="93">
        <f t="shared" si="6"/>
        <v>0</v>
      </c>
      <c r="W72" s="93">
        <f t="shared" si="7"/>
        <v>0</v>
      </c>
      <c r="X72" s="94">
        <v>0</v>
      </c>
      <c r="Y72" s="107">
        <v>0</v>
      </c>
      <c r="Z72" s="107">
        <v>0</v>
      </c>
      <c r="AA72" s="94">
        <f t="shared" si="8"/>
        <v>0</v>
      </c>
      <c r="AB72" s="94">
        <f t="shared" si="9"/>
        <v>0</v>
      </c>
    </row>
    <row r="73" spans="1:28" ht="14.25" customHeight="1">
      <c r="A73" s="97"/>
      <c r="B73" s="97"/>
      <c r="C73" s="44"/>
      <c r="D73" s="44">
        <v>0</v>
      </c>
      <c r="E73" s="43">
        <v>0</v>
      </c>
      <c r="F73" s="43">
        <v>0</v>
      </c>
      <c r="G73" s="44">
        <f t="shared" si="0"/>
        <v>0</v>
      </c>
      <c r="H73" s="44">
        <f t="shared" si="1"/>
        <v>0</v>
      </c>
      <c r="I73" s="91">
        <v>0</v>
      </c>
      <c r="J73" s="104">
        <v>0</v>
      </c>
      <c r="K73" s="104">
        <v>0</v>
      </c>
      <c r="L73" s="91">
        <f t="shared" si="2"/>
        <v>0</v>
      </c>
      <c r="M73" s="91">
        <f t="shared" si="3"/>
        <v>0</v>
      </c>
      <c r="N73" s="92">
        <v>0</v>
      </c>
      <c r="O73" s="105">
        <v>0</v>
      </c>
      <c r="P73" s="105">
        <v>0</v>
      </c>
      <c r="Q73" s="92">
        <f t="shared" si="4"/>
        <v>0</v>
      </c>
      <c r="R73" s="92">
        <f t="shared" si="5"/>
        <v>0</v>
      </c>
      <c r="S73" s="93">
        <v>0</v>
      </c>
      <c r="T73" s="106">
        <v>0</v>
      </c>
      <c r="U73" s="106">
        <v>0</v>
      </c>
      <c r="V73" s="93">
        <f t="shared" si="6"/>
        <v>0</v>
      </c>
      <c r="W73" s="93">
        <f t="shared" si="7"/>
        <v>0</v>
      </c>
      <c r="X73" s="94">
        <v>0</v>
      </c>
      <c r="Y73" s="107">
        <v>0</v>
      </c>
      <c r="Z73" s="107">
        <v>0</v>
      </c>
      <c r="AA73" s="94">
        <f t="shared" si="8"/>
        <v>0</v>
      </c>
      <c r="AB73" s="94">
        <f t="shared" si="9"/>
        <v>0</v>
      </c>
    </row>
    <row r="74" spans="1:28" ht="14.25" customHeight="1">
      <c r="A74" s="97"/>
      <c r="B74" s="97"/>
      <c r="C74" s="44"/>
      <c r="D74" s="44">
        <v>0</v>
      </c>
      <c r="E74" s="43">
        <v>0</v>
      </c>
      <c r="F74" s="43">
        <v>0</v>
      </c>
      <c r="G74" s="44">
        <f t="shared" si="0"/>
        <v>0</v>
      </c>
      <c r="H74" s="44">
        <f t="shared" si="1"/>
        <v>0</v>
      </c>
      <c r="I74" s="91">
        <v>0</v>
      </c>
      <c r="J74" s="104">
        <v>0</v>
      </c>
      <c r="K74" s="104">
        <v>0</v>
      </c>
      <c r="L74" s="91">
        <f t="shared" si="2"/>
        <v>0</v>
      </c>
      <c r="M74" s="91">
        <f t="shared" si="3"/>
        <v>0</v>
      </c>
      <c r="N74" s="92">
        <v>0</v>
      </c>
      <c r="O74" s="105">
        <v>0</v>
      </c>
      <c r="P74" s="105">
        <v>0</v>
      </c>
      <c r="Q74" s="92">
        <f t="shared" si="4"/>
        <v>0</v>
      </c>
      <c r="R74" s="92">
        <f t="shared" si="5"/>
        <v>0</v>
      </c>
      <c r="S74" s="93">
        <v>0</v>
      </c>
      <c r="T74" s="106">
        <v>0</v>
      </c>
      <c r="U74" s="106">
        <v>0</v>
      </c>
      <c r="V74" s="93">
        <f t="shared" si="6"/>
        <v>0</v>
      </c>
      <c r="W74" s="93">
        <f t="shared" si="7"/>
        <v>0</v>
      </c>
      <c r="X74" s="94">
        <v>0</v>
      </c>
      <c r="Y74" s="107">
        <v>0</v>
      </c>
      <c r="Z74" s="107">
        <v>0</v>
      </c>
      <c r="AA74" s="94">
        <f t="shared" si="8"/>
        <v>0</v>
      </c>
      <c r="AB74" s="94">
        <f t="shared" si="9"/>
        <v>0</v>
      </c>
    </row>
    <row r="75" spans="1:28" ht="14.25" customHeight="1">
      <c r="A75" s="97"/>
      <c r="B75" s="97"/>
      <c r="C75" s="44"/>
      <c r="D75" s="44">
        <v>0</v>
      </c>
      <c r="E75" s="43">
        <v>0</v>
      </c>
      <c r="F75" s="43">
        <v>0</v>
      </c>
      <c r="G75" s="44">
        <f t="shared" si="0"/>
        <v>0</v>
      </c>
      <c r="H75" s="44">
        <f t="shared" si="1"/>
        <v>0</v>
      </c>
      <c r="I75" s="91">
        <v>0</v>
      </c>
      <c r="J75" s="104">
        <v>0</v>
      </c>
      <c r="K75" s="104">
        <v>0</v>
      </c>
      <c r="L75" s="91">
        <f t="shared" si="2"/>
        <v>0</v>
      </c>
      <c r="M75" s="91">
        <f t="shared" si="3"/>
        <v>0</v>
      </c>
      <c r="N75" s="92">
        <v>0</v>
      </c>
      <c r="O75" s="105">
        <v>0</v>
      </c>
      <c r="P75" s="105">
        <v>0</v>
      </c>
      <c r="Q75" s="92">
        <f t="shared" si="4"/>
        <v>0</v>
      </c>
      <c r="R75" s="92">
        <f t="shared" si="5"/>
        <v>0</v>
      </c>
      <c r="S75" s="93">
        <v>0</v>
      </c>
      <c r="T75" s="106">
        <v>0</v>
      </c>
      <c r="U75" s="106">
        <v>0</v>
      </c>
      <c r="V75" s="93">
        <f t="shared" si="6"/>
        <v>0</v>
      </c>
      <c r="W75" s="93">
        <f t="shared" si="7"/>
        <v>0</v>
      </c>
      <c r="X75" s="94">
        <v>0</v>
      </c>
      <c r="Y75" s="107">
        <v>0</v>
      </c>
      <c r="Z75" s="107">
        <v>0</v>
      </c>
      <c r="AA75" s="94">
        <f t="shared" si="8"/>
        <v>0</v>
      </c>
      <c r="AB75" s="94">
        <f t="shared" si="9"/>
        <v>0</v>
      </c>
    </row>
    <row r="76" spans="1:28" ht="14.25" customHeight="1">
      <c r="A76" s="97"/>
      <c r="B76" s="97"/>
      <c r="C76" s="44"/>
      <c r="D76" s="44">
        <v>0</v>
      </c>
      <c r="E76" s="43">
        <v>0</v>
      </c>
      <c r="F76" s="43">
        <v>0</v>
      </c>
      <c r="G76" s="44">
        <f t="shared" si="0"/>
        <v>0</v>
      </c>
      <c r="H76" s="44">
        <f t="shared" si="1"/>
        <v>0</v>
      </c>
      <c r="I76" s="91">
        <v>0</v>
      </c>
      <c r="J76" s="104">
        <v>0</v>
      </c>
      <c r="K76" s="104">
        <v>0</v>
      </c>
      <c r="L76" s="91">
        <f t="shared" si="2"/>
        <v>0</v>
      </c>
      <c r="M76" s="91">
        <f t="shared" si="3"/>
        <v>0</v>
      </c>
      <c r="N76" s="92">
        <v>0</v>
      </c>
      <c r="O76" s="105">
        <v>0</v>
      </c>
      <c r="P76" s="105">
        <v>0</v>
      </c>
      <c r="Q76" s="92">
        <f t="shared" si="4"/>
        <v>0</v>
      </c>
      <c r="R76" s="92">
        <f t="shared" si="5"/>
        <v>0</v>
      </c>
      <c r="S76" s="93">
        <v>0</v>
      </c>
      <c r="T76" s="106">
        <v>0</v>
      </c>
      <c r="U76" s="106">
        <v>0</v>
      </c>
      <c r="V76" s="93">
        <f t="shared" si="6"/>
        <v>0</v>
      </c>
      <c r="W76" s="93">
        <f t="shared" si="7"/>
        <v>0</v>
      </c>
      <c r="X76" s="94">
        <v>0</v>
      </c>
      <c r="Y76" s="107">
        <v>0</v>
      </c>
      <c r="Z76" s="107">
        <v>0</v>
      </c>
      <c r="AA76" s="94">
        <f t="shared" si="8"/>
        <v>0</v>
      </c>
      <c r="AB76" s="94">
        <f t="shared" si="9"/>
        <v>0</v>
      </c>
    </row>
    <row r="77" spans="1:28" ht="14.25" customHeight="1">
      <c r="A77" s="97"/>
      <c r="B77" s="97"/>
      <c r="C77" s="44"/>
      <c r="D77" s="44">
        <v>0</v>
      </c>
      <c r="E77" s="43">
        <v>0</v>
      </c>
      <c r="F77" s="43">
        <v>0</v>
      </c>
      <c r="G77" s="44">
        <f t="shared" si="0"/>
        <v>0</v>
      </c>
      <c r="H77" s="44">
        <f t="shared" si="1"/>
        <v>0</v>
      </c>
      <c r="I77" s="91">
        <v>0</v>
      </c>
      <c r="J77" s="104">
        <v>0</v>
      </c>
      <c r="K77" s="104">
        <v>0</v>
      </c>
      <c r="L77" s="91">
        <f t="shared" si="2"/>
        <v>0</v>
      </c>
      <c r="M77" s="91">
        <f t="shared" si="3"/>
        <v>0</v>
      </c>
      <c r="N77" s="92">
        <v>0</v>
      </c>
      <c r="O77" s="105">
        <v>0</v>
      </c>
      <c r="P77" s="105">
        <v>0</v>
      </c>
      <c r="Q77" s="92">
        <f t="shared" si="4"/>
        <v>0</v>
      </c>
      <c r="R77" s="92">
        <f t="shared" si="5"/>
        <v>0</v>
      </c>
      <c r="S77" s="93">
        <v>0</v>
      </c>
      <c r="T77" s="106">
        <v>0</v>
      </c>
      <c r="U77" s="106">
        <v>0</v>
      </c>
      <c r="V77" s="93">
        <f t="shared" si="6"/>
        <v>0</v>
      </c>
      <c r="W77" s="93">
        <f t="shared" si="7"/>
        <v>0</v>
      </c>
      <c r="X77" s="94">
        <v>0</v>
      </c>
      <c r="Y77" s="107">
        <v>0</v>
      </c>
      <c r="Z77" s="107">
        <v>0</v>
      </c>
      <c r="AA77" s="94">
        <f t="shared" si="8"/>
        <v>0</v>
      </c>
      <c r="AB77" s="94">
        <f t="shared" si="9"/>
        <v>0</v>
      </c>
    </row>
    <row r="78" spans="1:28" ht="14.25" customHeight="1">
      <c r="A78" s="97"/>
      <c r="B78" s="97"/>
      <c r="C78" s="44"/>
      <c r="D78" s="44">
        <v>0</v>
      </c>
      <c r="E78" s="43">
        <v>0</v>
      </c>
      <c r="F78" s="43">
        <v>0</v>
      </c>
      <c r="G78" s="44">
        <f t="shared" si="0"/>
        <v>0</v>
      </c>
      <c r="H78" s="44">
        <f t="shared" si="1"/>
        <v>0</v>
      </c>
      <c r="I78" s="91">
        <v>0</v>
      </c>
      <c r="J78" s="104">
        <v>0</v>
      </c>
      <c r="K78" s="104">
        <v>0</v>
      </c>
      <c r="L78" s="91">
        <f t="shared" si="2"/>
        <v>0</v>
      </c>
      <c r="M78" s="91">
        <f t="shared" si="3"/>
        <v>0</v>
      </c>
      <c r="N78" s="92">
        <v>0</v>
      </c>
      <c r="O78" s="105">
        <v>0</v>
      </c>
      <c r="P78" s="105">
        <v>0</v>
      </c>
      <c r="Q78" s="92">
        <f t="shared" si="4"/>
        <v>0</v>
      </c>
      <c r="R78" s="92">
        <f t="shared" si="5"/>
        <v>0</v>
      </c>
      <c r="S78" s="93">
        <v>0</v>
      </c>
      <c r="T78" s="106">
        <v>0</v>
      </c>
      <c r="U78" s="106">
        <v>0</v>
      </c>
      <c r="V78" s="93">
        <f t="shared" si="6"/>
        <v>0</v>
      </c>
      <c r="W78" s="93">
        <f t="shared" si="7"/>
        <v>0</v>
      </c>
      <c r="X78" s="94">
        <v>0</v>
      </c>
      <c r="Y78" s="107">
        <v>0</v>
      </c>
      <c r="Z78" s="107">
        <v>0</v>
      </c>
      <c r="AA78" s="94">
        <f t="shared" si="8"/>
        <v>0</v>
      </c>
      <c r="AB78" s="94">
        <f t="shared" si="9"/>
        <v>0</v>
      </c>
    </row>
    <row r="79" spans="1:28" ht="14.25" customHeight="1">
      <c r="A79" s="97"/>
      <c r="B79" s="97"/>
      <c r="C79" s="44"/>
      <c r="D79" s="44">
        <v>0</v>
      </c>
      <c r="E79" s="43">
        <v>0</v>
      </c>
      <c r="F79" s="43">
        <v>0</v>
      </c>
      <c r="G79" s="44">
        <f t="shared" si="0"/>
        <v>0</v>
      </c>
      <c r="H79" s="44">
        <f t="shared" si="1"/>
        <v>0</v>
      </c>
      <c r="I79" s="91">
        <v>0</v>
      </c>
      <c r="J79" s="104">
        <v>0</v>
      </c>
      <c r="K79" s="104">
        <v>0</v>
      </c>
      <c r="L79" s="91">
        <f t="shared" si="2"/>
        <v>0</v>
      </c>
      <c r="M79" s="91">
        <f t="shared" si="3"/>
        <v>0</v>
      </c>
      <c r="N79" s="92">
        <v>0</v>
      </c>
      <c r="O79" s="105">
        <v>0</v>
      </c>
      <c r="P79" s="105">
        <v>0</v>
      </c>
      <c r="Q79" s="92">
        <f t="shared" si="4"/>
        <v>0</v>
      </c>
      <c r="R79" s="92">
        <f t="shared" si="5"/>
        <v>0</v>
      </c>
      <c r="S79" s="93">
        <v>0</v>
      </c>
      <c r="T79" s="106">
        <v>0</v>
      </c>
      <c r="U79" s="106">
        <v>0</v>
      </c>
      <c r="V79" s="93">
        <f t="shared" si="6"/>
        <v>0</v>
      </c>
      <c r="W79" s="93">
        <f t="shared" si="7"/>
        <v>0</v>
      </c>
      <c r="X79" s="94">
        <v>0</v>
      </c>
      <c r="Y79" s="107">
        <v>0</v>
      </c>
      <c r="Z79" s="107">
        <v>0</v>
      </c>
      <c r="AA79" s="94">
        <f t="shared" si="8"/>
        <v>0</v>
      </c>
      <c r="AB79" s="94">
        <f t="shared" si="9"/>
        <v>0</v>
      </c>
    </row>
    <row r="80" spans="1:28" ht="14.25" customHeight="1">
      <c r="A80" s="97"/>
      <c r="B80" s="97"/>
      <c r="C80" s="44"/>
      <c r="D80" s="44">
        <v>0</v>
      </c>
      <c r="E80" s="43">
        <v>0</v>
      </c>
      <c r="F80" s="43">
        <v>0</v>
      </c>
      <c r="G80" s="44">
        <f t="shared" si="0"/>
        <v>0</v>
      </c>
      <c r="H80" s="44">
        <f t="shared" si="1"/>
        <v>0</v>
      </c>
      <c r="I80" s="91">
        <v>0</v>
      </c>
      <c r="J80" s="104">
        <v>0</v>
      </c>
      <c r="K80" s="104">
        <v>0</v>
      </c>
      <c r="L80" s="91">
        <f t="shared" si="2"/>
        <v>0</v>
      </c>
      <c r="M80" s="91">
        <f t="shared" si="3"/>
        <v>0</v>
      </c>
      <c r="N80" s="92">
        <v>0</v>
      </c>
      <c r="O80" s="105">
        <v>0</v>
      </c>
      <c r="P80" s="105">
        <v>0</v>
      </c>
      <c r="Q80" s="92">
        <f t="shared" si="4"/>
        <v>0</v>
      </c>
      <c r="R80" s="92">
        <f t="shared" si="5"/>
        <v>0</v>
      </c>
      <c r="S80" s="93">
        <v>0</v>
      </c>
      <c r="T80" s="106">
        <v>0</v>
      </c>
      <c r="U80" s="106">
        <v>0</v>
      </c>
      <c r="V80" s="93">
        <f t="shared" si="6"/>
        <v>0</v>
      </c>
      <c r="W80" s="93">
        <f t="shared" si="7"/>
        <v>0</v>
      </c>
      <c r="X80" s="94">
        <v>0</v>
      </c>
      <c r="Y80" s="107">
        <v>0</v>
      </c>
      <c r="Z80" s="107">
        <v>0</v>
      </c>
      <c r="AA80" s="94">
        <f t="shared" si="8"/>
        <v>0</v>
      </c>
      <c r="AB80" s="94">
        <f t="shared" si="9"/>
        <v>0</v>
      </c>
    </row>
    <row r="81" spans="1:28" ht="14.25" customHeight="1">
      <c r="A81" s="97"/>
      <c r="B81" s="97"/>
      <c r="C81" s="44"/>
      <c r="D81" s="44">
        <v>0</v>
      </c>
      <c r="E81" s="43">
        <v>0</v>
      </c>
      <c r="F81" s="43">
        <v>0</v>
      </c>
      <c r="G81" s="44">
        <f t="shared" si="0"/>
        <v>0</v>
      </c>
      <c r="H81" s="44">
        <f t="shared" si="1"/>
        <v>0</v>
      </c>
      <c r="I81" s="91">
        <v>0</v>
      </c>
      <c r="J81" s="104">
        <v>0</v>
      </c>
      <c r="K81" s="104">
        <v>0</v>
      </c>
      <c r="L81" s="91">
        <f t="shared" si="2"/>
        <v>0</v>
      </c>
      <c r="M81" s="91">
        <f t="shared" si="3"/>
        <v>0</v>
      </c>
      <c r="N81" s="92">
        <v>0</v>
      </c>
      <c r="O81" s="105">
        <v>0</v>
      </c>
      <c r="P81" s="105">
        <v>0</v>
      </c>
      <c r="Q81" s="92">
        <f t="shared" si="4"/>
        <v>0</v>
      </c>
      <c r="R81" s="92">
        <f t="shared" si="5"/>
        <v>0</v>
      </c>
      <c r="S81" s="93">
        <v>0</v>
      </c>
      <c r="T81" s="106">
        <v>0</v>
      </c>
      <c r="U81" s="106">
        <v>0</v>
      </c>
      <c r="V81" s="93">
        <f t="shared" si="6"/>
        <v>0</v>
      </c>
      <c r="W81" s="93">
        <f t="shared" si="7"/>
        <v>0</v>
      </c>
      <c r="X81" s="94">
        <v>0</v>
      </c>
      <c r="Y81" s="107">
        <v>0</v>
      </c>
      <c r="Z81" s="107">
        <v>0</v>
      </c>
      <c r="AA81" s="94">
        <f t="shared" si="8"/>
        <v>0</v>
      </c>
      <c r="AB81" s="94">
        <f t="shared" si="9"/>
        <v>0</v>
      </c>
    </row>
    <row r="82" spans="1:28" ht="14.25" customHeight="1">
      <c r="A82" s="97"/>
      <c r="B82" s="97"/>
      <c r="C82" s="44"/>
      <c r="D82" s="44">
        <v>0</v>
      </c>
      <c r="E82" s="43">
        <v>0</v>
      </c>
      <c r="F82" s="43">
        <v>0</v>
      </c>
      <c r="G82" s="44">
        <f t="shared" si="0"/>
        <v>0</v>
      </c>
      <c r="H82" s="44">
        <f t="shared" si="1"/>
        <v>0</v>
      </c>
      <c r="I82" s="91">
        <v>0</v>
      </c>
      <c r="J82" s="104">
        <v>0</v>
      </c>
      <c r="K82" s="104">
        <v>0</v>
      </c>
      <c r="L82" s="91">
        <f t="shared" si="2"/>
        <v>0</v>
      </c>
      <c r="M82" s="91">
        <f t="shared" si="3"/>
        <v>0</v>
      </c>
      <c r="N82" s="92">
        <v>0</v>
      </c>
      <c r="O82" s="105">
        <v>0</v>
      </c>
      <c r="P82" s="105">
        <v>0</v>
      </c>
      <c r="Q82" s="92">
        <f t="shared" si="4"/>
        <v>0</v>
      </c>
      <c r="R82" s="92">
        <f t="shared" si="5"/>
        <v>0</v>
      </c>
      <c r="S82" s="93">
        <v>0</v>
      </c>
      <c r="T82" s="106">
        <v>0</v>
      </c>
      <c r="U82" s="106">
        <v>0</v>
      </c>
      <c r="V82" s="93">
        <f t="shared" si="6"/>
        <v>0</v>
      </c>
      <c r="W82" s="93">
        <f t="shared" si="7"/>
        <v>0</v>
      </c>
      <c r="X82" s="94">
        <v>0</v>
      </c>
      <c r="Y82" s="107">
        <v>0</v>
      </c>
      <c r="Z82" s="107">
        <v>0</v>
      </c>
      <c r="AA82" s="94">
        <f t="shared" si="8"/>
        <v>0</v>
      </c>
      <c r="AB82" s="94">
        <f t="shared" si="9"/>
        <v>0</v>
      </c>
    </row>
    <row r="83" spans="1:28" ht="14.25" customHeight="1">
      <c r="A83" s="97"/>
      <c r="B83" s="97"/>
      <c r="C83" s="44"/>
      <c r="D83" s="44">
        <v>0</v>
      </c>
      <c r="E83" s="43">
        <v>0</v>
      </c>
      <c r="F83" s="43">
        <v>0</v>
      </c>
      <c r="G83" s="44">
        <f t="shared" si="0"/>
        <v>0</v>
      </c>
      <c r="H83" s="44">
        <f t="shared" si="1"/>
        <v>0</v>
      </c>
      <c r="I83" s="91">
        <v>0</v>
      </c>
      <c r="J83" s="104">
        <v>0</v>
      </c>
      <c r="K83" s="104">
        <v>0</v>
      </c>
      <c r="L83" s="91">
        <f t="shared" si="2"/>
        <v>0</v>
      </c>
      <c r="M83" s="91">
        <f t="shared" si="3"/>
        <v>0</v>
      </c>
      <c r="N83" s="92">
        <v>0</v>
      </c>
      <c r="O83" s="105">
        <v>0</v>
      </c>
      <c r="P83" s="105">
        <v>0</v>
      </c>
      <c r="Q83" s="92">
        <f t="shared" si="4"/>
        <v>0</v>
      </c>
      <c r="R83" s="92">
        <f t="shared" si="5"/>
        <v>0</v>
      </c>
      <c r="S83" s="93">
        <v>0</v>
      </c>
      <c r="T83" s="106">
        <v>0</v>
      </c>
      <c r="U83" s="106">
        <v>0</v>
      </c>
      <c r="V83" s="93">
        <f t="shared" si="6"/>
        <v>0</v>
      </c>
      <c r="W83" s="93">
        <f t="shared" si="7"/>
        <v>0</v>
      </c>
      <c r="X83" s="94">
        <v>0</v>
      </c>
      <c r="Y83" s="107">
        <v>0</v>
      </c>
      <c r="Z83" s="107">
        <v>0</v>
      </c>
      <c r="AA83" s="94">
        <f t="shared" si="8"/>
        <v>0</v>
      </c>
      <c r="AB83" s="94">
        <f t="shared" si="9"/>
        <v>0</v>
      </c>
    </row>
    <row r="84" spans="1:28" ht="14.25" customHeight="1">
      <c r="A84" s="97"/>
      <c r="B84" s="97"/>
      <c r="C84" s="44"/>
      <c r="D84" s="44">
        <v>0</v>
      </c>
      <c r="E84" s="43">
        <v>0</v>
      </c>
      <c r="F84" s="43">
        <v>0</v>
      </c>
      <c r="G84" s="44">
        <f t="shared" si="0"/>
        <v>0</v>
      </c>
      <c r="H84" s="44">
        <f t="shared" si="1"/>
        <v>0</v>
      </c>
      <c r="I84" s="91">
        <v>0</v>
      </c>
      <c r="J84" s="104">
        <v>0</v>
      </c>
      <c r="K84" s="104">
        <v>0</v>
      </c>
      <c r="L84" s="91">
        <f t="shared" si="2"/>
        <v>0</v>
      </c>
      <c r="M84" s="91">
        <f t="shared" si="3"/>
        <v>0</v>
      </c>
      <c r="N84" s="92">
        <v>0</v>
      </c>
      <c r="O84" s="105">
        <v>0</v>
      </c>
      <c r="P84" s="105">
        <v>0</v>
      </c>
      <c r="Q84" s="92">
        <f t="shared" si="4"/>
        <v>0</v>
      </c>
      <c r="R84" s="92">
        <f t="shared" si="5"/>
        <v>0</v>
      </c>
      <c r="S84" s="93">
        <v>0</v>
      </c>
      <c r="T84" s="106">
        <v>0</v>
      </c>
      <c r="U84" s="106">
        <v>0</v>
      </c>
      <c r="V84" s="93">
        <f t="shared" si="6"/>
        <v>0</v>
      </c>
      <c r="W84" s="93">
        <f t="shared" si="7"/>
        <v>0</v>
      </c>
      <c r="X84" s="94">
        <v>0</v>
      </c>
      <c r="Y84" s="107">
        <v>0</v>
      </c>
      <c r="Z84" s="107">
        <v>0</v>
      </c>
      <c r="AA84" s="94">
        <f t="shared" si="8"/>
        <v>0</v>
      </c>
      <c r="AB84" s="94">
        <f t="shared" si="9"/>
        <v>0</v>
      </c>
    </row>
    <row r="85" spans="1:28" ht="14.25" customHeight="1">
      <c r="A85" s="97"/>
      <c r="B85" s="97"/>
      <c r="C85" s="44"/>
      <c r="D85" s="44">
        <v>0</v>
      </c>
      <c r="E85" s="43">
        <v>0</v>
      </c>
      <c r="F85" s="43">
        <v>0</v>
      </c>
      <c r="G85" s="44">
        <f t="shared" si="0"/>
        <v>0</v>
      </c>
      <c r="H85" s="44">
        <f t="shared" si="1"/>
        <v>0</v>
      </c>
      <c r="I85" s="91">
        <v>0</v>
      </c>
      <c r="J85" s="104">
        <v>0</v>
      </c>
      <c r="K85" s="104">
        <v>0</v>
      </c>
      <c r="L85" s="91">
        <f t="shared" si="2"/>
        <v>0</v>
      </c>
      <c r="M85" s="91">
        <f t="shared" si="3"/>
        <v>0</v>
      </c>
      <c r="N85" s="92">
        <v>0</v>
      </c>
      <c r="O85" s="105">
        <v>0</v>
      </c>
      <c r="P85" s="105">
        <v>0</v>
      </c>
      <c r="Q85" s="92">
        <f t="shared" si="4"/>
        <v>0</v>
      </c>
      <c r="R85" s="92">
        <f t="shared" si="5"/>
        <v>0</v>
      </c>
      <c r="S85" s="93">
        <v>0</v>
      </c>
      <c r="T85" s="106">
        <v>0</v>
      </c>
      <c r="U85" s="106">
        <v>0</v>
      </c>
      <c r="V85" s="93">
        <f t="shared" si="6"/>
        <v>0</v>
      </c>
      <c r="W85" s="93">
        <f t="shared" si="7"/>
        <v>0</v>
      </c>
      <c r="X85" s="94">
        <v>0</v>
      </c>
      <c r="Y85" s="107">
        <v>0</v>
      </c>
      <c r="Z85" s="107">
        <v>0</v>
      </c>
      <c r="AA85" s="94">
        <f t="shared" si="8"/>
        <v>0</v>
      </c>
      <c r="AB85" s="94">
        <f t="shared" si="9"/>
        <v>0</v>
      </c>
    </row>
    <row r="86" spans="1:28" ht="14.25" customHeight="1">
      <c r="A86" s="97"/>
      <c r="B86" s="97"/>
      <c r="C86" s="44"/>
      <c r="D86" s="44">
        <v>0</v>
      </c>
      <c r="E86" s="43">
        <v>0</v>
      </c>
      <c r="F86" s="43">
        <v>0</v>
      </c>
      <c r="G86" s="44">
        <f t="shared" si="0"/>
        <v>0</v>
      </c>
      <c r="H86" s="44">
        <f t="shared" si="1"/>
        <v>0</v>
      </c>
      <c r="I86" s="91">
        <v>0</v>
      </c>
      <c r="J86" s="104">
        <v>0</v>
      </c>
      <c r="K86" s="104">
        <v>0</v>
      </c>
      <c r="L86" s="91">
        <f t="shared" si="2"/>
        <v>0</v>
      </c>
      <c r="M86" s="91">
        <f t="shared" si="3"/>
        <v>0</v>
      </c>
      <c r="N86" s="92">
        <v>0</v>
      </c>
      <c r="O86" s="105">
        <v>0</v>
      </c>
      <c r="P86" s="105">
        <v>0</v>
      </c>
      <c r="Q86" s="92">
        <f t="shared" si="4"/>
        <v>0</v>
      </c>
      <c r="R86" s="92">
        <f t="shared" si="5"/>
        <v>0</v>
      </c>
      <c r="S86" s="93">
        <v>0</v>
      </c>
      <c r="T86" s="106">
        <v>0</v>
      </c>
      <c r="U86" s="106">
        <v>0</v>
      </c>
      <c r="V86" s="93">
        <f t="shared" si="6"/>
        <v>0</v>
      </c>
      <c r="W86" s="93">
        <f t="shared" si="7"/>
        <v>0</v>
      </c>
      <c r="X86" s="94">
        <v>0</v>
      </c>
      <c r="Y86" s="107">
        <v>0</v>
      </c>
      <c r="Z86" s="107">
        <v>0</v>
      </c>
      <c r="AA86" s="94">
        <f t="shared" si="8"/>
        <v>0</v>
      </c>
      <c r="AB86" s="94">
        <f t="shared" si="9"/>
        <v>0</v>
      </c>
    </row>
    <row r="87" spans="1:28" ht="14.25" customHeight="1">
      <c r="A87" s="97"/>
      <c r="B87" s="97"/>
      <c r="C87" s="44"/>
      <c r="D87" s="44">
        <v>0</v>
      </c>
      <c r="E87" s="43">
        <v>0</v>
      </c>
      <c r="F87" s="43">
        <v>0</v>
      </c>
      <c r="G87" s="44">
        <f t="shared" si="0"/>
        <v>0</v>
      </c>
      <c r="H87" s="44">
        <f t="shared" si="1"/>
        <v>0</v>
      </c>
      <c r="I87" s="91">
        <v>0</v>
      </c>
      <c r="J87" s="104">
        <v>0</v>
      </c>
      <c r="K87" s="104">
        <v>0</v>
      </c>
      <c r="L87" s="91">
        <f t="shared" si="2"/>
        <v>0</v>
      </c>
      <c r="M87" s="91">
        <f t="shared" si="3"/>
        <v>0</v>
      </c>
      <c r="N87" s="92">
        <v>0</v>
      </c>
      <c r="O87" s="105">
        <v>0</v>
      </c>
      <c r="P87" s="105">
        <v>0</v>
      </c>
      <c r="Q87" s="92">
        <f t="shared" si="4"/>
        <v>0</v>
      </c>
      <c r="R87" s="92">
        <f t="shared" si="5"/>
        <v>0</v>
      </c>
      <c r="S87" s="93">
        <v>0</v>
      </c>
      <c r="T87" s="106">
        <v>0</v>
      </c>
      <c r="U87" s="106">
        <v>0</v>
      </c>
      <c r="V87" s="93">
        <f t="shared" si="6"/>
        <v>0</v>
      </c>
      <c r="W87" s="93">
        <f t="shared" si="7"/>
        <v>0</v>
      </c>
      <c r="X87" s="94">
        <v>0</v>
      </c>
      <c r="Y87" s="107">
        <v>0</v>
      </c>
      <c r="Z87" s="107">
        <v>0</v>
      </c>
      <c r="AA87" s="94">
        <f t="shared" si="8"/>
        <v>0</v>
      </c>
      <c r="AB87" s="94">
        <f t="shared" si="9"/>
        <v>0</v>
      </c>
    </row>
    <row r="88" spans="1:28" ht="14.25" customHeight="1">
      <c r="A88" s="97"/>
      <c r="B88" s="97"/>
      <c r="C88" s="44"/>
      <c r="D88" s="44">
        <v>0</v>
      </c>
      <c r="E88" s="43">
        <v>0</v>
      </c>
      <c r="F88" s="43">
        <v>0</v>
      </c>
      <c r="G88" s="44">
        <f t="shared" si="0"/>
        <v>0</v>
      </c>
      <c r="H88" s="44">
        <f t="shared" si="1"/>
        <v>0</v>
      </c>
      <c r="I88" s="91">
        <v>0</v>
      </c>
      <c r="J88" s="104">
        <v>0</v>
      </c>
      <c r="K88" s="104">
        <v>0</v>
      </c>
      <c r="L88" s="91">
        <f t="shared" si="2"/>
        <v>0</v>
      </c>
      <c r="M88" s="91">
        <f t="shared" si="3"/>
        <v>0</v>
      </c>
      <c r="N88" s="92">
        <v>0</v>
      </c>
      <c r="O88" s="105">
        <v>0</v>
      </c>
      <c r="P88" s="105">
        <v>0</v>
      </c>
      <c r="Q88" s="92">
        <f t="shared" si="4"/>
        <v>0</v>
      </c>
      <c r="R88" s="92">
        <f t="shared" si="5"/>
        <v>0</v>
      </c>
      <c r="S88" s="93">
        <v>0</v>
      </c>
      <c r="T88" s="106">
        <v>0</v>
      </c>
      <c r="U88" s="106">
        <v>0</v>
      </c>
      <c r="V88" s="93">
        <f t="shared" si="6"/>
        <v>0</v>
      </c>
      <c r="W88" s="93">
        <f t="shared" si="7"/>
        <v>0</v>
      </c>
      <c r="X88" s="94">
        <v>0</v>
      </c>
      <c r="Y88" s="107">
        <v>0</v>
      </c>
      <c r="Z88" s="107">
        <v>0</v>
      </c>
      <c r="AA88" s="94">
        <f t="shared" si="8"/>
        <v>0</v>
      </c>
      <c r="AB88" s="94">
        <f t="shared" si="9"/>
        <v>0</v>
      </c>
    </row>
    <row r="89" spans="1:28" ht="14.25" customHeight="1">
      <c r="A89" s="97"/>
      <c r="B89" s="97"/>
      <c r="C89" s="44"/>
      <c r="D89" s="44">
        <v>0</v>
      </c>
      <c r="E89" s="43">
        <v>0</v>
      </c>
      <c r="F89" s="43">
        <v>0</v>
      </c>
      <c r="G89" s="44">
        <f t="shared" si="0"/>
        <v>0</v>
      </c>
      <c r="H89" s="44">
        <f t="shared" si="1"/>
        <v>0</v>
      </c>
      <c r="I89" s="91">
        <v>0</v>
      </c>
      <c r="J89" s="104">
        <v>0</v>
      </c>
      <c r="K89" s="104">
        <v>0</v>
      </c>
      <c r="L89" s="91">
        <f t="shared" si="2"/>
        <v>0</v>
      </c>
      <c r="M89" s="91">
        <f t="shared" si="3"/>
        <v>0</v>
      </c>
      <c r="N89" s="92">
        <v>0</v>
      </c>
      <c r="O89" s="105">
        <v>0</v>
      </c>
      <c r="P89" s="105">
        <v>0</v>
      </c>
      <c r="Q89" s="92">
        <f t="shared" si="4"/>
        <v>0</v>
      </c>
      <c r="R89" s="92">
        <f t="shared" si="5"/>
        <v>0</v>
      </c>
      <c r="S89" s="93">
        <v>0</v>
      </c>
      <c r="T89" s="106">
        <v>0</v>
      </c>
      <c r="U89" s="106">
        <v>0</v>
      </c>
      <c r="V89" s="93">
        <f t="shared" si="6"/>
        <v>0</v>
      </c>
      <c r="W89" s="93">
        <f t="shared" si="7"/>
        <v>0</v>
      </c>
      <c r="X89" s="94">
        <v>0</v>
      </c>
      <c r="Y89" s="107">
        <v>0</v>
      </c>
      <c r="Z89" s="107">
        <v>0</v>
      </c>
      <c r="AA89" s="94">
        <f t="shared" si="8"/>
        <v>0</v>
      </c>
      <c r="AB89" s="94">
        <f t="shared" si="9"/>
        <v>0</v>
      </c>
    </row>
    <row r="90" spans="1:28" ht="14.25" customHeight="1">
      <c r="A90" s="97"/>
      <c r="B90" s="97"/>
      <c r="C90" s="44"/>
      <c r="D90" s="44">
        <v>0</v>
      </c>
      <c r="E90" s="43">
        <v>0</v>
      </c>
      <c r="F90" s="43">
        <v>0</v>
      </c>
      <c r="G90" s="44">
        <f t="shared" si="0"/>
        <v>0</v>
      </c>
      <c r="H90" s="44">
        <f t="shared" si="1"/>
        <v>0</v>
      </c>
      <c r="I90" s="91">
        <v>0</v>
      </c>
      <c r="J90" s="104">
        <v>0</v>
      </c>
      <c r="K90" s="104">
        <v>0</v>
      </c>
      <c r="L90" s="91">
        <f t="shared" si="2"/>
        <v>0</v>
      </c>
      <c r="M90" s="91">
        <f t="shared" si="3"/>
        <v>0</v>
      </c>
      <c r="N90" s="92">
        <v>0</v>
      </c>
      <c r="O90" s="105">
        <v>0</v>
      </c>
      <c r="P90" s="105">
        <v>0</v>
      </c>
      <c r="Q90" s="92">
        <f t="shared" si="4"/>
        <v>0</v>
      </c>
      <c r="R90" s="92">
        <f t="shared" si="5"/>
        <v>0</v>
      </c>
      <c r="S90" s="93">
        <v>0</v>
      </c>
      <c r="T90" s="106">
        <v>0</v>
      </c>
      <c r="U90" s="106">
        <v>0</v>
      </c>
      <c r="V90" s="93">
        <f t="shared" si="6"/>
        <v>0</v>
      </c>
      <c r="W90" s="93">
        <f t="shared" si="7"/>
        <v>0</v>
      </c>
      <c r="X90" s="94">
        <v>0</v>
      </c>
      <c r="Y90" s="107">
        <v>0</v>
      </c>
      <c r="Z90" s="107">
        <v>0</v>
      </c>
      <c r="AA90" s="94">
        <f t="shared" si="8"/>
        <v>0</v>
      </c>
      <c r="AB90" s="94">
        <f t="shared" si="9"/>
        <v>0</v>
      </c>
    </row>
    <row r="91" spans="1:28" ht="14.25" customHeight="1">
      <c r="A91" s="97"/>
      <c r="B91" s="97"/>
      <c r="C91" s="44"/>
      <c r="D91" s="44">
        <v>0</v>
      </c>
      <c r="E91" s="43">
        <v>0</v>
      </c>
      <c r="F91" s="43">
        <v>0</v>
      </c>
      <c r="G91" s="44">
        <f t="shared" si="0"/>
        <v>0</v>
      </c>
      <c r="H91" s="44">
        <f t="shared" si="1"/>
        <v>0</v>
      </c>
      <c r="I91" s="91">
        <v>0</v>
      </c>
      <c r="J91" s="104">
        <v>0</v>
      </c>
      <c r="K91" s="104">
        <v>0</v>
      </c>
      <c r="L91" s="91">
        <f t="shared" si="2"/>
        <v>0</v>
      </c>
      <c r="M91" s="91">
        <f t="shared" si="3"/>
        <v>0</v>
      </c>
      <c r="N91" s="92">
        <v>0</v>
      </c>
      <c r="O91" s="105">
        <v>0</v>
      </c>
      <c r="P91" s="105">
        <v>0</v>
      </c>
      <c r="Q91" s="92">
        <f t="shared" si="4"/>
        <v>0</v>
      </c>
      <c r="R91" s="92">
        <f t="shared" si="5"/>
        <v>0</v>
      </c>
      <c r="S91" s="93">
        <v>0</v>
      </c>
      <c r="T91" s="106">
        <v>0</v>
      </c>
      <c r="U91" s="106">
        <v>0</v>
      </c>
      <c r="V91" s="93">
        <f t="shared" si="6"/>
        <v>0</v>
      </c>
      <c r="W91" s="93">
        <f t="shared" si="7"/>
        <v>0</v>
      </c>
      <c r="X91" s="94">
        <v>0</v>
      </c>
      <c r="Y91" s="107">
        <v>0</v>
      </c>
      <c r="Z91" s="107">
        <v>0</v>
      </c>
      <c r="AA91" s="94">
        <f t="shared" si="8"/>
        <v>0</v>
      </c>
      <c r="AB91" s="94">
        <f t="shared" si="9"/>
        <v>0</v>
      </c>
    </row>
    <row r="92" spans="1:28" ht="14.25" customHeight="1">
      <c r="A92" s="97"/>
      <c r="B92" s="97"/>
      <c r="C92" s="44"/>
      <c r="D92" s="44">
        <v>0</v>
      </c>
      <c r="E92" s="43">
        <v>0</v>
      </c>
      <c r="F92" s="43">
        <v>0</v>
      </c>
      <c r="G92" s="44">
        <f t="shared" si="0"/>
        <v>0</v>
      </c>
      <c r="H92" s="44">
        <f t="shared" si="1"/>
        <v>0</v>
      </c>
      <c r="I92" s="91">
        <v>0</v>
      </c>
      <c r="J92" s="104">
        <v>0</v>
      </c>
      <c r="K92" s="104">
        <v>0</v>
      </c>
      <c r="L92" s="91">
        <f t="shared" si="2"/>
        <v>0</v>
      </c>
      <c r="M92" s="91">
        <f t="shared" si="3"/>
        <v>0</v>
      </c>
      <c r="N92" s="92">
        <v>0</v>
      </c>
      <c r="O92" s="105">
        <v>0</v>
      </c>
      <c r="P92" s="105">
        <v>0</v>
      </c>
      <c r="Q92" s="92">
        <f t="shared" si="4"/>
        <v>0</v>
      </c>
      <c r="R92" s="92">
        <f t="shared" si="5"/>
        <v>0</v>
      </c>
      <c r="S92" s="93">
        <v>0</v>
      </c>
      <c r="T92" s="106">
        <v>0</v>
      </c>
      <c r="U92" s="106">
        <v>0</v>
      </c>
      <c r="V92" s="93">
        <f t="shared" si="6"/>
        <v>0</v>
      </c>
      <c r="W92" s="93">
        <f t="shared" si="7"/>
        <v>0</v>
      </c>
      <c r="X92" s="94">
        <v>0</v>
      </c>
      <c r="Y92" s="107">
        <v>0</v>
      </c>
      <c r="Z92" s="107">
        <v>0</v>
      </c>
      <c r="AA92" s="94">
        <f t="shared" si="8"/>
        <v>0</v>
      </c>
      <c r="AB92" s="94">
        <f t="shared" si="9"/>
        <v>0</v>
      </c>
    </row>
    <row r="93" spans="1:28" ht="14.25" customHeight="1">
      <c r="A93" s="97"/>
      <c r="B93" s="97"/>
      <c r="C93" s="44"/>
      <c r="D93" s="44">
        <v>0</v>
      </c>
      <c r="E93" s="43">
        <v>0</v>
      </c>
      <c r="F93" s="43">
        <v>0</v>
      </c>
      <c r="G93" s="44">
        <f t="shared" si="0"/>
        <v>0</v>
      </c>
      <c r="H93" s="44">
        <f t="shared" si="1"/>
        <v>0</v>
      </c>
      <c r="I93" s="91">
        <v>0</v>
      </c>
      <c r="J93" s="104">
        <v>0</v>
      </c>
      <c r="K93" s="104">
        <v>0</v>
      </c>
      <c r="L93" s="91">
        <f t="shared" si="2"/>
        <v>0</v>
      </c>
      <c r="M93" s="91">
        <f t="shared" si="3"/>
        <v>0</v>
      </c>
      <c r="N93" s="92">
        <v>0</v>
      </c>
      <c r="O93" s="105">
        <v>0</v>
      </c>
      <c r="P93" s="105">
        <v>0</v>
      </c>
      <c r="Q93" s="92">
        <f t="shared" si="4"/>
        <v>0</v>
      </c>
      <c r="R93" s="92">
        <f t="shared" si="5"/>
        <v>0</v>
      </c>
      <c r="S93" s="93">
        <v>0</v>
      </c>
      <c r="T93" s="106">
        <v>0</v>
      </c>
      <c r="U93" s="106">
        <v>0</v>
      </c>
      <c r="V93" s="93">
        <f t="shared" si="6"/>
        <v>0</v>
      </c>
      <c r="W93" s="93">
        <f t="shared" si="7"/>
        <v>0</v>
      </c>
      <c r="X93" s="94">
        <v>0</v>
      </c>
      <c r="Y93" s="107">
        <v>0</v>
      </c>
      <c r="Z93" s="107">
        <v>0</v>
      </c>
      <c r="AA93" s="94">
        <f t="shared" si="8"/>
        <v>0</v>
      </c>
      <c r="AB93" s="94">
        <f t="shared" si="9"/>
        <v>0</v>
      </c>
    </row>
    <row r="94" spans="1:28" ht="14.25" customHeight="1">
      <c r="A94" s="97"/>
      <c r="B94" s="97"/>
      <c r="C94" s="44"/>
      <c r="D94" s="44">
        <v>0</v>
      </c>
      <c r="E94" s="43">
        <v>0</v>
      </c>
      <c r="F94" s="43">
        <v>0</v>
      </c>
      <c r="G94" s="44">
        <f t="shared" si="0"/>
        <v>0</v>
      </c>
      <c r="H94" s="44">
        <f t="shared" si="1"/>
        <v>0</v>
      </c>
      <c r="I94" s="91">
        <v>0</v>
      </c>
      <c r="J94" s="104">
        <v>0</v>
      </c>
      <c r="K94" s="104">
        <v>0</v>
      </c>
      <c r="L94" s="91">
        <f t="shared" si="2"/>
        <v>0</v>
      </c>
      <c r="M94" s="91">
        <f t="shared" si="3"/>
        <v>0</v>
      </c>
      <c r="N94" s="92">
        <v>0</v>
      </c>
      <c r="O94" s="105">
        <v>0</v>
      </c>
      <c r="P94" s="105">
        <v>0</v>
      </c>
      <c r="Q94" s="92">
        <f t="shared" si="4"/>
        <v>0</v>
      </c>
      <c r="R94" s="92">
        <f t="shared" si="5"/>
        <v>0</v>
      </c>
      <c r="S94" s="93">
        <v>0</v>
      </c>
      <c r="T94" s="106">
        <v>0</v>
      </c>
      <c r="U94" s="106">
        <v>0</v>
      </c>
      <c r="V94" s="93">
        <f t="shared" si="6"/>
        <v>0</v>
      </c>
      <c r="W94" s="93">
        <f t="shared" si="7"/>
        <v>0</v>
      </c>
      <c r="X94" s="94">
        <v>0</v>
      </c>
      <c r="Y94" s="107">
        <v>0</v>
      </c>
      <c r="Z94" s="107">
        <v>0</v>
      </c>
      <c r="AA94" s="94">
        <f t="shared" si="8"/>
        <v>0</v>
      </c>
      <c r="AB94" s="94">
        <f t="shared" si="9"/>
        <v>0</v>
      </c>
    </row>
    <row r="95" spans="1:28" ht="14.25" customHeight="1">
      <c r="A95" s="97"/>
      <c r="B95" s="97"/>
      <c r="C95" s="44"/>
      <c r="D95" s="44">
        <v>0</v>
      </c>
      <c r="E95" s="43">
        <v>0</v>
      </c>
      <c r="F95" s="43">
        <v>0</v>
      </c>
      <c r="G95" s="44">
        <f t="shared" si="0"/>
        <v>0</v>
      </c>
      <c r="H95" s="44">
        <f t="shared" si="1"/>
        <v>0</v>
      </c>
      <c r="I95" s="91">
        <v>0</v>
      </c>
      <c r="J95" s="104">
        <v>0</v>
      </c>
      <c r="K95" s="104">
        <v>0</v>
      </c>
      <c r="L95" s="91">
        <f t="shared" si="2"/>
        <v>0</v>
      </c>
      <c r="M95" s="91">
        <f t="shared" si="3"/>
        <v>0</v>
      </c>
      <c r="N95" s="92">
        <v>0</v>
      </c>
      <c r="O95" s="105">
        <v>0</v>
      </c>
      <c r="P95" s="105">
        <v>0</v>
      </c>
      <c r="Q95" s="92">
        <f t="shared" si="4"/>
        <v>0</v>
      </c>
      <c r="R95" s="92">
        <f t="shared" si="5"/>
        <v>0</v>
      </c>
      <c r="S95" s="93">
        <v>0</v>
      </c>
      <c r="T95" s="106">
        <v>0</v>
      </c>
      <c r="U95" s="106">
        <v>0</v>
      </c>
      <c r="V95" s="93">
        <f t="shared" si="6"/>
        <v>0</v>
      </c>
      <c r="W95" s="93">
        <f t="shared" si="7"/>
        <v>0</v>
      </c>
      <c r="X95" s="94">
        <v>0</v>
      </c>
      <c r="Y95" s="107">
        <v>0</v>
      </c>
      <c r="Z95" s="107">
        <v>0</v>
      </c>
      <c r="AA95" s="94">
        <f t="shared" si="8"/>
        <v>0</v>
      </c>
      <c r="AB95" s="94">
        <f t="shared" si="9"/>
        <v>0</v>
      </c>
    </row>
    <row r="96" spans="1:28" ht="14.25" customHeight="1">
      <c r="A96" s="97"/>
      <c r="B96" s="97"/>
      <c r="C96" s="44"/>
      <c r="D96" s="44">
        <v>0</v>
      </c>
      <c r="E96" s="43">
        <v>0</v>
      </c>
      <c r="F96" s="43">
        <v>0</v>
      </c>
      <c r="G96" s="44">
        <f t="shared" si="0"/>
        <v>0</v>
      </c>
      <c r="H96" s="44">
        <f t="shared" si="1"/>
        <v>0</v>
      </c>
      <c r="I96" s="91">
        <v>0</v>
      </c>
      <c r="J96" s="104">
        <v>0</v>
      </c>
      <c r="K96" s="104">
        <v>0</v>
      </c>
      <c r="L96" s="91">
        <f t="shared" si="2"/>
        <v>0</v>
      </c>
      <c r="M96" s="91">
        <f t="shared" si="3"/>
        <v>0</v>
      </c>
      <c r="N96" s="92">
        <v>0</v>
      </c>
      <c r="O96" s="105">
        <v>0</v>
      </c>
      <c r="P96" s="105">
        <v>0</v>
      </c>
      <c r="Q96" s="92">
        <f t="shared" si="4"/>
        <v>0</v>
      </c>
      <c r="R96" s="92">
        <f t="shared" si="5"/>
        <v>0</v>
      </c>
      <c r="S96" s="93">
        <v>0</v>
      </c>
      <c r="T96" s="106">
        <v>0</v>
      </c>
      <c r="U96" s="106">
        <v>0</v>
      </c>
      <c r="V96" s="93">
        <f t="shared" si="6"/>
        <v>0</v>
      </c>
      <c r="W96" s="93">
        <f t="shared" si="7"/>
        <v>0</v>
      </c>
      <c r="X96" s="94">
        <v>0</v>
      </c>
      <c r="Y96" s="107">
        <v>0</v>
      </c>
      <c r="Z96" s="107">
        <v>0</v>
      </c>
      <c r="AA96" s="94">
        <f t="shared" si="8"/>
        <v>0</v>
      </c>
      <c r="AB96" s="94">
        <f t="shared" si="9"/>
        <v>0</v>
      </c>
    </row>
    <row r="97" spans="1:28" ht="14.25" customHeight="1">
      <c r="A97" s="97"/>
      <c r="B97" s="97"/>
      <c r="C97" s="44"/>
      <c r="D97" s="44">
        <v>0</v>
      </c>
      <c r="E97" s="43">
        <v>0</v>
      </c>
      <c r="F97" s="43">
        <v>0</v>
      </c>
      <c r="G97" s="44">
        <f t="shared" si="0"/>
        <v>0</v>
      </c>
      <c r="H97" s="44">
        <f t="shared" si="1"/>
        <v>0</v>
      </c>
      <c r="I97" s="91">
        <v>0</v>
      </c>
      <c r="J97" s="104">
        <v>0</v>
      </c>
      <c r="K97" s="104">
        <v>0</v>
      </c>
      <c r="L97" s="91">
        <f t="shared" si="2"/>
        <v>0</v>
      </c>
      <c r="M97" s="91">
        <f t="shared" si="3"/>
        <v>0</v>
      </c>
      <c r="N97" s="92">
        <v>0</v>
      </c>
      <c r="O97" s="105">
        <v>0</v>
      </c>
      <c r="P97" s="105">
        <v>0</v>
      </c>
      <c r="Q97" s="92">
        <f t="shared" si="4"/>
        <v>0</v>
      </c>
      <c r="R97" s="92">
        <f t="shared" si="5"/>
        <v>0</v>
      </c>
      <c r="S97" s="93">
        <v>0</v>
      </c>
      <c r="T97" s="106">
        <v>0</v>
      </c>
      <c r="U97" s="106">
        <v>0</v>
      </c>
      <c r="V97" s="93">
        <f t="shared" si="6"/>
        <v>0</v>
      </c>
      <c r="W97" s="93">
        <f t="shared" si="7"/>
        <v>0</v>
      </c>
      <c r="X97" s="94">
        <v>0</v>
      </c>
      <c r="Y97" s="107">
        <v>0</v>
      </c>
      <c r="Z97" s="107">
        <v>0</v>
      </c>
      <c r="AA97" s="94">
        <f t="shared" si="8"/>
        <v>0</v>
      </c>
      <c r="AB97" s="94">
        <f t="shared" si="9"/>
        <v>0</v>
      </c>
    </row>
    <row r="98" spans="1:28" ht="14.25" customHeight="1">
      <c r="A98" s="97"/>
      <c r="B98" s="97"/>
      <c r="C98" s="44"/>
      <c r="D98" s="44">
        <v>0</v>
      </c>
      <c r="E98" s="43">
        <v>0</v>
      </c>
      <c r="F98" s="43">
        <v>0</v>
      </c>
      <c r="G98" s="44">
        <f t="shared" si="0"/>
        <v>0</v>
      </c>
      <c r="H98" s="44">
        <f t="shared" si="1"/>
        <v>0</v>
      </c>
      <c r="I98" s="91">
        <v>0</v>
      </c>
      <c r="J98" s="104">
        <v>0</v>
      </c>
      <c r="K98" s="104">
        <v>0</v>
      </c>
      <c r="L98" s="91">
        <f t="shared" si="2"/>
        <v>0</v>
      </c>
      <c r="M98" s="91">
        <f t="shared" si="3"/>
        <v>0</v>
      </c>
      <c r="N98" s="92">
        <v>0</v>
      </c>
      <c r="O98" s="105">
        <v>0</v>
      </c>
      <c r="P98" s="105">
        <v>0</v>
      </c>
      <c r="Q98" s="92">
        <f t="shared" si="4"/>
        <v>0</v>
      </c>
      <c r="R98" s="92">
        <f t="shared" si="5"/>
        <v>0</v>
      </c>
      <c r="S98" s="93">
        <v>0</v>
      </c>
      <c r="T98" s="106">
        <v>0</v>
      </c>
      <c r="U98" s="106">
        <v>0</v>
      </c>
      <c r="V98" s="93">
        <f t="shared" si="6"/>
        <v>0</v>
      </c>
      <c r="W98" s="93">
        <f t="shared" si="7"/>
        <v>0</v>
      </c>
      <c r="X98" s="94">
        <v>0</v>
      </c>
      <c r="Y98" s="107">
        <v>0</v>
      </c>
      <c r="Z98" s="107">
        <v>0</v>
      </c>
      <c r="AA98" s="94">
        <f t="shared" si="8"/>
        <v>0</v>
      </c>
      <c r="AB98" s="94">
        <f t="shared" si="9"/>
        <v>0</v>
      </c>
    </row>
    <row r="99" spans="1:28" ht="14.25" customHeight="1">
      <c r="A99" s="97"/>
      <c r="B99" s="97"/>
      <c r="C99" s="44"/>
      <c r="D99" s="44">
        <v>0</v>
      </c>
      <c r="E99" s="43">
        <v>0</v>
      </c>
      <c r="F99" s="43">
        <v>0</v>
      </c>
      <c r="G99" s="44">
        <f t="shared" si="0"/>
        <v>0</v>
      </c>
      <c r="H99" s="44">
        <f t="shared" si="1"/>
        <v>0</v>
      </c>
      <c r="I99" s="91">
        <v>0</v>
      </c>
      <c r="J99" s="104">
        <v>0</v>
      </c>
      <c r="K99" s="104">
        <v>0</v>
      </c>
      <c r="L99" s="91">
        <f t="shared" si="2"/>
        <v>0</v>
      </c>
      <c r="M99" s="91">
        <f t="shared" si="3"/>
        <v>0</v>
      </c>
      <c r="N99" s="92">
        <v>0</v>
      </c>
      <c r="O99" s="105">
        <v>0</v>
      </c>
      <c r="P99" s="105">
        <v>0</v>
      </c>
      <c r="Q99" s="92">
        <f t="shared" si="4"/>
        <v>0</v>
      </c>
      <c r="R99" s="92">
        <f t="shared" si="5"/>
        <v>0</v>
      </c>
      <c r="S99" s="93">
        <v>0</v>
      </c>
      <c r="T99" s="106">
        <v>0</v>
      </c>
      <c r="U99" s="106">
        <v>0</v>
      </c>
      <c r="V99" s="93">
        <f t="shared" si="6"/>
        <v>0</v>
      </c>
      <c r="W99" s="93">
        <f t="shared" si="7"/>
        <v>0</v>
      </c>
      <c r="X99" s="94">
        <v>0</v>
      </c>
      <c r="Y99" s="107">
        <v>0</v>
      </c>
      <c r="Z99" s="107">
        <v>0</v>
      </c>
      <c r="AA99" s="94">
        <f t="shared" si="8"/>
        <v>0</v>
      </c>
      <c r="AB99" s="94">
        <f t="shared" si="9"/>
        <v>0</v>
      </c>
    </row>
    <row r="100" spans="1:28" ht="14.25" customHeight="1">
      <c r="A100" s="97"/>
      <c r="B100" s="97"/>
      <c r="C100" s="44"/>
      <c r="D100" s="44">
        <v>0</v>
      </c>
      <c r="E100" s="43">
        <v>0</v>
      </c>
      <c r="F100" s="43">
        <v>0</v>
      </c>
      <c r="G100" s="44">
        <f t="shared" si="0"/>
        <v>0</v>
      </c>
      <c r="H100" s="44">
        <f t="shared" si="1"/>
        <v>0</v>
      </c>
      <c r="I100" s="91">
        <v>0</v>
      </c>
      <c r="J100" s="104">
        <v>0</v>
      </c>
      <c r="K100" s="104">
        <v>0</v>
      </c>
      <c r="L100" s="91">
        <f t="shared" si="2"/>
        <v>0</v>
      </c>
      <c r="M100" s="91">
        <f t="shared" si="3"/>
        <v>0</v>
      </c>
      <c r="N100" s="92">
        <v>0</v>
      </c>
      <c r="O100" s="105">
        <v>0</v>
      </c>
      <c r="P100" s="105">
        <v>0</v>
      </c>
      <c r="Q100" s="92">
        <f t="shared" si="4"/>
        <v>0</v>
      </c>
      <c r="R100" s="92">
        <f t="shared" si="5"/>
        <v>0</v>
      </c>
      <c r="S100" s="93">
        <v>0</v>
      </c>
      <c r="T100" s="106">
        <v>0</v>
      </c>
      <c r="U100" s="106">
        <v>0</v>
      </c>
      <c r="V100" s="93">
        <f t="shared" si="6"/>
        <v>0</v>
      </c>
      <c r="W100" s="93">
        <f t="shared" si="7"/>
        <v>0</v>
      </c>
      <c r="X100" s="94">
        <v>0</v>
      </c>
      <c r="Y100" s="107">
        <v>0</v>
      </c>
      <c r="Z100" s="107">
        <v>0</v>
      </c>
      <c r="AA100" s="94">
        <f t="shared" si="8"/>
        <v>0</v>
      </c>
      <c r="AB100" s="94">
        <f t="shared" si="9"/>
        <v>0</v>
      </c>
    </row>
    <row r="101" spans="1:28" ht="14.25" customHeight="1">
      <c r="A101" s="97"/>
      <c r="B101" s="97"/>
      <c r="C101" s="44"/>
      <c r="D101" s="44">
        <v>0</v>
      </c>
      <c r="E101" s="43">
        <v>0</v>
      </c>
      <c r="F101" s="43">
        <v>0</v>
      </c>
      <c r="G101" s="44">
        <f t="shared" si="0"/>
        <v>0</v>
      </c>
      <c r="H101" s="44">
        <f t="shared" si="1"/>
        <v>0</v>
      </c>
      <c r="I101" s="91">
        <v>0</v>
      </c>
      <c r="J101" s="104">
        <v>0</v>
      </c>
      <c r="K101" s="104">
        <v>0</v>
      </c>
      <c r="L101" s="91">
        <f t="shared" si="2"/>
        <v>0</v>
      </c>
      <c r="M101" s="91">
        <f t="shared" si="3"/>
        <v>0</v>
      </c>
      <c r="N101" s="92">
        <v>0</v>
      </c>
      <c r="O101" s="105">
        <v>0</v>
      </c>
      <c r="P101" s="105">
        <v>0</v>
      </c>
      <c r="Q101" s="92">
        <f t="shared" si="4"/>
        <v>0</v>
      </c>
      <c r="R101" s="92">
        <f t="shared" si="5"/>
        <v>0</v>
      </c>
      <c r="S101" s="93">
        <v>0</v>
      </c>
      <c r="T101" s="106">
        <v>0</v>
      </c>
      <c r="U101" s="106">
        <v>0</v>
      </c>
      <c r="V101" s="93">
        <f t="shared" si="6"/>
        <v>0</v>
      </c>
      <c r="W101" s="93">
        <f t="shared" si="7"/>
        <v>0</v>
      </c>
      <c r="X101" s="94">
        <v>0</v>
      </c>
      <c r="Y101" s="107">
        <v>0</v>
      </c>
      <c r="Z101" s="107">
        <v>0</v>
      </c>
      <c r="AA101" s="94">
        <f t="shared" si="8"/>
        <v>0</v>
      </c>
      <c r="AB101" s="94">
        <f t="shared" si="9"/>
        <v>0</v>
      </c>
    </row>
    <row r="102" spans="1:28" ht="14.25" customHeight="1">
      <c r="A102" s="97"/>
      <c r="B102" s="97"/>
      <c r="C102" s="44"/>
      <c r="D102" s="44">
        <v>0</v>
      </c>
      <c r="E102" s="43">
        <v>0</v>
      </c>
      <c r="F102" s="43">
        <v>0</v>
      </c>
      <c r="G102" s="44">
        <f t="shared" si="0"/>
        <v>0</v>
      </c>
      <c r="H102" s="44">
        <f t="shared" si="1"/>
        <v>0</v>
      </c>
      <c r="I102" s="91">
        <v>0</v>
      </c>
      <c r="J102" s="104">
        <v>0</v>
      </c>
      <c r="K102" s="104">
        <v>0</v>
      </c>
      <c r="L102" s="91">
        <f t="shared" si="2"/>
        <v>0</v>
      </c>
      <c r="M102" s="91">
        <f t="shared" si="3"/>
        <v>0</v>
      </c>
      <c r="N102" s="92">
        <v>0</v>
      </c>
      <c r="O102" s="105">
        <v>0</v>
      </c>
      <c r="P102" s="105">
        <v>0</v>
      </c>
      <c r="Q102" s="92">
        <f t="shared" si="4"/>
        <v>0</v>
      </c>
      <c r="R102" s="92">
        <f t="shared" si="5"/>
        <v>0</v>
      </c>
      <c r="S102" s="93">
        <v>0</v>
      </c>
      <c r="T102" s="106">
        <v>0</v>
      </c>
      <c r="U102" s="106">
        <v>0</v>
      </c>
      <c r="V102" s="93">
        <f t="shared" si="6"/>
        <v>0</v>
      </c>
      <c r="W102" s="93">
        <f t="shared" si="7"/>
        <v>0</v>
      </c>
      <c r="X102" s="94">
        <v>0</v>
      </c>
      <c r="Y102" s="107">
        <v>0</v>
      </c>
      <c r="Z102" s="107">
        <v>0</v>
      </c>
      <c r="AA102" s="94">
        <f t="shared" si="8"/>
        <v>0</v>
      </c>
      <c r="AB102" s="94">
        <f t="shared" si="9"/>
        <v>0</v>
      </c>
    </row>
    <row r="103" spans="1:28" ht="14.25" customHeight="1">
      <c r="A103" s="97"/>
      <c r="B103" s="97"/>
      <c r="C103" s="44"/>
      <c r="D103" s="44">
        <v>0</v>
      </c>
      <c r="E103" s="43">
        <v>0</v>
      </c>
      <c r="F103" s="43">
        <v>0</v>
      </c>
      <c r="G103" s="44">
        <f t="shared" si="0"/>
        <v>0</v>
      </c>
      <c r="H103" s="44">
        <f t="shared" si="1"/>
        <v>0</v>
      </c>
      <c r="I103" s="91">
        <v>0</v>
      </c>
      <c r="J103" s="104">
        <v>0</v>
      </c>
      <c r="K103" s="104">
        <v>0</v>
      </c>
      <c r="L103" s="91">
        <f t="shared" si="2"/>
        <v>0</v>
      </c>
      <c r="M103" s="91">
        <f t="shared" si="3"/>
        <v>0</v>
      </c>
      <c r="N103" s="92">
        <v>0</v>
      </c>
      <c r="O103" s="105">
        <v>0</v>
      </c>
      <c r="P103" s="105">
        <v>0</v>
      </c>
      <c r="Q103" s="92">
        <f t="shared" si="4"/>
        <v>0</v>
      </c>
      <c r="R103" s="92">
        <f t="shared" si="5"/>
        <v>0</v>
      </c>
      <c r="S103" s="93">
        <v>0</v>
      </c>
      <c r="T103" s="106">
        <v>0</v>
      </c>
      <c r="U103" s="106">
        <v>0</v>
      </c>
      <c r="V103" s="93">
        <f t="shared" si="6"/>
        <v>0</v>
      </c>
      <c r="W103" s="93">
        <f t="shared" si="7"/>
        <v>0</v>
      </c>
      <c r="X103" s="94">
        <v>0</v>
      </c>
      <c r="Y103" s="107">
        <v>0</v>
      </c>
      <c r="Z103" s="107">
        <v>0</v>
      </c>
      <c r="AA103" s="94">
        <f t="shared" si="8"/>
        <v>0</v>
      </c>
      <c r="AB103" s="94">
        <f t="shared" si="9"/>
        <v>0</v>
      </c>
    </row>
    <row r="104" spans="1:28" ht="14.25" customHeight="1">
      <c r="A104" s="97"/>
      <c r="B104" s="97"/>
      <c r="C104" s="44"/>
      <c r="D104" s="44">
        <v>0</v>
      </c>
      <c r="E104" s="43">
        <v>0</v>
      </c>
      <c r="F104" s="43">
        <v>0</v>
      </c>
      <c r="G104" s="44">
        <f t="shared" si="0"/>
        <v>0</v>
      </c>
      <c r="H104" s="44">
        <f t="shared" si="1"/>
        <v>0</v>
      </c>
      <c r="I104" s="91">
        <v>0</v>
      </c>
      <c r="J104" s="104">
        <v>0</v>
      </c>
      <c r="K104" s="104">
        <v>0</v>
      </c>
      <c r="L104" s="91">
        <f t="shared" si="2"/>
        <v>0</v>
      </c>
      <c r="M104" s="91">
        <f t="shared" si="3"/>
        <v>0</v>
      </c>
      <c r="N104" s="92">
        <v>0</v>
      </c>
      <c r="O104" s="105">
        <v>0</v>
      </c>
      <c r="P104" s="105">
        <v>0</v>
      </c>
      <c r="Q104" s="92">
        <f t="shared" si="4"/>
        <v>0</v>
      </c>
      <c r="R104" s="92">
        <f t="shared" si="5"/>
        <v>0</v>
      </c>
      <c r="S104" s="93">
        <v>0</v>
      </c>
      <c r="T104" s="106">
        <v>0</v>
      </c>
      <c r="U104" s="106">
        <v>0</v>
      </c>
      <c r="V104" s="93">
        <f t="shared" si="6"/>
        <v>0</v>
      </c>
      <c r="W104" s="93">
        <f t="shared" si="7"/>
        <v>0</v>
      </c>
      <c r="X104" s="94">
        <v>0</v>
      </c>
      <c r="Y104" s="107">
        <v>0</v>
      </c>
      <c r="Z104" s="107">
        <v>0</v>
      </c>
      <c r="AA104" s="94">
        <f t="shared" si="8"/>
        <v>0</v>
      </c>
      <c r="AB104" s="94">
        <f t="shared" si="9"/>
        <v>0</v>
      </c>
    </row>
    <row r="105" spans="1:28" ht="14.25" customHeight="1">
      <c r="A105" s="97"/>
      <c r="B105" s="97"/>
      <c r="C105" s="44"/>
      <c r="D105" s="44">
        <v>0</v>
      </c>
      <c r="E105" s="43">
        <v>0</v>
      </c>
      <c r="F105" s="43">
        <v>0</v>
      </c>
      <c r="G105" s="44">
        <f t="shared" si="0"/>
        <v>0</v>
      </c>
      <c r="H105" s="44">
        <f t="shared" si="1"/>
        <v>0</v>
      </c>
      <c r="I105" s="91">
        <v>0</v>
      </c>
      <c r="J105" s="104">
        <v>0</v>
      </c>
      <c r="K105" s="104">
        <v>0</v>
      </c>
      <c r="L105" s="91">
        <f t="shared" si="2"/>
        <v>0</v>
      </c>
      <c r="M105" s="91">
        <f t="shared" si="3"/>
        <v>0</v>
      </c>
      <c r="N105" s="92">
        <v>0</v>
      </c>
      <c r="O105" s="105">
        <v>0</v>
      </c>
      <c r="P105" s="105">
        <v>0</v>
      </c>
      <c r="Q105" s="92">
        <f t="shared" si="4"/>
        <v>0</v>
      </c>
      <c r="R105" s="92">
        <f t="shared" si="5"/>
        <v>0</v>
      </c>
      <c r="S105" s="93">
        <v>0</v>
      </c>
      <c r="T105" s="106">
        <v>0</v>
      </c>
      <c r="U105" s="106">
        <v>0</v>
      </c>
      <c r="V105" s="93">
        <f t="shared" si="6"/>
        <v>0</v>
      </c>
      <c r="W105" s="93">
        <f t="shared" si="7"/>
        <v>0</v>
      </c>
      <c r="X105" s="94">
        <v>0</v>
      </c>
      <c r="Y105" s="107">
        <v>0</v>
      </c>
      <c r="Z105" s="107">
        <v>0</v>
      </c>
      <c r="AA105" s="94">
        <f t="shared" si="8"/>
        <v>0</v>
      </c>
      <c r="AB105" s="94">
        <f t="shared" si="9"/>
        <v>0</v>
      </c>
    </row>
    <row r="106" spans="1:28" ht="14.25" customHeight="1">
      <c r="A106" s="97"/>
      <c r="B106" s="97"/>
      <c r="C106" s="44"/>
      <c r="D106" s="44">
        <v>0</v>
      </c>
      <c r="E106" s="43">
        <v>0</v>
      </c>
      <c r="F106" s="43">
        <v>0</v>
      </c>
      <c r="G106" s="44">
        <f t="shared" si="0"/>
        <v>0</v>
      </c>
      <c r="H106" s="44">
        <f t="shared" si="1"/>
        <v>0</v>
      </c>
      <c r="I106" s="91">
        <v>0</v>
      </c>
      <c r="J106" s="104">
        <v>0</v>
      </c>
      <c r="K106" s="104">
        <v>0</v>
      </c>
      <c r="L106" s="91">
        <f t="shared" si="2"/>
        <v>0</v>
      </c>
      <c r="M106" s="91">
        <f t="shared" si="3"/>
        <v>0</v>
      </c>
      <c r="N106" s="92">
        <v>0</v>
      </c>
      <c r="O106" s="105">
        <v>0</v>
      </c>
      <c r="P106" s="105">
        <v>0</v>
      </c>
      <c r="Q106" s="92">
        <f t="shared" si="4"/>
        <v>0</v>
      </c>
      <c r="R106" s="92">
        <f t="shared" si="5"/>
        <v>0</v>
      </c>
      <c r="S106" s="93">
        <v>0</v>
      </c>
      <c r="T106" s="106">
        <v>0</v>
      </c>
      <c r="U106" s="106">
        <v>0</v>
      </c>
      <c r="V106" s="93">
        <f t="shared" si="6"/>
        <v>0</v>
      </c>
      <c r="W106" s="93">
        <f t="shared" si="7"/>
        <v>0</v>
      </c>
      <c r="X106" s="94">
        <v>0</v>
      </c>
      <c r="Y106" s="107">
        <v>0</v>
      </c>
      <c r="Z106" s="107">
        <v>0</v>
      </c>
      <c r="AA106" s="94">
        <f t="shared" si="8"/>
        <v>0</v>
      </c>
      <c r="AB106" s="94">
        <f t="shared" si="9"/>
        <v>0</v>
      </c>
    </row>
    <row r="107" spans="1:28" ht="14.25" customHeight="1">
      <c r="A107" s="97"/>
      <c r="B107" s="97"/>
      <c r="C107" s="44"/>
      <c r="D107" s="44">
        <v>0</v>
      </c>
      <c r="E107" s="43">
        <v>0</v>
      </c>
      <c r="F107" s="43">
        <v>0</v>
      </c>
      <c r="G107" s="44">
        <f t="shared" si="0"/>
        <v>0</v>
      </c>
      <c r="H107" s="44">
        <f t="shared" si="1"/>
        <v>0</v>
      </c>
      <c r="I107" s="91">
        <v>0</v>
      </c>
      <c r="J107" s="104">
        <v>0</v>
      </c>
      <c r="K107" s="104">
        <v>0</v>
      </c>
      <c r="L107" s="91">
        <f t="shared" si="2"/>
        <v>0</v>
      </c>
      <c r="M107" s="91">
        <f t="shared" si="3"/>
        <v>0</v>
      </c>
      <c r="N107" s="92">
        <v>0</v>
      </c>
      <c r="O107" s="105">
        <v>0</v>
      </c>
      <c r="P107" s="105">
        <v>0</v>
      </c>
      <c r="Q107" s="92">
        <f t="shared" si="4"/>
        <v>0</v>
      </c>
      <c r="R107" s="92">
        <f t="shared" si="5"/>
        <v>0</v>
      </c>
      <c r="S107" s="93">
        <v>0</v>
      </c>
      <c r="T107" s="106">
        <v>0</v>
      </c>
      <c r="U107" s="106">
        <v>0</v>
      </c>
      <c r="V107" s="93">
        <f t="shared" si="6"/>
        <v>0</v>
      </c>
      <c r="W107" s="93">
        <f t="shared" si="7"/>
        <v>0</v>
      </c>
      <c r="X107" s="94">
        <v>0</v>
      </c>
      <c r="Y107" s="107">
        <v>0</v>
      </c>
      <c r="Z107" s="107">
        <v>0</v>
      </c>
      <c r="AA107" s="94">
        <f t="shared" si="8"/>
        <v>0</v>
      </c>
      <c r="AB107" s="94">
        <f t="shared" si="9"/>
        <v>0</v>
      </c>
    </row>
    <row r="108" spans="1:28" ht="14.25" customHeight="1">
      <c r="A108" s="97"/>
      <c r="B108" s="97"/>
      <c r="C108" s="44"/>
      <c r="D108" s="44">
        <v>0</v>
      </c>
      <c r="E108" s="43">
        <v>0</v>
      </c>
      <c r="F108" s="43">
        <v>0</v>
      </c>
      <c r="G108" s="44">
        <f t="shared" si="0"/>
        <v>0</v>
      </c>
      <c r="H108" s="44">
        <f t="shared" si="1"/>
        <v>0</v>
      </c>
      <c r="I108" s="91">
        <v>0</v>
      </c>
      <c r="J108" s="104">
        <v>0</v>
      </c>
      <c r="K108" s="104">
        <v>0</v>
      </c>
      <c r="L108" s="91">
        <f t="shared" si="2"/>
        <v>0</v>
      </c>
      <c r="M108" s="91">
        <f t="shared" si="3"/>
        <v>0</v>
      </c>
      <c r="N108" s="92">
        <v>0</v>
      </c>
      <c r="O108" s="105">
        <v>0</v>
      </c>
      <c r="P108" s="105">
        <v>0</v>
      </c>
      <c r="Q108" s="92">
        <f t="shared" si="4"/>
        <v>0</v>
      </c>
      <c r="R108" s="92">
        <f t="shared" si="5"/>
        <v>0</v>
      </c>
      <c r="S108" s="93">
        <v>0</v>
      </c>
      <c r="T108" s="106">
        <v>0</v>
      </c>
      <c r="U108" s="106">
        <v>0</v>
      </c>
      <c r="V108" s="93">
        <f t="shared" si="6"/>
        <v>0</v>
      </c>
      <c r="W108" s="93">
        <f t="shared" si="7"/>
        <v>0</v>
      </c>
      <c r="X108" s="94">
        <v>0</v>
      </c>
      <c r="Y108" s="107">
        <v>0</v>
      </c>
      <c r="Z108" s="107">
        <v>0</v>
      </c>
      <c r="AA108" s="94">
        <f t="shared" si="8"/>
        <v>0</v>
      </c>
      <c r="AB108" s="94">
        <f t="shared" si="9"/>
        <v>0</v>
      </c>
    </row>
    <row r="109" spans="1:28" ht="14.25" customHeight="1">
      <c r="A109" s="97"/>
      <c r="B109" s="97"/>
      <c r="C109" s="44"/>
      <c r="D109" s="44">
        <v>0</v>
      </c>
      <c r="E109" s="43">
        <v>0</v>
      </c>
      <c r="F109" s="43">
        <v>0</v>
      </c>
      <c r="G109" s="44">
        <f t="shared" si="0"/>
        <v>0</v>
      </c>
      <c r="H109" s="44">
        <f t="shared" si="1"/>
        <v>0</v>
      </c>
      <c r="I109" s="91">
        <v>0</v>
      </c>
      <c r="J109" s="104">
        <v>0</v>
      </c>
      <c r="K109" s="104">
        <v>0</v>
      </c>
      <c r="L109" s="91">
        <f t="shared" si="2"/>
        <v>0</v>
      </c>
      <c r="M109" s="91">
        <f t="shared" si="3"/>
        <v>0</v>
      </c>
      <c r="N109" s="92">
        <v>0</v>
      </c>
      <c r="O109" s="105">
        <v>0</v>
      </c>
      <c r="P109" s="105">
        <v>0</v>
      </c>
      <c r="Q109" s="92">
        <f t="shared" si="4"/>
        <v>0</v>
      </c>
      <c r="R109" s="92">
        <f t="shared" si="5"/>
        <v>0</v>
      </c>
      <c r="S109" s="93">
        <v>0</v>
      </c>
      <c r="T109" s="106">
        <v>0</v>
      </c>
      <c r="U109" s="106">
        <v>0</v>
      </c>
      <c r="V109" s="93">
        <f t="shared" si="6"/>
        <v>0</v>
      </c>
      <c r="W109" s="93">
        <f t="shared" si="7"/>
        <v>0</v>
      </c>
      <c r="X109" s="94">
        <v>0</v>
      </c>
      <c r="Y109" s="107">
        <v>0</v>
      </c>
      <c r="Z109" s="107">
        <v>0</v>
      </c>
      <c r="AA109" s="94">
        <f t="shared" si="8"/>
        <v>0</v>
      </c>
      <c r="AB109" s="94">
        <f t="shared" si="9"/>
        <v>0</v>
      </c>
    </row>
    <row r="110" spans="1:28" ht="14.25" customHeight="1">
      <c r="A110" s="97"/>
      <c r="B110" s="97"/>
      <c r="C110" s="44"/>
      <c r="D110" s="44">
        <v>0</v>
      </c>
      <c r="E110" s="43">
        <v>0</v>
      </c>
      <c r="F110" s="43">
        <v>0</v>
      </c>
      <c r="G110" s="44">
        <f t="shared" si="0"/>
        <v>0</v>
      </c>
      <c r="H110" s="44">
        <f t="shared" si="1"/>
        <v>0</v>
      </c>
      <c r="I110" s="91">
        <v>0</v>
      </c>
      <c r="J110" s="104">
        <v>0</v>
      </c>
      <c r="K110" s="104">
        <v>0</v>
      </c>
      <c r="L110" s="91">
        <f t="shared" si="2"/>
        <v>0</v>
      </c>
      <c r="M110" s="91">
        <f t="shared" si="3"/>
        <v>0</v>
      </c>
      <c r="N110" s="92">
        <v>0</v>
      </c>
      <c r="O110" s="105">
        <v>0</v>
      </c>
      <c r="P110" s="105">
        <v>0</v>
      </c>
      <c r="Q110" s="92">
        <f t="shared" si="4"/>
        <v>0</v>
      </c>
      <c r="R110" s="92">
        <f t="shared" si="5"/>
        <v>0</v>
      </c>
      <c r="S110" s="93">
        <v>0</v>
      </c>
      <c r="T110" s="106">
        <v>0</v>
      </c>
      <c r="U110" s="106">
        <v>0</v>
      </c>
      <c r="V110" s="93">
        <f t="shared" si="6"/>
        <v>0</v>
      </c>
      <c r="W110" s="93">
        <f t="shared" si="7"/>
        <v>0</v>
      </c>
      <c r="X110" s="94">
        <v>0</v>
      </c>
      <c r="Y110" s="107">
        <v>0</v>
      </c>
      <c r="Z110" s="107">
        <v>0</v>
      </c>
      <c r="AA110" s="94">
        <f t="shared" si="8"/>
        <v>0</v>
      </c>
      <c r="AB110" s="94">
        <f t="shared" si="9"/>
        <v>0</v>
      </c>
    </row>
    <row r="111" spans="1:28" ht="14.25" customHeight="1">
      <c r="A111" s="97"/>
      <c r="B111" s="97"/>
      <c r="C111" s="44"/>
      <c r="D111" s="44">
        <v>0</v>
      </c>
      <c r="E111" s="43">
        <v>0</v>
      </c>
      <c r="F111" s="43">
        <v>0</v>
      </c>
      <c r="G111" s="44">
        <f t="shared" si="0"/>
        <v>0</v>
      </c>
      <c r="H111" s="44">
        <f t="shared" si="1"/>
        <v>0</v>
      </c>
      <c r="I111" s="91">
        <v>0</v>
      </c>
      <c r="J111" s="104">
        <v>0</v>
      </c>
      <c r="K111" s="104">
        <v>0</v>
      </c>
      <c r="L111" s="91">
        <f t="shared" si="2"/>
        <v>0</v>
      </c>
      <c r="M111" s="91">
        <f t="shared" si="3"/>
        <v>0</v>
      </c>
      <c r="N111" s="92">
        <v>0</v>
      </c>
      <c r="O111" s="105">
        <v>0</v>
      </c>
      <c r="P111" s="105">
        <v>0</v>
      </c>
      <c r="Q111" s="92">
        <f t="shared" si="4"/>
        <v>0</v>
      </c>
      <c r="R111" s="92">
        <f t="shared" si="5"/>
        <v>0</v>
      </c>
      <c r="S111" s="93">
        <v>0</v>
      </c>
      <c r="T111" s="106">
        <v>0</v>
      </c>
      <c r="U111" s="106">
        <v>0</v>
      </c>
      <c r="V111" s="93">
        <f t="shared" si="6"/>
        <v>0</v>
      </c>
      <c r="W111" s="93">
        <f t="shared" si="7"/>
        <v>0</v>
      </c>
      <c r="X111" s="94">
        <v>0</v>
      </c>
      <c r="Y111" s="107">
        <v>0</v>
      </c>
      <c r="Z111" s="107">
        <v>0</v>
      </c>
      <c r="AA111" s="94">
        <f t="shared" si="8"/>
        <v>0</v>
      </c>
      <c r="AB111" s="94">
        <f t="shared" si="9"/>
        <v>0</v>
      </c>
    </row>
    <row r="112" spans="1:28" ht="14.25" customHeight="1">
      <c r="A112" s="97"/>
      <c r="B112" s="97"/>
      <c r="C112" s="44"/>
      <c r="D112" s="44">
        <v>0</v>
      </c>
      <c r="E112" s="43">
        <v>0</v>
      </c>
      <c r="F112" s="43">
        <v>0</v>
      </c>
      <c r="G112" s="44">
        <f t="shared" si="0"/>
        <v>0</v>
      </c>
      <c r="H112" s="44">
        <f t="shared" si="1"/>
        <v>0</v>
      </c>
      <c r="I112" s="91">
        <v>0</v>
      </c>
      <c r="J112" s="104">
        <v>0</v>
      </c>
      <c r="K112" s="104">
        <v>0</v>
      </c>
      <c r="L112" s="91">
        <f t="shared" si="2"/>
        <v>0</v>
      </c>
      <c r="M112" s="91">
        <f t="shared" si="3"/>
        <v>0</v>
      </c>
      <c r="N112" s="92">
        <v>0</v>
      </c>
      <c r="O112" s="105">
        <v>0</v>
      </c>
      <c r="P112" s="105">
        <v>0</v>
      </c>
      <c r="Q112" s="92">
        <f t="shared" si="4"/>
        <v>0</v>
      </c>
      <c r="R112" s="92">
        <f t="shared" si="5"/>
        <v>0</v>
      </c>
      <c r="S112" s="93">
        <v>0</v>
      </c>
      <c r="T112" s="106">
        <v>0</v>
      </c>
      <c r="U112" s="106">
        <v>0</v>
      </c>
      <c r="V112" s="93">
        <f t="shared" si="6"/>
        <v>0</v>
      </c>
      <c r="W112" s="93">
        <f t="shared" si="7"/>
        <v>0</v>
      </c>
      <c r="X112" s="94">
        <v>0</v>
      </c>
      <c r="Y112" s="107">
        <v>0</v>
      </c>
      <c r="Z112" s="107">
        <v>0</v>
      </c>
      <c r="AA112" s="94">
        <f t="shared" si="8"/>
        <v>0</v>
      </c>
      <c r="AB112" s="94">
        <f t="shared" si="9"/>
        <v>0</v>
      </c>
    </row>
    <row r="113" spans="1:28" ht="14.25" customHeight="1">
      <c r="A113" s="97"/>
      <c r="B113" s="97"/>
      <c r="C113" s="44"/>
      <c r="D113" s="44">
        <v>0</v>
      </c>
      <c r="E113" s="43">
        <v>0</v>
      </c>
      <c r="F113" s="43">
        <v>0</v>
      </c>
      <c r="G113" s="44">
        <f t="shared" si="0"/>
        <v>0</v>
      </c>
      <c r="H113" s="44">
        <f t="shared" si="1"/>
        <v>0</v>
      </c>
      <c r="I113" s="91">
        <v>0</v>
      </c>
      <c r="J113" s="104">
        <v>0</v>
      </c>
      <c r="K113" s="104">
        <v>0</v>
      </c>
      <c r="L113" s="91">
        <f t="shared" si="2"/>
        <v>0</v>
      </c>
      <c r="M113" s="91">
        <f t="shared" si="3"/>
        <v>0</v>
      </c>
      <c r="N113" s="92">
        <v>0</v>
      </c>
      <c r="O113" s="105">
        <v>0</v>
      </c>
      <c r="P113" s="105">
        <v>0</v>
      </c>
      <c r="Q113" s="92">
        <f t="shared" si="4"/>
        <v>0</v>
      </c>
      <c r="R113" s="92">
        <f t="shared" si="5"/>
        <v>0</v>
      </c>
      <c r="S113" s="93">
        <v>0</v>
      </c>
      <c r="T113" s="106">
        <v>0</v>
      </c>
      <c r="U113" s="106">
        <v>0</v>
      </c>
      <c r="V113" s="93">
        <f t="shared" si="6"/>
        <v>0</v>
      </c>
      <c r="W113" s="93">
        <f t="shared" si="7"/>
        <v>0</v>
      </c>
      <c r="X113" s="94">
        <v>0</v>
      </c>
      <c r="Y113" s="107">
        <v>0</v>
      </c>
      <c r="Z113" s="107">
        <v>0</v>
      </c>
      <c r="AA113" s="94">
        <f t="shared" si="8"/>
        <v>0</v>
      </c>
      <c r="AB113" s="94">
        <f t="shared" si="9"/>
        <v>0</v>
      </c>
    </row>
    <row r="114" spans="1:28" ht="14.25" customHeight="1">
      <c r="A114" s="97"/>
      <c r="B114" s="97"/>
      <c r="C114" s="44"/>
      <c r="D114" s="44">
        <v>0</v>
      </c>
      <c r="E114" s="43">
        <v>0</v>
      </c>
      <c r="F114" s="43">
        <v>0</v>
      </c>
      <c r="G114" s="44">
        <f t="shared" si="0"/>
        <v>0</v>
      </c>
      <c r="H114" s="44">
        <f t="shared" si="1"/>
        <v>0</v>
      </c>
      <c r="I114" s="91">
        <v>0</v>
      </c>
      <c r="J114" s="104">
        <v>0</v>
      </c>
      <c r="K114" s="104">
        <v>0</v>
      </c>
      <c r="L114" s="91">
        <f t="shared" si="2"/>
        <v>0</v>
      </c>
      <c r="M114" s="91">
        <f t="shared" si="3"/>
        <v>0</v>
      </c>
      <c r="N114" s="92">
        <v>0</v>
      </c>
      <c r="O114" s="105">
        <v>0</v>
      </c>
      <c r="P114" s="105">
        <v>0</v>
      </c>
      <c r="Q114" s="92">
        <f t="shared" si="4"/>
        <v>0</v>
      </c>
      <c r="R114" s="92">
        <f t="shared" si="5"/>
        <v>0</v>
      </c>
      <c r="S114" s="93">
        <v>0</v>
      </c>
      <c r="T114" s="106">
        <v>0</v>
      </c>
      <c r="U114" s="106">
        <v>0</v>
      </c>
      <c r="V114" s="93">
        <f t="shared" si="6"/>
        <v>0</v>
      </c>
      <c r="W114" s="93">
        <f t="shared" si="7"/>
        <v>0</v>
      </c>
      <c r="X114" s="94">
        <v>0</v>
      </c>
      <c r="Y114" s="107">
        <v>0</v>
      </c>
      <c r="Z114" s="107">
        <v>0</v>
      </c>
      <c r="AA114" s="94">
        <f t="shared" si="8"/>
        <v>0</v>
      </c>
      <c r="AB114" s="94">
        <f t="shared" si="9"/>
        <v>0</v>
      </c>
    </row>
    <row r="115" spans="1:28" ht="14.25" customHeight="1">
      <c r="A115" s="97"/>
      <c r="B115" s="97"/>
      <c r="C115" s="44"/>
      <c r="D115" s="44">
        <v>0</v>
      </c>
      <c r="E115" s="43">
        <v>0</v>
      </c>
      <c r="F115" s="43">
        <v>0</v>
      </c>
      <c r="G115" s="44">
        <f t="shared" si="0"/>
        <v>0</v>
      </c>
      <c r="H115" s="44">
        <f t="shared" si="1"/>
        <v>0</v>
      </c>
      <c r="I115" s="91">
        <v>0</v>
      </c>
      <c r="J115" s="104">
        <v>0</v>
      </c>
      <c r="K115" s="104">
        <v>0</v>
      </c>
      <c r="L115" s="91">
        <f t="shared" si="2"/>
        <v>0</v>
      </c>
      <c r="M115" s="91">
        <f t="shared" si="3"/>
        <v>0</v>
      </c>
      <c r="N115" s="92">
        <v>0</v>
      </c>
      <c r="O115" s="105">
        <v>0</v>
      </c>
      <c r="P115" s="105">
        <v>0</v>
      </c>
      <c r="Q115" s="92">
        <f t="shared" si="4"/>
        <v>0</v>
      </c>
      <c r="R115" s="92">
        <f t="shared" si="5"/>
        <v>0</v>
      </c>
      <c r="S115" s="93">
        <v>0</v>
      </c>
      <c r="T115" s="106">
        <v>0</v>
      </c>
      <c r="U115" s="106">
        <v>0</v>
      </c>
      <c r="V115" s="93">
        <f t="shared" si="6"/>
        <v>0</v>
      </c>
      <c r="W115" s="93">
        <f t="shared" si="7"/>
        <v>0</v>
      </c>
      <c r="X115" s="94">
        <v>0</v>
      </c>
      <c r="Y115" s="107">
        <v>0</v>
      </c>
      <c r="Z115" s="107">
        <v>0</v>
      </c>
      <c r="AA115" s="94">
        <f t="shared" si="8"/>
        <v>0</v>
      </c>
      <c r="AB115" s="94">
        <f t="shared" si="9"/>
        <v>0</v>
      </c>
    </row>
    <row r="116" spans="1:28" ht="14.25" customHeight="1">
      <c r="A116" s="97"/>
      <c r="B116" s="97"/>
      <c r="C116" s="44"/>
      <c r="D116" s="44"/>
      <c r="E116" s="43"/>
      <c r="F116" s="43"/>
      <c r="G116" s="44">
        <f t="shared" si="0"/>
        <v>0</v>
      </c>
      <c r="H116" s="44">
        <f t="shared" si="1"/>
        <v>0</v>
      </c>
      <c r="I116" s="96"/>
      <c r="J116" s="97"/>
      <c r="K116" s="97"/>
      <c r="L116" s="96">
        <f t="shared" si="2"/>
        <v>0</v>
      </c>
      <c r="M116" s="96">
        <f t="shared" si="3"/>
        <v>0</v>
      </c>
      <c r="N116" s="92"/>
      <c r="O116" s="105"/>
      <c r="P116" s="105"/>
      <c r="Q116" s="92">
        <f t="shared" si="4"/>
        <v>0</v>
      </c>
      <c r="R116" s="92">
        <f t="shared" si="5"/>
        <v>0</v>
      </c>
      <c r="S116" s="93"/>
      <c r="T116" s="106"/>
      <c r="U116" s="106"/>
      <c r="V116" s="93">
        <f t="shared" si="6"/>
        <v>0</v>
      </c>
      <c r="W116" s="93">
        <f t="shared" si="7"/>
        <v>0</v>
      </c>
      <c r="X116" s="94"/>
      <c r="Y116" s="107"/>
      <c r="Z116" s="107"/>
      <c r="AA116" s="94">
        <f t="shared" si="8"/>
        <v>0</v>
      </c>
      <c r="AB116" s="94">
        <f t="shared" si="9"/>
        <v>0</v>
      </c>
    </row>
    <row r="117" spans="1:28" ht="14.25" customHeight="1">
      <c r="A117" s="97"/>
      <c r="B117" s="97"/>
      <c r="C117" s="44"/>
      <c r="D117" s="44"/>
      <c r="E117" s="43"/>
      <c r="F117" s="43"/>
      <c r="G117" s="44">
        <f t="shared" si="0"/>
        <v>0</v>
      </c>
      <c r="H117" s="44">
        <f t="shared" si="1"/>
        <v>0</v>
      </c>
      <c r="I117" s="96"/>
      <c r="J117" s="97"/>
      <c r="K117" s="97"/>
      <c r="L117" s="96">
        <f t="shared" si="2"/>
        <v>0</v>
      </c>
      <c r="M117" s="96">
        <f t="shared" si="3"/>
        <v>0</v>
      </c>
      <c r="N117" s="92"/>
      <c r="O117" s="105"/>
      <c r="P117" s="105"/>
      <c r="Q117" s="92">
        <f t="shared" si="4"/>
        <v>0</v>
      </c>
      <c r="R117" s="92">
        <f t="shared" si="5"/>
        <v>0</v>
      </c>
      <c r="S117" s="93"/>
      <c r="T117" s="106"/>
      <c r="U117" s="106"/>
      <c r="V117" s="93">
        <f t="shared" si="6"/>
        <v>0</v>
      </c>
      <c r="W117" s="93">
        <f t="shared" si="7"/>
        <v>0</v>
      </c>
      <c r="X117" s="94"/>
      <c r="Y117" s="107"/>
      <c r="Z117" s="107"/>
      <c r="AA117" s="94">
        <f t="shared" si="8"/>
        <v>0</v>
      </c>
      <c r="AB117" s="94">
        <f t="shared" si="9"/>
        <v>0</v>
      </c>
    </row>
    <row r="118" spans="1:28" ht="14.25" customHeight="1">
      <c r="A118" s="97"/>
      <c r="B118" s="97"/>
      <c r="C118" s="43"/>
      <c r="D118" s="43"/>
      <c r="E118" s="43"/>
      <c r="F118" s="43"/>
      <c r="G118" s="43"/>
      <c r="H118" s="43"/>
      <c r="I118" s="108"/>
      <c r="J118" s="108"/>
      <c r="K118" s="108"/>
      <c r="L118" s="108"/>
      <c r="M118" s="108"/>
      <c r="N118" s="105"/>
      <c r="O118" s="105"/>
      <c r="P118" s="105"/>
      <c r="Q118" s="105"/>
      <c r="R118" s="105"/>
      <c r="S118" s="106"/>
      <c r="T118" s="106"/>
      <c r="U118" s="106"/>
      <c r="V118" s="106"/>
      <c r="W118" s="106"/>
      <c r="X118" s="107"/>
      <c r="Y118" s="107"/>
      <c r="Z118" s="107"/>
      <c r="AA118" s="107"/>
      <c r="AB118" s="107"/>
    </row>
    <row r="119" spans="1:28" ht="14.25" customHeight="1">
      <c r="A119" s="97"/>
      <c r="B119" s="97"/>
      <c r="C119" s="44"/>
      <c r="D119" s="44"/>
      <c r="E119" s="43"/>
      <c r="F119" s="43"/>
      <c r="G119" s="43"/>
      <c r="H119" s="43"/>
      <c r="I119" s="109"/>
      <c r="J119" s="108"/>
      <c r="K119" s="108"/>
      <c r="L119" s="108"/>
      <c r="M119" s="108"/>
      <c r="N119" s="92"/>
      <c r="O119" s="105"/>
      <c r="P119" s="105"/>
      <c r="Q119" s="105"/>
      <c r="R119" s="105"/>
      <c r="S119" s="93"/>
      <c r="T119" s="160" t="s">
        <v>43</v>
      </c>
      <c r="U119" s="106"/>
      <c r="V119" s="106"/>
      <c r="W119" s="106"/>
      <c r="X119" s="94"/>
      <c r="Y119" s="107"/>
      <c r="Z119" s="107"/>
      <c r="AA119" s="107"/>
      <c r="AB119" s="107"/>
    </row>
    <row r="120" spans="1:28" ht="14.25" customHeight="1">
      <c r="A120" s="97"/>
      <c r="B120" s="97"/>
      <c r="C120" s="44"/>
      <c r="D120" s="44"/>
      <c r="E120" s="160" t="s">
        <v>43</v>
      </c>
      <c r="F120" s="110"/>
      <c r="G120" s="43"/>
      <c r="H120" s="43"/>
      <c r="I120" s="109"/>
      <c r="J120" s="160" t="s">
        <v>43</v>
      </c>
      <c r="K120" s="111"/>
      <c r="L120" s="108"/>
      <c r="M120" s="108"/>
      <c r="N120" s="92"/>
      <c r="O120" s="160" t="s">
        <v>43</v>
      </c>
      <c r="P120" s="112"/>
      <c r="Q120" s="105"/>
      <c r="R120" s="105"/>
      <c r="S120" s="93"/>
      <c r="T120" s="106"/>
      <c r="U120" s="113"/>
      <c r="V120" s="106"/>
      <c r="W120" s="106"/>
      <c r="X120" s="160" t="s">
        <v>43</v>
      </c>
      <c r="Y120" s="107"/>
      <c r="Z120" s="114"/>
      <c r="AA120" s="107"/>
      <c r="AB120" s="107"/>
    </row>
    <row r="121" spans="1:28" ht="14.25" customHeight="1">
      <c r="A121" s="97"/>
      <c r="B121" s="97"/>
      <c r="C121" s="44"/>
      <c r="D121" s="44"/>
      <c r="E121" s="43"/>
      <c r="F121" s="43"/>
      <c r="G121" s="43"/>
      <c r="H121" s="43"/>
      <c r="I121" s="109"/>
      <c r="J121" s="108"/>
      <c r="K121" s="108"/>
      <c r="L121" s="108"/>
      <c r="M121" s="108"/>
      <c r="N121" s="92"/>
      <c r="O121" s="105"/>
      <c r="P121" s="105"/>
      <c r="Q121" s="105"/>
      <c r="R121" s="105"/>
      <c r="S121" s="93"/>
      <c r="T121" s="106"/>
      <c r="U121" s="106"/>
      <c r="V121" s="106"/>
      <c r="W121" s="106"/>
      <c r="X121" s="94"/>
      <c r="Y121" s="107"/>
      <c r="Z121" s="107"/>
      <c r="AA121" s="107"/>
      <c r="AB121" s="107"/>
    </row>
    <row r="122" spans="1:28" ht="14.25" customHeight="1">
      <c r="A122" s="97"/>
      <c r="B122" s="97"/>
      <c r="C122" s="96"/>
      <c r="D122" s="96"/>
      <c r="E122" s="97"/>
      <c r="F122" s="97"/>
      <c r="G122" s="97"/>
      <c r="H122" s="97"/>
      <c r="N122" s="115"/>
      <c r="O122" s="115"/>
      <c r="P122" s="115"/>
      <c r="Q122" s="115"/>
      <c r="R122" s="115"/>
      <c r="S122" s="116"/>
      <c r="T122" s="116"/>
      <c r="U122" s="116"/>
      <c r="V122" s="116"/>
      <c r="W122" s="116"/>
      <c r="X122" s="117"/>
      <c r="Y122" s="117"/>
      <c r="Z122" s="117"/>
      <c r="AA122" s="117"/>
      <c r="AB122" s="117"/>
    </row>
    <row r="123" spans="1:28" ht="14.25" customHeight="1">
      <c r="A123" s="97"/>
      <c r="B123" s="97"/>
      <c r="C123" s="96"/>
      <c r="D123" s="96"/>
      <c r="E123" s="97"/>
      <c r="F123" s="97"/>
      <c r="G123" s="97"/>
      <c r="H123" s="97"/>
      <c r="N123" s="115"/>
      <c r="O123" s="115"/>
      <c r="P123" s="115"/>
      <c r="Q123" s="115"/>
      <c r="R123" s="115"/>
      <c r="X123" s="117"/>
      <c r="Y123" s="117"/>
      <c r="Z123" s="117"/>
      <c r="AA123" s="117"/>
      <c r="AB123" s="117"/>
    </row>
    <row r="124" spans="1:28" ht="14.25" customHeight="1">
      <c r="A124" s="97"/>
      <c r="B124" s="97"/>
      <c r="C124" s="96"/>
      <c r="D124" s="96"/>
      <c r="E124" s="97"/>
      <c r="F124" s="97"/>
      <c r="G124" s="97"/>
      <c r="H124" s="97"/>
      <c r="N124" s="115"/>
      <c r="O124" s="115"/>
      <c r="P124" s="115"/>
      <c r="Q124" s="115"/>
      <c r="R124" s="115"/>
      <c r="X124" s="117"/>
      <c r="Y124" s="117"/>
      <c r="Z124" s="117"/>
      <c r="AA124" s="117"/>
      <c r="AB124" s="117"/>
    </row>
    <row r="125" spans="1:28" ht="14.25" customHeight="1">
      <c r="A125" s="97"/>
      <c r="B125" s="97"/>
      <c r="C125" s="96"/>
      <c r="D125" s="96"/>
      <c r="E125" s="97"/>
      <c r="F125" s="97"/>
      <c r="G125" s="97"/>
      <c r="H125" s="97"/>
    </row>
    <row r="126" spans="1:28" ht="14.25" customHeight="1">
      <c r="A126" s="97"/>
      <c r="B126" s="97"/>
      <c r="C126" s="96"/>
      <c r="D126" s="96"/>
      <c r="E126" s="97"/>
      <c r="F126" s="97"/>
      <c r="G126" s="97"/>
      <c r="H126" s="97"/>
    </row>
    <row r="127" spans="1:28" ht="14.25" customHeight="1">
      <c r="A127" s="97"/>
      <c r="B127" s="97"/>
      <c r="C127" s="96"/>
      <c r="D127" s="96"/>
      <c r="E127" s="97"/>
      <c r="F127" s="97"/>
      <c r="G127" s="97"/>
      <c r="H127" s="97"/>
    </row>
    <row r="128" spans="1:28" ht="14.25" customHeight="1">
      <c r="A128" s="97"/>
      <c r="B128" s="97"/>
      <c r="C128" s="96"/>
      <c r="D128" s="96"/>
      <c r="E128" s="97"/>
      <c r="F128" s="97"/>
      <c r="G128" s="97"/>
      <c r="H128" s="97"/>
    </row>
    <row r="129" spans="1:8" ht="14.25" customHeight="1">
      <c r="A129" s="97"/>
      <c r="B129" s="97"/>
      <c r="C129" s="96"/>
      <c r="D129" s="96"/>
      <c r="E129" s="97"/>
      <c r="F129" s="97"/>
      <c r="G129" s="97"/>
      <c r="H129" s="97"/>
    </row>
    <row r="130" spans="1:8" ht="14.25" customHeight="1">
      <c r="A130" s="97"/>
      <c r="B130" s="97"/>
      <c r="C130" s="96"/>
      <c r="D130" s="96"/>
      <c r="E130" s="97"/>
      <c r="F130" s="97"/>
      <c r="G130" s="97"/>
      <c r="H130" s="97"/>
    </row>
    <row r="131" spans="1:8" ht="14.25" customHeight="1">
      <c r="A131" s="97"/>
      <c r="B131" s="97"/>
      <c r="C131" s="96"/>
      <c r="D131" s="96"/>
      <c r="E131" s="97"/>
      <c r="F131" s="97"/>
      <c r="G131" s="97"/>
      <c r="H131" s="97"/>
    </row>
    <row r="132" spans="1:8" ht="14.25" customHeight="1">
      <c r="A132" s="97"/>
      <c r="B132" s="97"/>
      <c r="C132" s="96"/>
      <c r="D132" s="96"/>
      <c r="E132" s="97"/>
      <c r="F132" s="97"/>
      <c r="G132" s="97"/>
      <c r="H132" s="97"/>
    </row>
    <row r="133" spans="1:8" ht="14.25" customHeight="1">
      <c r="A133" s="97"/>
      <c r="B133" s="97"/>
      <c r="C133" s="96"/>
      <c r="D133" s="96"/>
      <c r="E133" s="97"/>
      <c r="F133" s="97"/>
      <c r="G133" s="97"/>
      <c r="H133" s="97"/>
    </row>
    <row r="134" spans="1:8" ht="14.25" customHeight="1">
      <c r="A134" s="97"/>
      <c r="B134" s="97"/>
      <c r="C134" s="96"/>
      <c r="D134" s="96"/>
      <c r="E134" s="97"/>
      <c r="F134" s="97"/>
      <c r="G134" s="97"/>
      <c r="H134" s="97"/>
    </row>
    <row r="135" spans="1:8" ht="14.25" customHeight="1">
      <c r="A135" s="97"/>
      <c r="B135" s="97"/>
      <c r="C135" s="96"/>
      <c r="D135" s="96"/>
      <c r="E135" s="97"/>
      <c r="F135" s="97"/>
      <c r="G135" s="97"/>
      <c r="H135" s="97"/>
    </row>
    <row r="136" spans="1:8" ht="14.25" customHeight="1">
      <c r="A136" s="97"/>
      <c r="B136" s="97"/>
      <c r="C136" s="96"/>
      <c r="D136" s="96"/>
      <c r="E136" s="97"/>
      <c r="F136" s="97"/>
      <c r="G136" s="97"/>
      <c r="H136" s="97"/>
    </row>
    <row r="137" spans="1:8" ht="14.25" customHeight="1">
      <c r="A137" s="97"/>
      <c r="B137" s="97"/>
      <c r="C137" s="96"/>
      <c r="D137" s="96"/>
      <c r="E137" s="97"/>
      <c r="F137" s="97"/>
      <c r="G137" s="97"/>
      <c r="H137" s="97"/>
    </row>
    <row r="138" spans="1:8" ht="14.25" customHeight="1">
      <c r="A138" s="97"/>
      <c r="B138" s="97"/>
      <c r="C138" s="96"/>
      <c r="D138" s="96"/>
      <c r="E138" s="97"/>
      <c r="F138" s="97"/>
      <c r="G138" s="97"/>
      <c r="H138" s="97"/>
    </row>
    <row r="139" spans="1:8" ht="14.25" customHeight="1">
      <c r="A139" s="97"/>
      <c r="B139" s="97"/>
      <c r="C139" s="96"/>
      <c r="D139" s="96"/>
      <c r="E139" s="97"/>
      <c r="F139" s="97"/>
      <c r="G139" s="97"/>
      <c r="H139" s="97"/>
    </row>
    <row r="140" spans="1:8" ht="14.25" customHeight="1">
      <c r="A140" s="97"/>
      <c r="B140" s="97"/>
      <c r="C140" s="96"/>
      <c r="D140" s="96"/>
      <c r="E140" s="97"/>
      <c r="F140" s="97"/>
      <c r="G140" s="97"/>
      <c r="H140" s="97"/>
    </row>
    <row r="141" spans="1:8" ht="14.25" customHeight="1">
      <c r="A141" s="97"/>
      <c r="B141" s="97"/>
      <c r="C141" s="96"/>
      <c r="D141" s="96"/>
      <c r="E141" s="97"/>
      <c r="F141" s="97"/>
      <c r="G141" s="97"/>
      <c r="H141" s="97"/>
    </row>
    <row r="142" spans="1:8" ht="14.25" customHeight="1">
      <c r="A142" s="97"/>
      <c r="B142" s="97"/>
      <c r="C142" s="96"/>
      <c r="D142" s="96"/>
      <c r="E142" s="97"/>
      <c r="F142" s="97"/>
      <c r="G142" s="97"/>
      <c r="H142" s="97"/>
    </row>
    <row r="143" spans="1:8" ht="14.25" customHeight="1">
      <c r="A143" s="97"/>
      <c r="B143" s="97"/>
      <c r="C143" s="96"/>
      <c r="D143" s="96"/>
      <c r="E143" s="97"/>
      <c r="F143" s="97"/>
      <c r="G143" s="97"/>
      <c r="H143" s="97"/>
    </row>
    <row r="144" spans="1:8" ht="14.25" customHeight="1">
      <c r="A144" s="97"/>
      <c r="B144" s="97"/>
      <c r="C144" s="96"/>
      <c r="D144" s="96"/>
      <c r="E144" s="97"/>
      <c r="F144" s="97"/>
      <c r="G144" s="97"/>
      <c r="H144" s="97"/>
    </row>
    <row r="145" spans="1:8" ht="14.25" customHeight="1">
      <c r="A145" s="97"/>
      <c r="B145" s="97"/>
      <c r="C145" s="96"/>
      <c r="D145" s="96"/>
      <c r="E145" s="97"/>
      <c r="F145" s="97"/>
      <c r="G145" s="97"/>
      <c r="H145" s="97"/>
    </row>
    <row r="146" spans="1:8" ht="14.25" customHeight="1">
      <c r="A146" s="97"/>
      <c r="B146" s="97"/>
      <c r="C146" s="96"/>
      <c r="D146" s="96"/>
      <c r="E146" s="97"/>
      <c r="F146" s="97"/>
      <c r="G146" s="97"/>
      <c r="H146" s="97"/>
    </row>
    <row r="147" spans="1:8" ht="14.25" customHeight="1">
      <c r="A147" s="97"/>
      <c r="B147" s="97"/>
      <c r="C147" s="96"/>
      <c r="D147" s="96"/>
      <c r="E147" s="97"/>
      <c r="F147" s="97"/>
      <c r="G147" s="97"/>
      <c r="H147" s="97"/>
    </row>
    <row r="148" spans="1:8" ht="14.25" customHeight="1">
      <c r="A148" s="97"/>
      <c r="B148" s="97"/>
      <c r="C148" s="96"/>
      <c r="D148" s="96"/>
      <c r="E148" s="97"/>
      <c r="F148" s="97"/>
      <c r="G148" s="97"/>
      <c r="H148" s="97"/>
    </row>
    <row r="149" spans="1:8" ht="14.25" customHeight="1">
      <c r="A149" s="97"/>
      <c r="B149" s="97"/>
      <c r="C149" s="96"/>
      <c r="D149" s="96"/>
      <c r="E149" s="97"/>
      <c r="F149" s="97"/>
      <c r="G149" s="97"/>
      <c r="H149" s="97"/>
    </row>
    <row r="150" spans="1:8" ht="14.25" customHeight="1">
      <c r="A150" s="97"/>
      <c r="B150" s="97"/>
      <c r="C150" s="96"/>
      <c r="D150" s="96"/>
      <c r="E150" s="97"/>
      <c r="F150" s="97"/>
      <c r="G150" s="97"/>
      <c r="H150" s="97"/>
    </row>
    <row r="151" spans="1:8" ht="14.25" customHeight="1">
      <c r="A151" s="97"/>
      <c r="B151" s="97"/>
      <c r="C151" s="96"/>
      <c r="D151" s="96"/>
      <c r="E151" s="97"/>
      <c r="F151" s="97"/>
      <c r="G151" s="97"/>
      <c r="H151" s="97"/>
    </row>
    <row r="152" spans="1:8" ht="14.25" customHeight="1">
      <c r="A152" s="97"/>
      <c r="B152" s="97"/>
      <c r="C152" s="96"/>
      <c r="D152" s="96"/>
      <c r="E152" s="97"/>
      <c r="F152" s="97"/>
      <c r="G152" s="97"/>
      <c r="H152" s="97"/>
    </row>
    <row r="153" spans="1:8" ht="14.25" customHeight="1">
      <c r="A153" s="97"/>
      <c r="B153" s="97"/>
      <c r="C153" s="96"/>
      <c r="D153" s="96"/>
      <c r="E153" s="97"/>
      <c r="F153" s="97"/>
      <c r="G153" s="97"/>
      <c r="H153" s="97"/>
    </row>
    <row r="154" spans="1:8" ht="14.25" customHeight="1">
      <c r="A154" s="97"/>
      <c r="B154" s="97"/>
      <c r="C154" s="96"/>
      <c r="D154" s="96"/>
      <c r="E154" s="97"/>
      <c r="F154" s="97"/>
      <c r="G154" s="97"/>
      <c r="H154" s="97"/>
    </row>
    <row r="155" spans="1:8" ht="14.25" customHeight="1">
      <c r="A155" s="97"/>
      <c r="B155" s="97"/>
      <c r="C155" s="96"/>
      <c r="D155" s="96"/>
      <c r="E155" s="97"/>
      <c r="F155" s="97"/>
      <c r="G155" s="97"/>
      <c r="H155" s="97"/>
    </row>
    <row r="156" spans="1:8" ht="14.25" customHeight="1">
      <c r="A156" s="97"/>
      <c r="B156" s="97"/>
      <c r="C156" s="96"/>
      <c r="D156" s="96"/>
      <c r="E156" s="97"/>
      <c r="F156" s="97"/>
      <c r="G156" s="97"/>
      <c r="H156" s="97"/>
    </row>
    <row r="157" spans="1:8" ht="14.25" customHeight="1">
      <c r="A157" s="97"/>
      <c r="B157" s="97"/>
      <c r="C157" s="96"/>
      <c r="D157" s="96"/>
      <c r="E157" s="97"/>
      <c r="F157" s="97"/>
      <c r="G157" s="97"/>
      <c r="H157" s="97"/>
    </row>
    <row r="158" spans="1:8" ht="14.25" customHeight="1">
      <c r="A158" s="97"/>
      <c r="B158" s="97"/>
      <c r="C158" s="96"/>
      <c r="D158" s="96"/>
      <c r="E158" s="97"/>
      <c r="F158" s="97"/>
      <c r="G158" s="97"/>
      <c r="H158" s="97"/>
    </row>
    <row r="159" spans="1:8" ht="14.25" customHeight="1">
      <c r="A159" s="97"/>
      <c r="B159" s="97"/>
      <c r="C159" s="96"/>
      <c r="D159" s="96"/>
      <c r="E159" s="97"/>
      <c r="F159" s="97"/>
      <c r="G159" s="97"/>
      <c r="H159" s="97"/>
    </row>
    <row r="160" spans="1:8" ht="14.25" customHeight="1">
      <c r="A160" s="97"/>
      <c r="B160" s="97"/>
      <c r="C160" s="96"/>
      <c r="D160" s="96"/>
      <c r="E160" s="97"/>
      <c r="F160" s="97"/>
      <c r="G160" s="97"/>
      <c r="H160" s="97"/>
    </row>
    <row r="161" spans="1:8" ht="14.25" customHeight="1">
      <c r="A161" s="97"/>
      <c r="B161" s="97"/>
      <c r="C161" s="96"/>
      <c r="D161" s="96"/>
      <c r="E161" s="97"/>
      <c r="F161" s="97"/>
      <c r="G161" s="97"/>
      <c r="H161" s="97"/>
    </row>
    <row r="162" spans="1:8" ht="14.25" customHeight="1">
      <c r="A162" s="97"/>
      <c r="B162" s="97"/>
      <c r="C162" s="96"/>
      <c r="D162" s="96"/>
      <c r="E162" s="97"/>
      <c r="F162" s="97"/>
      <c r="G162" s="97"/>
      <c r="H162" s="97"/>
    </row>
    <row r="163" spans="1:8" ht="14.25" customHeight="1">
      <c r="A163" s="97"/>
      <c r="B163" s="97"/>
      <c r="C163" s="96"/>
      <c r="D163" s="96"/>
      <c r="E163" s="97"/>
      <c r="F163" s="97"/>
      <c r="G163" s="97"/>
      <c r="H163" s="97"/>
    </row>
    <row r="164" spans="1:8" ht="14.25" customHeight="1">
      <c r="A164" s="97"/>
      <c r="B164" s="97"/>
      <c r="C164" s="96"/>
      <c r="D164" s="96"/>
      <c r="E164" s="97"/>
      <c r="F164" s="97"/>
      <c r="G164" s="97"/>
      <c r="H164" s="97"/>
    </row>
    <row r="165" spans="1:8" ht="14.25" customHeight="1">
      <c r="A165" s="97"/>
      <c r="B165" s="97"/>
      <c r="C165" s="96"/>
      <c r="D165" s="96"/>
      <c r="E165" s="97"/>
      <c r="F165" s="97"/>
      <c r="G165" s="97"/>
      <c r="H165" s="97"/>
    </row>
    <row r="166" spans="1:8" ht="14.25" customHeight="1">
      <c r="A166" s="97"/>
      <c r="B166" s="97"/>
      <c r="C166" s="96"/>
      <c r="D166" s="96"/>
      <c r="E166" s="97"/>
      <c r="F166" s="97"/>
      <c r="G166" s="97"/>
      <c r="H166" s="97"/>
    </row>
    <row r="167" spans="1:8" ht="14.25" customHeight="1">
      <c r="A167" s="97"/>
      <c r="B167" s="97"/>
      <c r="C167" s="96"/>
      <c r="D167" s="96"/>
      <c r="E167" s="97"/>
      <c r="F167" s="97"/>
      <c r="G167" s="97"/>
      <c r="H167" s="97"/>
    </row>
    <row r="168" spans="1:8" ht="14.25" customHeight="1">
      <c r="A168" s="97"/>
      <c r="B168" s="97"/>
      <c r="C168" s="96"/>
      <c r="D168" s="96"/>
      <c r="E168" s="97"/>
      <c r="F168" s="97"/>
      <c r="G168" s="97"/>
      <c r="H168" s="97"/>
    </row>
    <row r="169" spans="1:8" ht="14.25" customHeight="1">
      <c r="A169" s="97"/>
      <c r="B169" s="97"/>
      <c r="C169" s="96"/>
      <c r="D169" s="96"/>
      <c r="E169" s="97"/>
      <c r="F169" s="97"/>
      <c r="G169" s="97"/>
      <c r="H169" s="97"/>
    </row>
    <row r="170" spans="1:8" ht="14.25" customHeight="1">
      <c r="A170" s="97"/>
      <c r="B170" s="97"/>
      <c r="C170" s="96"/>
      <c r="D170" s="96"/>
      <c r="E170" s="97"/>
      <c r="F170" s="97"/>
      <c r="G170" s="97"/>
      <c r="H170" s="97"/>
    </row>
    <row r="171" spans="1:8" ht="14.25" customHeight="1">
      <c r="A171" s="97"/>
      <c r="B171" s="97"/>
      <c r="C171" s="96"/>
      <c r="D171" s="96"/>
      <c r="E171" s="97"/>
      <c r="F171" s="97"/>
      <c r="G171" s="97"/>
      <c r="H171" s="97"/>
    </row>
    <row r="172" spans="1:8" ht="14.25" customHeight="1">
      <c r="A172" s="97"/>
      <c r="B172" s="97"/>
      <c r="C172" s="96"/>
      <c r="D172" s="96"/>
      <c r="E172" s="97"/>
      <c r="F172" s="97"/>
      <c r="G172" s="97"/>
      <c r="H172" s="97"/>
    </row>
    <row r="173" spans="1:8" ht="14.25" customHeight="1">
      <c r="A173" s="97"/>
      <c r="B173" s="97"/>
      <c r="C173" s="96"/>
      <c r="D173" s="96"/>
      <c r="E173" s="97"/>
      <c r="F173" s="97"/>
      <c r="G173" s="97"/>
      <c r="H173" s="97"/>
    </row>
    <row r="174" spans="1:8" ht="14.25" customHeight="1">
      <c r="A174" s="97"/>
      <c r="B174" s="97"/>
      <c r="C174" s="96"/>
      <c r="D174" s="96"/>
      <c r="E174" s="97"/>
      <c r="F174" s="97"/>
      <c r="G174" s="97"/>
      <c r="H174" s="97"/>
    </row>
    <row r="175" spans="1:8" ht="14.25" customHeight="1">
      <c r="A175" s="97"/>
      <c r="B175" s="97"/>
      <c r="C175" s="96"/>
      <c r="D175" s="96"/>
      <c r="E175" s="97"/>
      <c r="F175" s="97"/>
      <c r="G175" s="97"/>
      <c r="H175" s="97"/>
    </row>
    <row r="176" spans="1:8" ht="14.25" customHeight="1">
      <c r="A176" s="97"/>
      <c r="B176" s="97"/>
      <c r="C176" s="96"/>
      <c r="D176" s="96"/>
      <c r="E176" s="97"/>
      <c r="F176" s="97"/>
      <c r="G176" s="97"/>
      <c r="H176" s="97"/>
    </row>
    <row r="177" spans="1:8" ht="14.25" customHeight="1">
      <c r="A177" s="97"/>
      <c r="B177" s="97"/>
      <c r="C177" s="96"/>
      <c r="D177" s="96"/>
      <c r="E177" s="97"/>
      <c r="F177" s="97"/>
      <c r="G177" s="97"/>
      <c r="H177" s="97"/>
    </row>
    <row r="178" spans="1:8" ht="14.25" customHeight="1">
      <c r="A178" s="97"/>
      <c r="B178" s="97"/>
      <c r="C178" s="96"/>
      <c r="D178" s="96"/>
      <c r="E178" s="97"/>
      <c r="F178" s="97"/>
      <c r="G178" s="97"/>
      <c r="H178" s="97"/>
    </row>
    <row r="179" spans="1:8" ht="14.25" customHeight="1">
      <c r="A179" s="97"/>
      <c r="B179" s="97"/>
      <c r="C179" s="96"/>
      <c r="D179" s="96"/>
      <c r="E179" s="97"/>
      <c r="F179" s="97"/>
      <c r="G179" s="97"/>
      <c r="H179" s="97"/>
    </row>
    <row r="180" spans="1:8" ht="14.25" customHeight="1">
      <c r="A180" s="97"/>
      <c r="B180" s="97"/>
      <c r="C180" s="96"/>
      <c r="D180" s="96"/>
      <c r="E180" s="97"/>
      <c r="F180" s="97"/>
      <c r="G180" s="97"/>
      <c r="H180" s="97"/>
    </row>
    <row r="181" spans="1:8" ht="14.25" customHeight="1">
      <c r="A181" s="97"/>
      <c r="B181" s="97"/>
      <c r="C181" s="96"/>
      <c r="D181" s="96"/>
      <c r="E181" s="97"/>
      <c r="F181" s="97"/>
      <c r="G181" s="97"/>
      <c r="H181" s="97"/>
    </row>
    <row r="182" spans="1:8" ht="14.25" customHeight="1">
      <c r="A182" s="97"/>
      <c r="B182" s="97"/>
      <c r="C182" s="96"/>
      <c r="D182" s="96"/>
      <c r="E182" s="97"/>
      <c r="F182" s="97"/>
      <c r="G182" s="97"/>
      <c r="H182" s="97"/>
    </row>
    <row r="183" spans="1:8" ht="14.25" customHeight="1">
      <c r="A183" s="97"/>
      <c r="B183" s="97"/>
      <c r="C183" s="96"/>
      <c r="D183" s="96"/>
      <c r="E183" s="97"/>
      <c r="F183" s="97"/>
      <c r="G183" s="97"/>
      <c r="H183" s="97"/>
    </row>
    <row r="184" spans="1:8" ht="14.25" customHeight="1">
      <c r="A184" s="97"/>
      <c r="B184" s="97"/>
      <c r="C184" s="96"/>
      <c r="D184" s="96"/>
      <c r="E184" s="97"/>
      <c r="F184" s="97"/>
      <c r="G184" s="97"/>
      <c r="H184" s="97"/>
    </row>
    <row r="185" spans="1:8" ht="14.25" customHeight="1">
      <c r="A185" s="97"/>
      <c r="B185" s="97"/>
      <c r="C185" s="96"/>
      <c r="D185" s="96"/>
      <c r="E185" s="97"/>
      <c r="F185" s="97"/>
      <c r="G185" s="97"/>
      <c r="H185" s="97"/>
    </row>
    <row r="186" spans="1:8" ht="14.25" customHeight="1">
      <c r="A186" s="97"/>
      <c r="B186" s="97"/>
      <c r="C186" s="96"/>
      <c r="D186" s="96"/>
      <c r="E186" s="97"/>
      <c r="F186" s="97"/>
      <c r="G186" s="97"/>
      <c r="H186" s="97"/>
    </row>
    <row r="187" spans="1:8" ht="14.25" customHeight="1">
      <c r="A187" s="97"/>
      <c r="B187" s="97"/>
      <c r="C187" s="96"/>
      <c r="D187" s="96"/>
      <c r="E187" s="97"/>
      <c r="F187" s="97"/>
      <c r="G187" s="97"/>
      <c r="H187" s="97"/>
    </row>
    <row r="188" spans="1:8" ht="14.25" customHeight="1">
      <c r="A188" s="97"/>
      <c r="B188" s="97"/>
      <c r="C188" s="96"/>
      <c r="D188" s="96"/>
      <c r="E188" s="97"/>
      <c r="F188" s="97"/>
      <c r="G188" s="97"/>
      <c r="H188" s="97"/>
    </row>
    <row r="189" spans="1:8" ht="14.25" customHeight="1">
      <c r="A189" s="97"/>
      <c r="B189" s="97"/>
      <c r="C189" s="96"/>
      <c r="D189" s="96"/>
      <c r="E189" s="97"/>
      <c r="F189" s="97"/>
      <c r="G189" s="97"/>
      <c r="H189" s="97"/>
    </row>
    <row r="190" spans="1:8" ht="14.25" customHeight="1">
      <c r="A190" s="97"/>
      <c r="B190" s="97"/>
      <c r="C190" s="96"/>
      <c r="D190" s="96"/>
      <c r="E190" s="97"/>
      <c r="F190" s="97"/>
      <c r="G190" s="97"/>
      <c r="H190" s="97"/>
    </row>
    <row r="191" spans="1:8" ht="14.25" customHeight="1">
      <c r="A191" s="97"/>
      <c r="B191" s="97"/>
      <c r="C191" s="96"/>
      <c r="D191" s="96"/>
      <c r="E191" s="97"/>
      <c r="F191" s="97"/>
      <c r="G191" s="97"/>
      <c r="H191" s="97"/>
    </row>
    <row r="192" spans="1:8" ht="14.25" customHeight="1">
      <c r="A192" s="97"/>
      <c r="B192" s="97"/>
      <c r="C192" s="96"/>
      <c r="D192" s="96"/>
      <c r="E192" s="97"/>
      <c r="F192" s="97"/>
      <c r="G192" s="97"/>
      <c r="H192" s="97"/>
    </row>
    <row r="193" spans="1:8" ht="14.25" customHeight="1">
      <c r="A193" s="97"/>
      <c r="B193" s="97"/>
      <c r="C193" s="96"/>
      <c r="D193" s="96"/>
      <c r="E193" s="97"/>
      <c r="F193" s="97"/>
      <c r="G193" s="97"/>
      <c r="H193" s="97"/>
    </row>
    <row r="194" spans="1:8" ht="14.25" customHeight="1">
      <c r="A194" s="97"/>
      <c r="B194" s="97"/>
      <c r="C194" s="96"/>
      <c r="D194" s="96"/>
      <c r="E194" s="97"/>
      <c r="F194" s="97"/>
      <c r="G194" s="97"/>
      <c r="H194" s="97"/>
    </row>
    <row r="195" spans="1:8" ht="14.25" customHeight="1">
      <c r="A195" s="97"/>
      <c r="B195" s="97"/>
      <c r="C195" s="96"/>
      <c r="D195" s="96"/>
      <c r="E195" s="97"/>
      <c r="F195" s="97"/>
      <c r="G195" s="97"/>
      <c r="H195" s="97"/>
    </row>
    <row r="196" spans="1:8" ht="14.25" customHeight="1">
      <c r="A196" s="97"/>
      <c r="B196" s="97"/>
      <c r="C196" s="96"/>
      <c r="D196" s="96"/>
      <c r="E196" s="97"/>
      <c r="F196" s="97"/>
      <c r="G196" s="97"/>
      <c r="H196" s="97"/>
    </row>
    <row r="197" spans="1:8" ht="14.25" customHeight="1">
      <c r="A197" s="97"/>
      <c r="B197" s="97"/>
      <c r="C197" s="96"/>
      <c r="D197" s="96"/>
      <c r="E197" s="97"/>
      <c r="F197" s="97"/>
      <c r="G197" s="97"/>
      <c r="H197" s="97"/>
    </row>
    <row r="198" spans="1:8" ht="14.25" customHeight="1">
      <c r="A198" s="97"/>
      <c r="B198" s="97"/>
      <c r="C198" s="96"/>
      <c r="D198" s="96"/>
      <c r="E198" s="97"/>
      <c r="F198" s="97"/>
      <c r="G198" s="97"/>
      <c r="H198" s="97"/>
    </row>
    <row r="199" spans="1:8" ht="14.25" customHeight="1">
      <c r="A199" s="97"/>
      <c r="B199" s="97"/>
      <c r="C199" s="96"/>
      <c r="D199" s="96"/>
      <c r="E199" s="97"/>
      <c r="F199" s="97"/>
      <c r="G199" s="97"/>
      <c r="H199" s="97"/>
    </row>
    <row r="200" spans="1:8" ht="14.25" customHeight="1">
      <c r="A200" s="97"/>
      <c r="B200" s="97"/>
      <c r="C200" s="96"/>
      <c r="D200" s="96"/>
      <c r="E200" s="97"/>
      <c r="F200" s="97"/>
      <c r="G200" s="97"/>
      <c r="H200" s="97"/>
    </row>
    <row r="201" spans="1:8" ht="14.25" customHeight="1">
      <c r="A201" s="97"/>
      <c r="B201" s="97"/>
      <c r="C201" s="96"/>
      <c r="D201" s="96"/>
      <c r="E201" s="97"/>
      <c r="F201" s="97"/>
      <c r="G201" s="97"/>
      <c r="H201" s="97"/>
    </row>
    <row r="202" spans="1:8" ht="14.25" customHeight="1">
      <c r="A202" s="97"/>
      <c r="B202" s="97"/>
      <c r="C202" s="96"/>
      <c r="D202" s="96"/>
      <c r="E202" s="97"/>
      <c r="F202" s="97"/>
      <c r="G202" s="97"/>
      <c r="H202" s="97"/>
    </row>
    <row r="203" spans="1:8" ht="14.25" customHeight="1">
      <c r="A203" s="97"/>
      <c r="B203" s="97"/>
      <c r="C203" s="96"/>
      <c r="D203" s="96"/>
      <c r="E203" s="97"/>
      <c r="F203" s="97"/>
      <c r="G203" s="97"/>
      <c r="H203" s="97"/>
    </row>
    <row r="204" spans="1:8" ht="14.25" customHeight="1">
      <c r="A204" s="97"/>
      <c r="B204" s="97"/>
      <c r="C204" s="96"/>
      <c r="D204" s="96"/>
      <c r="E204" s="97"/>
      <c r="F204" s="97"/>
      <c r="G204" s="97"/>
      <c r="H204" s="97"/>
    </row>
    <row r="205" spans="1:8" ht="14.25" customHeight="1">
      <c r="A205" s="97"/>
      <c r="B205" s="97"/>
      <c r="C205" s="96"/>
      <c r="D205" s="96"/>
      <c r="E205" s="97"/>
      <c r="F205" s="97"/>
      <c r="G205" s="97"/>
      <c r="H205" s="97"/>
    </row>
    <row r="206" spans="1:8" ht="14.25" customHeight="1">
      <c r="A206" s="97"/>
      <c r="B206" s="97"/>
      <c r="C206" s="96"/>
      <c r="D206" s="96"/>
      <c r="E206" s="97"/>
      <c r="F206" s="97"/>
      <c r="G206" s="97"/>
      <c r="H206" s="97"/>
    </row>
    <row r="207" spans="1:8" ht="14.25" customHeight="1">
      <c r="A207" s="97"/>
      <c r="B207" s="97"/>
      <c r="C207" s="96"/>
      <c r="D207" s="96"/>
      <c r="E207" s="97"/>
      <c r="F207" s="97"/>
      <c r="G207" s="97"/>
      <c r="H207" s="97"/>
    </row>
    <row r="208" spans="1:8" ht="14.25" customHeight="1">
      <c r="A208" s="97"/>
      <c r="B208" s="97"/>
      <c r="C208" s="96"/>
      <c r="D208" s="96"/>
      <c r="E208" s="97"/>
      <c r="F208" s="97"/>
      <c r="G208" s="97"/>
      <c r="H208" s="97"/>
    </row>
    <row r="209" spans="1:8" ht="14.25" customHeight="1">
      <c r="A209" s="97"/>
      <c r="B209" s="97"/>
      <c r="C209" s="96"/>
      <c r="D209" s="96"/>
      <c r="E209" s="97"/>
      <c r="F209" s="97"/>
      <c r="G209" s="97"/>
      <c r="H209" s="97"/>
    </row>
    <row r="210" spans="1:8" ht="14.25" customHeight="1">
      <c r="A210" s="97"/>
      <c r="B210" s="97"/>
      <c r="C210" s="96"/>
      <c r="D210" s="96"/>
      <c r="E210" s="97"/>
      <c r="F210" s="97"/>
      <c r="G210" s="97"/>
      <c r="H210" s="97"/>
    </row>
    <row r="211" spans="1:8" ht="14.25" customHeight="1">
      <c r="A211" s="97"/>
      <c r="B211" s="97"/>
      <c r="C211" s="96"/>
      <c r="D211" s="96"/>
      <c r="E211" s="97"/>
      <c r="F211" s="97"/>
      <c r="G211" s="97"/>
      <c r="H211" s="97"/>
    </row>
    <row r="212" spans="1:8" ht="14.25" customHeight="1">
      <c r="A212" s="97"/>
      <c r="B212" s="97"/>
      <c r="C212" s="96"/>
      <c r="D212" s="96"/>
      <c r="E212" s="97"/>
      <c r="F212" s="97"/>
      <c r="G212" s="97"/>
      <c r="H212" s="97"/>
    </row>
    <row r="213" spans="1:8" ht="14.25" customHeight="1">
      <c r="A213" s="97"/>
      <c r="B213" s="97"/>
      <c r="C213" s="96"/>
      <c r="D213" s="96"/>
      <c r="E213" s="97"/>
      <c r="F213" s="97"/>
      <c r="G213" s="97"/>
      <c r="H213" s="97"/>
    </row>
    <row r="214" spans="1:8" ht="14.25" customHeight="1">
      <c r="A214" s="97"/>
      <c r="B214" s="97"/>
      <c r="C214" s="96"/>
      <c r="D214" s="96"/>
      <c r="E214" s="97"/>
      <c r="F214" s="97"/>
      <c r="G214" s="97"/>
      <c r="H214" s="97"/>
    </row>
    <row r="215" spans="1:8" ht="14.25" customHeight="1">
      <c r="A215" s="97"/>
      <c r="B215" s="97"/>
      <c r="C215" s="96"/>
      <c r="D215" s="96"/>
      <c r="E215" s="97"/>
      <c r="F215" s="97"/>
      <c r="G215" s="97"/>
      <c r="H215" s="97"/>
    </row>
    <row r="216" spans="1:8" ht="14.25" customHeight="1">
      <c r="A216" s="97"/>
      <c r="B216" s="97"/>
      <c r="C216" s="96"/>
      <c r="D216" s="96"/>
      <c r="E216" s="97"/>
      <c r="F216" s="97"/>
      <c r="G216" s="97"/>
      <c r="H216" s="97"/>
    </row>
    <row r="217" spans="1:8" ht="14.25" customHeight="1">
      <c r="A217" s="97"/>
      <c r="B217" s="97"/>
      <c r="C217" s="96"/>
      <c r="D217" s="96"/>
      <c r="E217" s="97"/>
      <c r="F217" s="97"/>
      <c r="G217" s="97"/>
      <c r="H217" s="97"/>
    </row>
    <row r="218" spans="1:8" ht="14.25" customHeight="1">
      <c r="A218" s="97"/>
      <c r="B218" s="97"/>
      <c r="C218" s="96"/>
      <c r="D218" s="96"/>
      <c r="E218" s="97"/>
      <c r="F218" s="97"/>
      <c r="G218" s="97"/>
      <c r="H218" s="97"/>
    </row>
    <row r="219" spans="1:8" ht="14.25" customHeight="1">
      <c r="A219" s="97"/>
      <c r="B219" s="97"/>
      <c r="C219" s="96"/>
      <c r="D219" s="96"/>
      <c r="E219" s="97"/>
      <c r="F219" s="97"/>
      <c r="G219" s="97"/>
      <c r="H219" s="97"/>
    </row>
    <row r="220" spans="1:8" ht="14.25" customHeight="1">
      <c r="A220" s="97"/>
      <c r="B220" s="97"/>
      <c r="C220" s="96"/>
      <c r="D220" s="96"/>
      <c r="E220" s="97"/>
      <c r="F220" s="97"/>
      <c r="G220" s="97"/>
      <c r="H220" s="97"/>
    </row>
    <row r="221" spans="1:8" ht="14.25" customHeight="1">
      <c r="A221" s="97"/>
      <c r="B221" s="97"/>
      <c r="C221" s="96"/>
      <c r="D221" s="96"/>
      <c r="E221" s="97"/>
      <c r="F221" s="97"/>
      <c r="G221" s="97"/>
      <c r="H221" s="97"/>
    </row>
    <row r="222" spans="1:8" ht="14.25" customHeight="1">
      <c r="A222" s="97"/>
      <c r="B222" s="97"/>
      <c r="C222" s="96"/>
      <c r="D222" s="96"/>
      <c r="E222" s="97"/>
      <c r="F222" s="97"/>
      <c r="G222" s="97"/>
      <c r="H222" s="97"/>
    </row>
    <row r="223" spans="1:8" ht="14.25" customHeight="1">
      <c r="A223" s="97"/>
      <c r="B223" s="97"/>
      <c r="C223" s="96"/>
      <c r="D223" s="96"/>
      <c r="E223" s="97"/>
      <c r="F223" s="97"/>
      <c r="G223" s="97"/>
      <c r="H223" s="97"/>
    </row>
    <row r="224" spans="1:8" ht="14.25" customHeight="1">
      <c r="A224" s="97"/>
      <c r="B224" s="97"/>
      <c r="C224" s="96"/>
      <c r="D224" s="96"/>
      <c r="E224" s="97"/>
      <c r="F224" s="97"/>
      <c r="G224" s="97"/>
      <c r="H224" s="97"/>
    </row>
    <row r="225" spans="1:8" ht="14.25" customHeight="1">
      <c r="A225" s="97"/>
      <c r="B225" s="97"/>
      <c r="C225" s="96"/>
      <c r="D225" s="96"/>
      <c r="E225" s="97"/>
      <c r="F225" s="97"/>
      <c r="G225" s="97"/>
      <c r="H225" s="97"/>
    </row>
    <row r="226" spans="1:8" ht="14.25" customHeight="1">
      <c r="A226" s="97"/>
      <c r="B226" s="97"/>
      <c r="C226" s="96"/>
      <c r="D226" s="96"/>
      <c r="E226" s="97"/>
      <c r="F226" s="97"/>
      <c r="G226" s="97"/>
      <c r="H226" s="97"/>
    </row>
    <row r="227" spans="1:8" ht="14.25" customHeight="1">
      <c r="A227" s="97"/>
      <c r="B227" s="97"/>
      <c r="C227" s="96"/>
      <c r="D227" s="96"/>
      <c r="E227" s="97"/>
      <c r="F227" s="97"/>
      <c r="G227" s="97"/>
      <c r="H227" s="97"/>
    </row>
    <row r="228" spans="1:8" ht="14.25" customHeight="1">
      <c r="A228" s="97"/>
      <c r="B228" s="97"/>
      <c r="C228" s="96"/>
      <c r="D228" s="96"/>
      <c r="E228" s="97"/>
      <c r="F228" s="97"/>
      <c r="G228" s="97"/>
      <c r="H228" s="97"/>
    </row>
    <row r="229" spans="1:8" ht="14.25" customHeight="1">
      <c r="A229" s="97"/>
      <c r="B229" s="97"/>
      <c r="C229" s="96"/>
      <c r="D229" s="96"/>
      <c r="E229" s="97"/>
      <c r="F229" s="97"/>
      <c r="G229" s="97"/>
      <c r="H229" s="97"/>
    </row>
    <row r="230" spans="1:8" ht="14.25" customHeight="1">
      <c r="A230" s="97"/>
      <c r="B230" s="97"/>
      <c r="C230" s="96"/>
      <c r="D230" s="96"/>
      <c r="E230" s="97"/>
      <c r="F230" s="97"/>
      <c r="G230" s="97"/>
      <c r="H230" s="97"/>
    </row>
    <row r="231" spans="1:8" ht="14.25" customHeight="1">
      <c r="A231" s="97"/>
      <c r="B231" s="97"/>
      <c r="C231" s="96"/>
      <c r="D231" s="96"/>
      <c r="E231" s="97"/>
      <c r="F231" s="97"/>
      <c r="G231" s="97"/>
      <c r="H231" s="97"/>
    </row>
    <row r="232" spans="1:8" ht="14.25" customHeight="1">
      <c r="A232" s="97"/>
      <c r="B232" s="97"/>
      <c r="C232" s="96"/>
      <c r="D232" s="96"/>
      <c r="E232" s="97"/>
      <c r="F232" s="97"/>
      <c r="G232" s="97"/>
      <c r="H232" s="97"/>
    </row>
    <row r="233" spans="1:8" ht="14.25" customHeight="1">
      <c r="A233" s="97"/>
      <c r="B233" s="97"/>
      <c r="C233" s="96"/>
      <c r="D233" s="96"/>
      <c r="E233" s="97"/>
      <c r="F233" s="97"/>
      <c r="G233" s="97"/>
      <c r="H233" s="97"/>
    </row>
    <row r="234" spans="1:8" ht="14.25" customHeight="1">
      <c r="A234" s="97"/>
      <c r="B234" s="97"/>
      <c r="C234" s="96"/>
      <c r="D234" s="96"/>
      <c r="E234" s="97"/>
      <c r="F234" s="97"/>
      <c r="G234" s="97"/>
      <c r="H234" s="97"/>
    </row>
    <row r="235" spans="1:8" ht="14.25" customHeight="1">
      <c r="A235" s="97"/>
      <c r="B235" s="97"/>
      <c r="C235" s="96"/>
      <c r="D235" s="96"/>
      <c r="E235" s="97"/>
      <c r="F235" s="97"/>
      <c r="G235" s="97"/>
      <c r="H235" s="97"/>
    </row>
    <row r="236" spans="1:8" ht="14.25" customHeight="1">
      <c r="A236" s="97"/>
      <c r="B236" s="97"/>
      <c r="C236" s="96"/>
      <c r="D236" s="96"/>
      <c r="E236" s="97"/>
      <c r="F236" s="97"/>
      <c r="G236" s="97"/>
      <c r="H236" s="97"/>
    </row>
    <row r="237" spans="1:8" ht="14.25" customHeight="1">
      <c r="A237" s="97"/>
      <c r="B237" s="97"/>
      <c r="C237" s="96"/>
      <c r="D237" s="96"/>
      <c r="E237" s="97"/>
      <c r="F237" s="97"/>
      <c r="G237" s="97"/>
      <c r="H237" s="97"/>
    </row>
    <row r="238" spans="1:8" ht="14.25" customHeight="1">
      <c r="A238" s="97"/>
      <c r="B238" s="97"/>
      <c r="C238" s="96"/>
      <c r="D238" s="96"/>
      <c r="E238" s="97"/>
      <c r="F238" s="97"/>
      <c r="G238" s="97"/>
      <c r="H238" s="97"/>
    </row>
    <row r="239" spans="1:8" ht="14.25" customHeight="1">
      <c r="A239" s="97"/>
      <c r="B239" s="97"/>
      <c r="C239" s="96"/>
      <c r="D239" s="96"/>
      <c r="E239" s="97"/>
      <c r="F239" s="97"/>
      <c r="G239" s="97"/>
      <c r="H239" s="97"/>
    </row>
    <row r="240" spans="1:8" ht="14.25" customHeight="1">
      <c r="A240" s="97"/>
      <c r="B240" s="97"/>
      <c r="C240" s="96"/>
      <c r="D240" s="96"/>
      <c r="E240" s="97"/>
      <c r="F240" s="97"/>
      <c r="G240" s="97"/>
      <c r="H240" s="97"/>
    </row>
    <row r="241" spans="1:8" ht="14.25" customHeight="1">
      <c r="A241" s="97"/>
      <c r="B241" s="97"/>
      <c r="C241" s="96"/>
      <c r="D241" s="96"/>
      <c r="E241" s="97"/>
      <c r="F241" s="97"/>
      <c r="G241" s="97"/>
      <c r="H241" s="97"/>
    </row>
    <row r="242" spans="1:8" ht="14.25" customHeight="1">
      <c r="A242" s="97"/>
      <c r="B242" s="97"/>
      <c r="C242" s="96"/>
      <c r="D242" s="96"/>
      <c r="E242" s="97"/>
      <c r="F242" s="97"/>
      <c r="G242" s="97"/>
      <c r="H242" s="97"/>
    </row>
    <row r="243" spans="1:8" ht="14.25" customHeight="1">
      <c r="A243" s="97"/>
      <c r="B243" s="97"/>
      <c r="C243" s="96"/>
      <c r="D243" s="96"/>
      <c r="E243" s="97"/>
      <c r="F243" s="97"/>
      <c r="G243" s="97"/>
      <c r="H243" s="97"/>
    </row>
    <row r="244" spans="1:8" ht="14.25" customHeight="1">
      <c r="A244" s="97"/>
      <c r="B244" s="97"/>
      <c r="C244" s="96"/>
      <c r="D244" s="96"/>
      <c r="E244" s="97"/>
      <c r="F244" s="97"/>
      <c r="G244" s="97"/>
      <c r="H244" s="97"/>
    </row>
    <row r="245" spans="1:8" ht="14.25" customHeight="1">
      <c r="A245" s="97"/>
      <c r="B245" s="97"/>
      <c r="C245" s="96"/>
      <c r="D245" s="96"/>
      <c r="E245" s="97"/>
      <c r="F245" s="97"/>
      <c r="G245" s="97"/>
      <c r="H245" s="97"/>
    </row>
    <row r="246" spans="1:8" ht="14.25" customHeight="1">
      <c r="A246" s="97"/>
      <c r="B246" s="97"/>
      <c r="C246" s="96"/>
      <c r="D246" s="96"/>
      <c r="E246" s="97"/>
      <c r="F246" s="97"/>
      <c r="G246" s="97"/>
      <c r="H246" s="97"/>
    </row>
    <row r="247" spans="1:8" ht="14.25" customHeight="1">
      <c r="A247" s="97"/>
      <c r="B247" s="97"/>
      <c r="C247" s="96"/>
      <c r="D247" s="96"/>
      <c r="E247" s="97"/>
      <c r="F247" s="97"/>
      <c r="G247" s="97"/>
      <c r="H247" s="97"/>
    </row>
    <row r="248" spans="1:8" ht="14.25" customHeight="1">
      <c r="A248" s="97"/>
      <c r="B248" s="97"/>
      <c r="C248" s="96"/>
      <c r="D248" s="96"/>
      <c r="E248" s="97"/>
      <c r="F248" s="97"/>
      <c r="G248" s="97"/>
      <c r="H248" s="97"/>
    </row>
    <row r="249" spans="1:8" ht="14.25" customHeight="1">
      <c r="A249" s="97"/>
      <c r="B249" s="97"/>
      <c r="C249" s="96"/>
      <c r="D249" s="96"/>
      <c r="E249" s="97"/>
      <c r="F249" s="97"/>
      <c r="G249" s="97"/>
      <c r="H249" s="97"/>
    </row>
    <row r="250" spans="1:8" ht="14.25" customHeight="1">
      <c r="A250" s="97"/>
      <c r="B250" s="97"/>
      <c r="C250" s="96"/>
      <c r="D250" s="96"/>
      <c r="E250" s="97"/>
      <c r="F250" s="97"/>
      <c r="G250" s="97"/>
      <c r="H250" s="97"/>
    </row>
    <row r="251" spans="1:8" ht="14.25" customHeight="1">
      <c r="A251" s="97"/>
      <c r="B251" s="97"/>
      <c r="C251" s="96"/>
      <c r="D251" s="96"/>
      <c r="E251" s="97"/>
      <c r="F251" s="97"/>
      <c r="G251" s="97"/>
      <c r="H251" s="97"/>
    </row>
    <row r="252" spans="1:8" ht="14.25" customHeight="1">
      <c r="A252" s="97"/>
      <c r="B252" s="97"/>
      <c r="C252" s="96"/>
      <c r="D252" s="96"/>
      <c r="E252" s="97"/>
      <c r="F252" s="97"/>
      <c r="G252" s="97"/>
      <c r="H252" s="97"/>
    </row>
    <row r="253" spans="1:8" ht="14.25" customHeight="1">
      <c r="A253" s="97"/>
      <c r="B253" s="97"/>
      <c r="C253" s="96"/>
      <c r="D253" s="96"/>
      <c r="E253" s="97"/>
      <c r="F253" s="97"/>
      <c r="G253" s="97"/>
      <c r="H253" s="97"/>
    </row>
    <row r="254" spans="1:8" ht="14.25" customHeight="1">
      <c r="A254" s="97"/>
      <c r="B254" s="97"/>
      <c r="C254" s="96"/>
      <c r="D254" s="96"/>
      <c r="E254" s="97"/>
      <c r="F254" s="97"/>
      <c r="G254" s="97"/>
      <c r="H254" s="97"/>
    </row>
    <row r="255" spans="1:8" ht="14.25" customHeight="1">
      <c r="A255" s="97"/>
      <c r="B255" s="97"/>
      <c r="C255" s="96"/>
      <c r="D255" s="96"/>
      <c r="E255" s="97"/>
      <c r="F255" s="97"/>
      <c r="G255" s="97"/>
      <c r="H255" s="97"/>
    </row>
    <row r="256" spans="1:8" ht="14.25" customHeight="1">
      <c r="A256" s="97"/>
      <c r="B256" s="97"/>
      <c r="C256" s="96"/>
      <c r="D256" s="96"/>
      <c r="E256" s="97"/>
      <c r="F256" s="97"/>
      <c r="G256" s="97"/>
      <c r="H256" s="97"/>
    </row>
    <row r="257" spans="1:8" ht="14.25" customHeight="1">
      <c r="A257" s="97"/>
      <c r="B257" s="97"/>
      <c r="C257" s="96"/>
      <c r="D257" s="96"/>
      <c r="E257" s="97"/>
      <c r="F257" s="97"/>
      <c r="G257" s="97"/>
      <c r="H257" s="97"/>
    </row>
    <row r="258" spans="1:8" ht="14.25" customHeight="1">
      <c r="A258" s="97"/>
      <c r="B258" s="97"/>
      <c r="C258" s="96"/>
      <c r="D258" s="96"/>
      <c r="E258" s="97"/>
      <c r="F258" s="97"/>
      <c r="G258" s="97"/>
      <c r="H258" s="97"/>
    </row>
    <row r="259" spans="1:8" ht="14.25" customHeight="1">
      <c r="A259" s="97"/>
      <c r="B259" s="97"/>
      <c r="C259" s="96"/>
      <c r="D259" s="96"/>
      <c r="E259" s="97"/>
      <c r="F259" s="97"/>
      <c r="G259" s="97"/>
      <c r="H259" s="97"/>
    </row>
    <row r="260" spans="1:8" ht="14.25" customHeight="1">
      <c r="A260" s="97"/>
      <c r="B260" s="97"/>
      <c r="C260" s="96"/>
      <c r="D260" s="96"/>
      <c r="E260" s="97"/>
      <c r="F260" s="97"/>
      <c r="G260" s="97"/>
      <c r="H260" s="97"/>
    </row>
    <row r="261" spans="1:8" ht="14.25" customHeight="1">
      <c r="A261" s="97"/>
      <c r="B261" s="97"/>
      <c r="C261" s="96"/>
      <c r="D261" s="96"/>
      <c r="E261" s="97"/>
      <c r="F261" s="97"/>
      <c r="G261" s="97"/>
      <c r="H261" s="97"/>
    </row>
    <row r="262" spans="1:8" ht="14.25" customHeight="1">
      <c r="A262" s="97"/>
      <c r="B262" s="97"/>
      <c r="C262" s="96"/>
      <c r="D262" s="96"/>
      <c r="E262" s="97"/>
      <c r="F262" s="97"/>
      <c r="G262" s="97"/>
      <c r="H262" s="97"/>
    </row>
    <row r="263" spans="1:8" ht="14.25" customHeight="1">
      <c r="A263" s="97"/>
      <c r="B263" s="97"/>
      <c r="C263" s="96"/>
      <c r="D263" s="96"/>
      <c r="E263" s="97"/>
      <c r="F263" s="97"/>
      <c r="G263" s="97"/>
      <c r="H263" s="97"/>
    </row>
    <row r="264" spans="1:8" ht="14.25" customHeight="1">
      <c r="A264" s="97"/>
      <c r="B264" s="97"/>
      <c r="C264" s="96"/>
      <c r="D264" s="96"/>
      <c r="E264" s="97"/>
      <c r="F264" s="97"/>
      <c r="G264" s="97"/>
      <c r="H264" s="97"/>
    </row>
    <row r="265" spans="1:8" ht="14.25" customHeight="1">
      <c r="A265" s="97"/>
      <c r="B265" s="97"/>
      <c r="C265" s="96"/>
      <c r="D265" s="96"/>
      <c r="E265" s="97"/>
      <c r="F265" s="97"/>
      <c r="G265" s="97"/>
      <c r="H265" s="97"/>
    </row>
    <row r="266" spans="1:8" ht="14.25" customHeight="1">
      <c r="A266" s="97"/>
      <c r="B266" s="97"/>
      <c r="C266" s="96"/>
      <c r="D266" s="96"/>
      <c r="E266" s="97"/>
      <c r="F266" s="97"/>
      <c r="G266" s="97"/>
      <c r="H266" s="97"/>
    </row>
    <row r="267" spans="1:8" ht="14.25" customHeight="1">
      <c r="A267" s="97"/>
      <c r="B267" s="97"/>
      <c r="C267" s="96"/>
      <c r="D267" s="96"/>
      <c r="E267" s="97"/>
      <c r="F267" s="97"/>
      <c r="G267" s="97"/>
      <c r="H267" s="97"/>
    </row>
    <row r="268" spans="1:8" ht="14.25" customHeight="1">
      <c r="A268" s="97"/>
      <c r="B268" s="97"/>
      <c r="C268" s="96"/>
      <c r="D268" s="96"/>
      <c r="E268" s="97"/>
      <c r="F268" s="97"/>
      <c r="G268" s="97"/>
      <c r="H268" s="97"/>
    </row>
    <row r="269" spans="1:8" ht="14.25" customHeight="1">
      <c r="A269" s="97"/>
      <c r="B269" s="97"/>
      <c r="C269" s="96"/>
      <c r="D269" s="96"/>
      <c r="E269" s="97"/>
      <c r="F269" s="97"/>
      <c r="G269" s="97"/>
      <c r="H269" s="97"/>
    </row>
    <row r="270" spans="1:8" ht="14.25" customHeight="1">
      <c r="A270" s="97"/>
      <c r="B270" s="97"/>
      <c r="C270" s="96"/>
      <c r="D270" s="96"/>
      <c r="E270" s="97"/>
      <c r="F270" s="97"/>
      <c r="G270" s="97"/>
      <c r="H270" s="97"/>
    </row>
    <row r="271" spans="1:8" ht="14.25" customHeight="1">
      <c r="A271" s="97"/>
      <c r="B271" s="97"/>
      <c r="C271" s="96"/>
      <c r="D271" s="96"/>
      <c r="E271" s="97"/>
      <c r="F271" s="97"/>
      <c r="G271" s="97"/>
      <c r="H271" s="97"/>
    </row>
    <row r="272" spans="1:8" ht="14.25" customHeight="1">
      <c r="A272" s="97"/>
      <c r="B272" s="97"/>
      <c r="C272" s="96"/>
      <c r="D272" s="96"/>
      <c r="E272" s="97"/>
      <c r="F272" s="97"/>
      <c r="G272" s="97"/>
      <c r="H272" s="97"/>
    </row>
    <row r="273" spans="1:8" ht="14.25" customHeight="1">
      <c r="A273" s="97"/>
      <c r="B273" s="97"/>
      <c r="C273" s="96"/>
      <c r="D273" s="96"/>
      <c r="E273" s="97"/>
      <c r="F273" s="97"/>
      <c r="G273" s="97"/>
      <c r="H273" s="97"/>
    </row>
    <row r="274" spans="1:8" ht="14.25" customHeight="1">
      <c r="A274" s="97"/>
      <c r="B274" s="97"/>
      <c r="C274" s="96"/>
      <c r="D274" s="96"/>
      <c r="E274" s="97"/>
      <c r="F274" s="97"/>
      <c r="G274" s="97"/>
      <c r="H274" s="97"/>
    </row>
    <row r="275" spans="1:8" ht="14.25" customHeight="1">
      <c r="A275" s="97"/>
      <c r="B275" s="97"/>
      <c r="C275" s="96"/>
      <c r="D275" s="96"/>
      <c r="E275" s="97"/>
      <c r="F275" s="97"/>
      <c r="G275" s="97"/>
      <c r="H275" s="97"/>
    </row>
    <row r="276" spans="1:8" ht="14.25" customHeight="1">
      <c r="A276" s="97"/>
      <c r="B276" s="97"/>
      <c r="C276" s="96"/>
      <c r="D276" s="96"/>
      <c r="E276" s="97"/>
      <c r="F276" s="97"/>
      <c r="G276" s="97"/>
      <c r="H276" s="97"/>
    </row>
    <row r="277" spans="1:8" ht="14.25" customHeight="1">
      <c r="A277" s="97"/>
      <c r="B277" s="97"/>
      <c r="C277" s="96"/>
      <c r="D277" s="96"/>
      <c r="E277" s="97"/>
      <c r="F277" s="97"/>
      <c r="G277" s="97"/>
      <c r="H277" s="97"/>
    </row>
    <row r="278" spans="1:8" ht="14.25" customHeight="1">
      <c r="A278" s="97"/>
      <c r="B278" s="97"/>
      <c r="C278" s="96"/>
      <c r="D278" s="96"/>
      <c r="E278" s="97"/>
      <c r="F278" s="97"/>
      <c r="G278" s="97"/>
      <c r="H278" s="97"/>
    </row>
    <row r="279" spans="1:8" ht="14.25" customHeight="1">
      <c r="A279" s="97"/>
      <c r="B279" s="97"/>
      <c r="C279" s="96"/>
      <c r="D279" s="96"/>
      <c r="E279" s="97"/>
      <c r="F279" s="97"/>
      <c r="G279" s="97"/>
      <c r="H279" s="97"/>
    </row>
    <row r="280" spans="1:8" ht="14.25" customHeight="1">
      <c r="A280" s="97"/>
      <c r="B280" s="97"/>
      <c r="C280" s="96"/>
      <c r="D280" s="96"/>
      <c r="E280" s="97"/>
      <c r="F280" s="97"/>
      <c r="G280" s="97"/>
      <c r="H280" s="97"/>
    </row>
    <row r="281" spans="1:8" ht="14.25" customHeight="1">
      <c r="A281" s="97"/>
      <c r="B281" s="97"/>
      <c r="C281" s="96"/>
      <c r="D281" s="96"/>
      <c r="E281" s="97"/>
      <c r="F281" s="97"/>
      <c r="G281" s="97"/>
      <c r="H281" s="97"/>
    </row>
    <row r="282" spans="1:8" ht="14.25" customHeight="1">
      <c r="A282" s="97"/>
      <c r="B282" s="97"/>
      <c r="C282" s="96"/>
      <c r="D282" s="96"/>
      <c r="E282" s="97"/>
      <c r="F282" s="97"/>
      <c r="G282" s="97"/>
      <c r="H282" s="97"/>
    </row>
    <row r="283" spans="1:8" ht="14.25" customHeight="1">
      <c r="A283" s="97"/>
      <c r="B283" s="97"/>
      <c r="C283" s="96"/>
      <c r="D283" s="96"/>
      <c r="E283" s="97"/>
      <c r="F283" s="97"/>
      <c r="G283" s="97"/>
      <c r="H283" s="97"/>
    </row>
    <row r="284" spans="1:8" ht="14.25" customHeight="1">
      <c r="A284" s="97"/>
      <c r="B284" s="97"/>
      <c r="C284" s="96"/>
      <c r="D284" s="96"/>
      <c r="E284" s="97"/>
      <c r="F284" s="97"/>
      <c r="G284" s="97"/>
      <c r="H284" s="97"/>
    </row>
    <row r="285" spans="1:8" ht="14.25" customHeight="1">
      <c r="A285" s="97"/>
      <c r="B285" s="97"/>
      <c r="C285" s="96"/>
      <c r="D285" s="96"/>
      <c r="E285" s="97"/>
      <c r="F285" s="97"/>
      <c r="G285" s="97"/>
      <c r="H285" s="97"/>
    </row>
    <row r="286" spans="1:8" ht="14.25" customHeight="1">
      <c r="A286" s="97"/>
      <c r="B286" s="97"/>
      <c r="C286" s="96"/>
      <c r="D286" s="96"/>
      <c r="E286" s="97"/>
      <c r="F286" s="97"/>
      <c r="G286" s="97"/>
      <c r="H286" s="97"/>
    </row>
    <row r="287" spans="1:8" ht="14.25" customHeight="1">
      <c r="A287" s="97"/>
      <c r="B287" s="97"/>
      <c r="C287" s="96"/>
      <c r="D287" s="96"/>
      <c r="E287" s="97"/>
      <c r="F287" s="97"/>
      <c r="G287" s="97"/>
      <c r="H287" s="97"/>
    </row>
    <row r="288" spans="1:8" ht="14.25" customHeight="1">
      <c r="A288" s="97"/>
      <c r="B288" s="97"/>
      <c r="C288" s="96"/>
      <c r="D288" s="96"/>
      <c r="E288" s="97"/>
      <c r="F288" s="97"/>
      <c r="G288" s="97"/>
      <c r="H288" s="97"/>
    </row>
    <row r="289" spans="1:8" ht="14.25" customHeight="1">
      <c r="A289" s="97"/>
      <c r="B289" s="97"/>
      <c r="C289" s="96"/>
      <c r="D289" s="96"/>
      <c r="E289" s="97"/>
      <c r="F289" s="97"/>
      <c r="G289" s="97"/>
      <c r="H289" s="97"/>
    </row>
    <row r="290" spans="1:8" ht="14.25" customHeight="1">
      <c r="A290" s="97"/>
      <c r="B290" s="97"/>
      <c r="C290" s="96"/>
      <c r="D290" s="96"/>
      <c r="E290" s="97"/>
      <c r="F290" s="97"/>
      <c r="G290" s="97"/>
      <c r="H290" s="97"/>
    </row>
    <row r="291" spans="1:8" ht="14.25" customHeight="1">
      <c r="A291" s="97"/>
      <c r="B291" s="97"/>
      <c r="C291" s="96"/>
      <c r="D291" s="96"/>
      <c r="E291" s="97"/>
      <c r="F291" s="97"/>
      <c r="G291" s="97"/>
      <c r="H291" s="97"/>
    </row>
    <row r="292" spans="1:8" ht="14.25" customHeight="1">
      <c r="A292" s="97"/>
      <c r="B292" s="97"/>
      <c r="C292" s="96"/>
      <c r="D292" s="96"/>
      <c r="E292" s="97"/>
      <c r="F292" s="97"/>
      <c r="G292" s="97"/>
      <c r="H292" s="97"/>
    </row>
    <row r="293" spans="1:8" ht="14.25" customHeight="1">
      <c r="A293" s="97"/>
      <c r="B293" s="97"/>
      <c r="C293" s="96"/>
      <c r="D293" s="96"/>
      <c r="E293" s="97"/>
      <c r="F293" s="97"/>
      <c r="G293" s="97"/>
      <c r="H293" s="97"/>
    </row>
    <row r="294" spans="1:8" ht="14.25" customHeight="1">
      <c r="A294" s="97"/>
      <c r="B294" s="97"/>
      <c r="C294" s="96"/>
      <c r="D294" s="96"/>
      <c r="E294" s="97"/>
      <c r="F294" s="97"/>
      <c r="G294" s="97"/>
      <c r="H294" s="97"/>
    </row>
    <row r="295" spans="1:8" ht="14.25" customHeight="1">
      <c r="A295" s="97"/>
      <c r="B295" s="97"/>
      <c r="C295" s="96"/>
      <c r="D295" s="96"/>
      <c r="E295" s="97"/>
      <c r="F295" s="97"/>
      <c r="G295" s="97"/>
      <c r="H295" s="97"/>
    </row>
    <row r="296" spans="1:8" ht="14.25" customHeight="1">
      <c r="A296" s="97"/>
      <c r="B296" s="97"/>
      <c r="C296" s="96"/>
      <c r="D296" s="96"/>
      <c r="E296" s="97"/>
      <c r="F296" s="97"/>
      <c r="G296" s="97"/>
      <c r="H296" s="97"/>
    </row>
    <row r="297" spans="1:8" ht="14.25" customHeight="1">
      <c r="A297" s="97"/>
      <c r="B297" s="97"/>
      <c r="C297" s="96"/>
      <c r="D297" s="96"/>
      <c r="E297" s="97"/>
      <c r="F297" s="97"/>
      <c r="G297" s="97"/>
      <c r="H297" s="97"/>
    </row>
    <row r="298" spans="1:8" ht="14.25" customHeight="1">
      <c r="A298" s="97"/>
      <c r="B298" s="97"/>
      <c r="C298" s="96"/>
      <c r="D298" s="96"/>
      <c r="E298" s="97"/>
      <c r="F298" s="97"/>
      <c r="G298" s="97"/>
      <c r="H298" s="97"/>
    </row>
    <row r="299" spans="1:8" ht="14.25" customHeight="1">
      <c r="A299" s="97"/>
      <c r="B299" s="97"/>
      <c r="C299" s="96"/>
      <c r="D299" s="96"/>
      <c r="E299" s="97"/>
      <c r="F299" s="97"/>
      <c r="G299" s="97"/>
      <c r="H299" s="97"/>
    </row>
    <row r="300" spans="1:8" ht="14.25" customHeight="1">
      <c r="A300" s="97"/>
      <c r="B300" s="97"/>
      <c r="C300" s="96"/>
      <c r="D300" s="96"/>
      <c r="E300" s="97"/>
      <c r="F300" s="97"/>
      <c r="G300" s="97"/>
      <c r="H300" s="97"/>
    </row>
    <row r="301" spans="1:8" ht="14.25" customHeight="1">
      <c r="A301" s="97"/>
      <c r="B301" s="97"/>
      <c r="C301" s="96"/>
      <c r="D301" s="96"/>
      <c r="E301" s="97"/>
      <c r="F301" s="97"/>
      <c r="G301" s="97"/>
      <c r="H301" s="97"/>
    </row>
    <row r="302" spans="1:8" ht="14.25" customHeight="1">
      <c r="A302" s="97"/>
      <c r="B302" s="97"/>
      <c r="C302" s="96"/>
      <c r="D302" s="96"/>
      <c r="E302" s="97"/>
      <c r="F302" s="97"/>
      <c r="G302" s="97"/>
      <c r="H302" s="97"/>
    </row>
    <row r="303" spans="1:8" ht="14.25" customHeight="1">
      <c r="A303" s="97"/>
      <c r="B303" s="97"/>
      <c r="C303" s="96"/>
      <c r="D303" s="96"/>
      <c r="E303" s="97"/>
      <c r="F303" s="97"/>
      <c r="G303" s="97"/>
      <c r="H303" s="97"/>
    </row>
    <row r="304" spans="1:8" ht="14.25" customHeight="1">
      <c r="A304" s="97"/>
      <c r="B304" s="97"/>
      <c r="C304" s="96"/>
      <c r="D304" s="96"/>
      <c r="E304" s="97"/>
      <c r="F304" s="97"/>
      <c r="G304" s="97"/>
      <c r="H304" s="97"/>
    </row>
    <row r="305" spans="1:8" ht="14.25" customHeight="1">
      <c r="A305" s="97"/>
      <c r="B305" s="97"/>
      <c r="C305" s="96"/>
      <c r="D305" s="96"/>
      <c r="E305" s="97"/>
      <c r="F305" s="97"/>
      <c r="G305" s="97"/>
      <c r="H305" s="97"/>
    </row>
    <row r="306" spans="1:8" ht="14.25" customHeight="1">
      <c r="A306" s="97"/>
      <c r="B306" s="97"/>
      <c r="C306" s="96"/>
      <c r="D306" s="96"/>
      <c r="E306" s="97"/>
      <c r="F306" s="97"/>
      <c r="G306" s="97"/>
      <c r="H306" s="97"/>
    </row>
    <row r="307" spans="1:8" ht="14.25" customHeight="1">
      <c r="A307" s="97"/>
      <c r="B307" s="97"/>
      <c r="C307" s="96"/>
      <c r="D307" s="96"/>
      <c r="E307" s="97"/>
      <c r="F307" s="97"/>
      <c r="G307" s="97"/>
      <c r="H307" s="97"/>
    </row>
    <row r="308" spans="1:8" ht="14.25" customHeight="1">
      <c r="A308" s="97"/>
      <c r="B308" s="97"/>
      <c r="C308" s="96"/>
      <c r="D308" s="96"/>
      <c r="E308" s="97"/>
      <c r="F308" s="97"/>
      <c r="G308" s="97"/>
      <c r="H308" s="97"/>
    </row>
    <row r="309" spans="1:8" ht="14.25" customHeight="1">
      <c r="A309" s="97"/>
      <c r="B309" s="97"/>
      <c r="C309" s="96"/>
      <c r="D309" s="96"/>
      <c r="E309" s="97"/>
      <c r="F309" s="97"/>
      <c r="G309" s="97"/>
      <c r="H309" s="97"/>
    </row>
    <row r="310" spans="1:8" ht="14.25" customHeight="1">
      <c r="A310" s="97"/>
      <c r="B310" s="97"/>
      <c r="C310" s="96"/>
      <c r="D310" s="96"/>
      <c r="E310" s="97"/>
      <c r="F310" s="97"/>
      <c r="G310" s="97"/>
      <c r="H310" s="97"/>
    </row>
    <row r="311" spans="1:8" ht="14.25" customHeight="1">
      <c r="A311" s="97"/>
      <c r="B311" s="97"/>
      <c r="C311" s="96"/>
      <c r="D311" s="96"/>
      <c r="E311" s="97"/>
      <c r="F311" s="97"/>
      <c r="G311" s="97"/>
      <c r="H311" s="97"/>
    </row>
    <row r="312" spans="1:8" ht="14.25" customHeight="1">
      <c r="A312" s="97"/>
      <c r="B312" s="97"/>
      <c r="C312" s="96"/>
      <c r="D312" s="96"/>
      <c r="E312" s="97"/>
      <c r="F312" s="97"/>
      <c r="G312" s="97"/>
      <c r="H312" s="97"/>
    </row>
    <row r="313" spans="1:8" ht="14.25" customHeight="1">
      <c r="A313" s="97"/>
      <c r="B313" s="97"/>
      <c r="C313" s="96"/>
      <c r="D313" s="96"/>
      <c r="E313" s="97"/>
      <c r="F313" s="97"/>
      <c r="G313" s="97"/>
      <c r="H313" s="97"/>
    </row>
    <row r="314" spans="1:8" ht="14.25" customHeight="1">
      <c r="A314" s="97"/>
      <c r="B314" s="97"/>
      <c r="C314" s="96"/>
      <c r="D314" s="96"/>
      <c r="E314" s="97"/>
      <c r="F314" s="97"/>
      <c r="G314" s="97"/>
      <c r="H314" s="97"/>
    </row>
    <row r="315" spans="1:8" ht="14.25" customHeight="1">
      <c r="A315" s="97"/>
      <c r="B315" s="97"/>
      <c r="C315" s="96"/>
      <c r="D315" s="96"/>
      <c r="E315" s="97"/>
      <c r="F315" s="97"/>
      <c r="G315" s="97"/>
      <c r="H315" s="97"/>
    </row>
    <row r="316" spans="1:8" ht="14.25" customHeight="1">
      <c r="A316" s="97"/>
      <c r="B316" s="97"/>
      <c r="C316" s="96"/>
      <c r="D316" s="96"/>
      <c r="E316" s="97"/>
      <c r="F316" s="97"/>
      <c r="G316" s="97"/>
      <c r="H316" s="97"/>
    </row>
    <row r="317" spans="1:8" ht="14.25" customHeight="1">
      <c r="A317" s="97"/>
      <c r="B317" s="97"/>
      <c r="C317" s="96"/>
      <c r="D317" s="96"/>
      <c r="E317" s="97"/>
      <c r="F317" s="97"/>
      <c r="G317" s="97"/>
      <c r="H317" s="97"/>
    </row>
    <row r="318" spans="1:8" ht="14.25" customHeight="1">
      <c r="A318" s="97"/>
      <c r="B318" s="97"/>
      <c r="C318" s="96"/>
      <c r="D318" s="96"/>
      <c r="E318" s="97"/>
      <c r="F318" s="97"/>
      <c r="G318" s="97"/>
      <c r="H318" s="97"/>
    </row>
    <row r="319" spans="1:8" ht="14.25" customHeight="1">
      <c r="A319" s="97"/>
      <c r="B319" s="97"/>
      <c r="C319" s="96"/>
      <c r="D319" s="96"/>
      <c r="E319" s="97"/>
      <c r="F319" s="97"/>
      <c r="G319" s="97"/>
      <c r="H319" s="97"/>
    </row>
    <row r="320" spans="1:8" ht="14.25" customHeight="1">
      <c r="A320" s="97"/>
      <c r="B320" s="97"/>
      <c r="C320" s="96"/>
      <c r="D320" s="96"/>
      <c r="E320" s="97"/>
      <c r="F320" s="97"/>
      <c r="G320" s="97"/>
      <c r="H320" s="97"/>
    </row>
    <row r="321" spans="1:8" ht="14.25" customHeight="1">
      <c r="A321" s="97"/>
      <c r="B321" s="97"/>
      <c r="C321" s="96"/>
      <c r="D321" s="96"/>
      <c r="E321" s="97"/>
      <c r="F321" s="97"/>
      <c r="G321" s="97"/>
      <c r="H321" s="97"/>
    </row>
    <row r="322" spans="1:8" ht="14.25" customHeight="1">
      <c r="A322" s="97"/>
      <c r="B322" s="97"/>
      <c r="C322" s="96"/>
      <c r="D322" s="96"/>
      <c r="E322" s="97"/>
      <c r="F322" s="97"/>
      <c r="G322" s="97"/>
      <c r="H322" s="97"/>
    </row>
    <row r="323" spans="1:8" ht="14.25" customHeight="1">
      <c r="A323" s="97"/>
      <c r="B323" s="97"/>
      <c r="C323" s="96"/>
      <c r="D323" s="96"/>
      <c r="E323" s="97"/>
      <c r="F323" s="97"/>
      <c r="G323" s="97"/>
      <c r="H323" s="97"/>
    </row>
    <row r="324" spans="1:8" ht="14.25" customHeight="1">
      <c r="A324" s="97"/>
      <c r="B324" s="97"/>
      <c r="C324" s="96"/>
      <c r="D324" s="96"/>
      <c r="E324" s="97"/>
      <c r="F324" s="97"/>
      <c r="G324" s="97"/>
      <c r="H324" s="97"/>
    </row>
    <row r="325" spans="1:8" ht="14.25" customHeight="1">
      <c r="A325" s="97"/>
      <c r="B325" s="97"/>
      <c r="C325" s="96"/>
      <c r="D325" s="96"/>
      <c r="E325" s="97"/>
      <c r="F325" s="97"/>
      <c r="G325" s="97"/>
      <c r="H325" s="97"/>
    </row>
    <row r="326" spans="1:8" ht="14.25" customHeight="1">
      <c r="A326" s="97"/>
      <c r="B326" s="97"/>
      <c r="C326" s="96"/>
      <c r="D326" s="96"/>
      <c r="E326" s="97"/>
      <c r="F326" s="97"/>
      <c r="G326" s="97"/>
      <c r="H326" s="97"/>
    </row>
    <row r="327" spans="1:8" ht="14.25" customHeight="1">
      <c r="A327" s="97"/>
      <c r="B327" s="97"/>
      <c r="C327" s="96"/>
      <c r="D327" s="96"/>
      <c r="E327" s="97"/>
      <c r="F327" s="97"/>
      <c r="G327" s="97"/>
      <c r="H327" s="97"/>
    </row>
    <row r="328" spans="1:8" ht="14.25" customHeight="1">
      <c r="A328" s="97"/>
      <c r="B328" s="97"/>
      <c r="C328" s="96"/>
      <c r="D328" s="96"/>
      <c r="E328" s="97"/>
      <c r="F328" s="97"/>
      <c r="G328" s="97"/>
      <c r="H328" s="97"/>
    </row>
    <row r="329" spans="1:8" ht="14.25" customHeight="1">
      <c r="A329" s="97"/>
      <c r="B329" s="97"/>
      <c r="C329" s="96"/>
      <c r="D329" s="96"/>
      <c r="E329" s="97"/>
      <c r="F329" s="97"/>
      <c r="G329" s="97"/>
      <c r="H329" s="97"/>
    </row>
    <row r="330" spans="1:8" ht="14.25" customHeight="1">
      <c r="A330" s="97"/>
      <c r="B330" s="97"/>
      <c r="C330" s="96"/>
      <c r="D330" s="96"/>
      <c r="E330" s="97"/>
      <c r="F330" s="97"/>
      <c r="G330" s="97"/>
      <c r="H330" s="97"/>
    </row>
    <row r="331" spans="1:8" ht="14.25" customHeight="1">
      <c r="A331" s="97"/>
      <c r="B331" s="97"/>
      <c r="C331" s="96"/>
      <c r="D331" s="96"/>
      <c r="E331" s="97"/>
      <c r="F331" s="97"/>
      <c r="G331" s="97"/>
      <c r="H331" s="97"/>
    </row>
    <row r="332" spans="1:8" ht="14.25" customHeight="1">
      <c r="A332" s="97"/>
      <c r="B332" s="97"/>
      <c r="C332" s="96"/>
      <c r="D332" s="96"/>
      <c r="E332" s="97"/>
      <c r="F332" s="97"/>
      <c r="G332" s="97"/>
      <c r="H332" s="97"/>
    </row>
    <row r="333" spans="1:8" ht="14.25" customHeight="1">
      <c r="A333" s="97"/>
      <c r="B333" s="97"/>
      <c r="C333" s="96"/>
      <c r="D333" s="96"/>
      <c r="E333" s="97"/>
      <c r="F333" s="97"/>
      <c r="G333" s="97"/>
      <c r="H333" s="97"/>
    </row>
    <row r="334" spans="1:8" ht="14.25" customHeight="1">
      <c r="A334" s="97"/>
      <c r="B334" s="97"/>
      <c r="C334" s="96"/>
      <c r="D334" s="96"/>
      <c r="E334" s="97"/>
      <c r="F334" s="97"/>
      <c r="G334" s="97"/>
      <c r="H334" s="97"/>
    </row>
    <row r="335" spans="1:8" ht="14.25" customHeight="1">
      <c r="A335" s="97"/>
      <c r="B335" s="97"/>
      <c r="C335" s="96"/>
      <c r="D335" s="96"/>
      <c r="E335" s="97"/>
      <c r="F335" s="97"/>
      <c r="G335" s="97"/>
      <c r="H335" s="97"/>
    </row>
    <row r="336" spans="1:8" ht="14.25" customHeight="1">
      <c r="A336" s="97"/>
      <c r="B336" s="97"/>
      <c r="C336" s="96"/>
      <c r="D336" s="96"/>
      <c r="E336" s="97"/>
      <c r="F336" s="97"/>
      <c r="G336" s="97"/>
      <c r="H336" s="97"/>
    </row>
    <row r="337" spans="1:8" ht="14.25" customHeight="1">
      <c r="A337" s="97"/>
      <c r="B337" s="97"/>
      <c r="C337" s="96"/>
      <c r="D337" s="96"/>
      <c r="E337" s="97"/>
      <c r="F337" s="97"/>
      <c r="G337" s="97"/>
      <c r="H337" s="97"/>
    </row>
    <row r="338" spans="1:8" ht="14.25" customHeight="1">
      <c r="A338" s="97"/>
      <c r="B338" s="97"/>
      <c r="C338" s="96"/>
      <c r="D338" s="96"/>
      <c r="E338" s="97"/>
      <c r="F338" s="97"/>
      <c r="G338" s="97"/>
      <c r="H338" s="97"/>
    </row>
    <row r="339" spans="1:8" ht="14.25" customHeight="1">
      <c r="A339" s="97"/>
      <c r="B339" s="97"/>
      <c r="C339" s="96"/>
      <c r="D339" s="96"/>
      <c r="E339" s="97"/>
      <c r="F339" s="97"/>
      <c r="G339" s="97"/>
      <c r="H339" s="97"/>
    </row>
    <row r="340" spans="1:8" ht="14.25" customHeight="1">
      <c r="A340" s="97"/>
      <c r="B340" s="97"/>
      <c r="C340" s="96"/>
      <c r="D340" s="96"/>
      <c r="E340" s="97"/>
      <c r="F340" s="97"/>
      <c r="G340" s="97"/>
      <c r="H340" s="97"/>
    </row>
    <row r="341" spans="1:8" ht="14.25" customHeight="1">
      <c r="A341" s="97"/>
      <c r="B341" s="97"/>
      <c r="C341" s="96"/>
      <c r="D341" s="96"/>
      <c r="E341" s="97"/>
      <c r="F341" s="97"/>
      <c r="G341" s="97"/>
      <c r="H341" s="97"/>
    </row>
    <row r="342" spans="1:8" ht="14.25" customHeight="1">
      <c r="A342" s="97"/>
      <c r="B342" s="97"/>
      <c r="C342" s="96"/>
      <c r="D342" s="96"/>
      <c r="E342" s="97"/>
      <c r="F342" s="97"/>
      <c r="G342" s="97"/>
      <c r="H342" s="97"/>
    </row>
    <row r="343" spans="1:8" ht="14.25" customHeight="1">
      <c r="A343" s="97"/>
      <c r="B343" s="97"/>
      <c r="C343" s="96"/>
      <c r="D343" s="96"/>
      <c r="E343" s="97"/>
      <c r="F343" s="97"/>
      <c r="G343" s="97"/>
      <c r="H343" s="97"/>
    </row>
    <row r="344" spans="1:8" ht="14.25" customHeight="1">
      <c r="A344" s="97"/>
      <c r="B344" s="97"/>
      <c r="C344" s="96"/>
      <c r="D344" s="96"/>
      <c r="E344" s="97"/>
      <c r="F344" s="97"/>
      <c r="G344" s="97"/>
      <c r="H344" s="97"/>
    </row>
    <row r="345" spans="1:8" ht="14.25" customHeight="1">
      <c r="A345" s="97"/>
      <c r="B345" s="97"/>
      <c r="C345" s="96"/>
      <c r="D345" s="96"/>
      <c r="E345" s="97"/>
      <c r="F345" s="97"/>
      <c r="G345" s="97"/>
      <c r="H345" s="97"/>
    </row>
    <row r="346" spans="1:8" ht="14.25" customHeight="1">
      <c r="A346" s="97"/>
      <c r="B346" s="97"/>
      <c r="C346" s="96"/>
      <c r="D346" s="96"/>
      <c r="E346" s="97"/>
      <c r="F346" s="97"/>
      <c r="G346" s="97"/>
      <c r="H346" s="97"/>
    </row>
    <row r="347" spans="1:8" ht="14.25" customHeight="1">
      <c r="A347" s="97"/>
      <c r="B347" s="97"/>
      <c r="C347" s="96"/>
      <c r="D347" s="96"/>
      <c r="E347" s="97"/>
      <c r="F347" s="97"/>
      <c r="G347" s="97"/>
      <c r="H347" s="97"/>
    </row>
    <row r="348" spans="1:8" ht="14.25" customHeight="1">
      <c r="A348" s="97"/>
      <c r="B348" s="97"/>
      <c r="C348" s="96"/>
      <c r="D348" s="96"/>
      <c r="E348" s="97"/>
      <c r="F348" s="97"/>
      <c r="G348" s="97"/>
      <c r="H348" s="97"/>
    </row>
    <row r="349" spans="1:8" ht="14.25" customHeight="1">
      <c r="A349" s="97"/>
      <c r="B349" s="97"/>
      <c r="C349" s="96"/>
      <c r="D349" s="96"/>
      <c r="E349" s="97"/>
      <c r="F349" s="97"/>
      <c r="G349" s="97"/>
      <c r="H349" s="97"/>
    </row>
    <row r="350" spans="1:8" ht="14.25" customHeight="1">
      <c r="A350" s="97"/>
      <c r="B350" s="97"/>
      <c r="C350" s="96"/>
      <c r="D350" s="96"/>
      <c r="E350" s="97"/>
      <c r="F350" s="97"/>
      <c r="G350" s="97"/>
      <c r="H350" s="97"/>
    </row>
    <row r="351" spans="1:8" ht="14.25" customHeight="1">
      <c r="A351" s="97"/>
      <c r="B351" s="97"/>
      <c r="C351" s="96"/>
      <c r="D351" s="96"/>
      <c r="E351" s="97"/>
      <c r="F351" s="97"/>
      <c r="G351" s="97"/>
      <c r="H351" s="97"/>
    </row>
    <row r="352" spans="1:8" ht="14.25" customHeight="1">
      <c r="A352" s="97"/>
      <c r="B352" s="97"/>
      <c r="C352" s="96"/>
      <c r="D352" s="96"/>
      <c r="E352" s="97"/>
      <c r="F352" s="97"/>
      <c r="G352" s="97"/>
      <c r="H352" s="97"/>
    </row>
    <row r="353" spans="1:8" ht="14.25" customHeight="1">
      <c r="A353" s="97"/>
      <c r="B353" s="97"/>
      <c r="C353" s="96"/>
      <c r="D353" s="96"/>
      <c r="E353" s="97"/>
      <c r="F353" s="97"/>
      <c r="G353" s="97"/>
      <c r="H353" s="97"/>
    </row>
    <row r="354" spans="1:8" ht="14.25" customHeight="1">
      <c r="A354" s="97"/>
      <c r="B354" s="97"/>
      <c r="C354" s="96"/>
      <c r="D354" s="96"/>
      <c r="E354" s="97"/>
      <c r="F354" s="97"/>
      <c r="G354" s="97"/>
      <c r="H354" s="97"/>
    </row>
    <row r="355" spans="1:8" ht="14.25" customHeight="1">
      <c r="A355" s="97"/>
      <c r="B355" s="97"/>
      <c r="C355" s="96"/>
      <c r="D355" s="96"/>
      <c r="E355" s="97"/>
      <c r="F355" s="97"/>
      <c r="G355" s="97"/>
      <c r="H355" s="97"/>
    </row>
    <row r="356" spans="1:8" ht="14.25" customHeight="1">
      <c r="A356" s="97"/>
      <c r="B356" s="97"/>
      <c r="C356" s="96"/>
      <c r="D356" s="96"/>
      <c r="E356" s="97"/>
      <c r="F356" s="97"/>
      <c r="G356" s="97"/>
      <c r="H356" s="97"/>
    </row>
    <row r="357" spans="1:8" ht="14.25" customHeight="1">
      <c r="A357" s="97"/>
      <c r="B357" s="97"/>
      <c r="C357" s="96"/>
      <c r="D357" s="96"/>
      <c r="E357" s="97"/>
      <c r="F357" s="97"/>
      <c r="G357" s="97"/>
      <c r="H357" s="97"/>
    </row>
    <row r="358" spans="1:8" ht="14.25" customHeight="1">
      <c r="A358" s="97"/>
      <c r="B358" s="97"/>
      <c r="C358" s="96"/>
      <c r="D358" s="96"/>
      <c r="E358" s="97"/>
      <c r="F358" s="97"/>
      <c r="G358" s="97"/>
      <c r="H358" s="97"/>
    </row>
    <row r="359" spans="1:8" ht="14.25" customHeight="1">
      <c r="A359" s="97"/>
      <c r="B359" s="97"/>
      <c r="C359" s="96"/>
      <c r="D359" s="96"/>
      <c r="E359" s="97"/>
      <c r="F359" s="97"/>
      <c r="G359" s="97"/>
      <c r="H359" s="97"/>
    </row>
    <row r="360" spans="1:8" ht="14.25" customHeight="1">
      <c r="A360" s="97"/>
      <c r="B360" s="97"/>
      <c r="C360" s="96"/>
      <c r="D360" s="96"/>
      <c r="E360" s="97"/>
      <c r="F360" s="97"/>
      <c r="G360" s="97"/>
      <c r="H360" s="97"/>
    </row>
    <row r="361" spans="1:8" ht="14.25" customHeight="1">
      <c r="A361" s="97"/>
      <c r="B361" s="97"/>
      <c r="C361" s="96"/>
      <c r="D361" s="96"/>
      <c r="E361" s="97"/>
      <c r="F361" s="97"/>
      <c r="G361" s="97"/>
      <c r="H361" s="97"/>
    </row>
    <row r="362" spans="1:8" ht="14.25" customHeight="1">
      <c r="A362" s="97"/>
      <c r="B362" s="97"/>
      <c r="C362" s="96"/>
      <c r="D362" s="96"/>
      <c r="E362" s="97"/>
      <c r="F362" s="97"/>
      <c r="G362" s="97"/>
      <c r="H362" s="97"/>
    </row>
    <row r="363" spans="1:8" ht="14.25" customHeight="1">
      <c r="A363" s="97"/>
      <c r="B363" s="97"/>
      <c r="C363" s="96"/>
      <c r="D363" s="96"/>
      <c r="E363" s="97"/>
      <c r="F363" s="97"/>
      <c r="G363" s="97"/>
      <c r="H363" s="97"/>
    </row>
    <row r="364" spans="1:8" ht="14.25" customHeight="1">
      <c r="A364" s="97"/>
      <c r="B364" s="97"/>
      <c r="C364" s="96"/>
      <c r="D364" s="96"/>
      <c r="E364" s="97"/>
      <c r="F364" s="97"/>
      <c r="G364" s="97"/>
      <c r="H364" s="97"/>
    </row>
    <row r="365" spans="1:8" ht="14.25" customHeight="1">
      <c r="A365" s="97"/>
      <c r="B365" s="97"/>
      <c r="C365" s="96"/>
      <c r="D365" s="96"/>
      <c r="E365" s="97"/>
      <c r="F365" s="97"/>
      <c r="G365" s="97"/>
      <c r="H365" s="97"/>
    </row>
    <row r="366" spans="1:8" ht="14.25" customHeight="1">
      <c r="A366" s="97"/>
      <c r="B366" s="97"/>
      <c r="C366" s="96"/>
      <c r="D366" s="96"/>
      <c r="E366" s="97"/>
      <c r="F366" s="97"/>
      <c r="G366" s="97"/>
      <c r="H366" s="97"/>
    </row>
    <row r="367" spans="1:8" ht="14.25" customHeight="1">
      <c r="A367" s="97"/>
      <c r="B367" s="97"/>
      <c r="C367" s="96"/>
      <c r="D367" s="96"/>
      <c r="E367" s="97"/>
      <c r="F367" s="97"/>
      <c r="G367" s="97"/>
      <c r="H367" s="97"/>
    </row>
    <row r="368" spans="1:8" ht="14.25" customHeight="1">
      <c r="A368" s="97"/>
      <c r="B368" s="97"/>
      <c r="C368" s="96"/>
      <c r="D368" s="96"/>
      <c r="E368" s="97"/>
      <c r="F368" s="97"/>
      <c r="G368" s="97"/>
      <c r="H368" s="97"/>
    </row>
    <row r="369" spans="1:8" ht="14.25" customHeight="1">
      <c r="A369" s="97"/>
      <c r="B369" s="97"/>
      <c r="C369" s="96"/>
      <c r="D369" s="96"/>
      <c r="E369" s="97"/>
      <c r="F369" s="97"/>
      <c r="G369" s="97"/>
      <c r="H369" s="97"/>
    </row>
    <row r="370" spans="1:8" ht="14.25" customHeight="1">
      <c r="A370" s="97"/>
      <c r="B370" s="97"/>
      <c r="C370" s="96"/>
      <c r="D370" s="96"/>
      <c r="E370" s="97"/>
      <c r="F370" s="97"/>
      <c r="G370" s="97"/>
      <c r="H370" s="97"/>
    </row>
    <row r="371" spans="1:8" ht="14.25" customHeight="1">
      <c r="A371" s="97"/>
      <c r="B371" s="97"/>
      <c r="C371" s="96"/>
      <c r="D371" s="96"/>
      <c r="E371" s="97"/>
      <c r="F371" s="97"/>
      <c r="G371" s="97"/>
      <c r="H371" s="97"/>
    </row>
    <row r="372" spans="1:8" ht="14.25" customHeight="1">
      <c r="A372" s="97"/>
      <c r="B372" s="97"/>
      <c r="C372" s="96"/>
      <c r="D372" s="96"/>
      <c r="E372" s="97"/>
      <c r="F372" s="97"/>
      <c r="G372" s="97"/>
      <c r="H372" s="97"/>
    </row>
    <row r="373" spans="1:8" ht="14.25" customHeight="1">
      <c r="A373" s="97"/>
      <c r="B373" s="97"/>
      <c r="C373" s="96"/>
      <c r="D373" s="96"/>
      <c r="E373" s="97"/>
      <c r="F373" s="97"/>
      <c r="G373" s="97"/>
      <c r="H373" s="97"/>
    </row>
    <row r="374" spans="1:8" ht="14.25" customHeight="1">
      <c r="A374" s="97"/>
      <c r="B374" s="97"/>
      <c r="C374" s="96"/>
      <c r="D374" s="96"/>
      <c r="E374" s="97"/>
      <c r="F374" s="97"/>
      <c r="G374" s="97"/>
      <c r="H374" s="97"/>
    </row>
    <row r="375" spans="1:8" ht="14.25" customHeight="1">
      <c r="A375" s="97"/>
      <c r="B375" s="97"/>
      <c r="C375" s="96"/>
      <c r="D375" s="96"/>
      <c r="E375" s="97"/>
      <c r="F375" s="97"/>
      <c r="G375" s="97"/>
      <c r="H375" s="97"/>
    </row>
    <row r="376" spans="1:8" ht="14.25" customHeight="1">
      <c r="A376" s="97"/>
      <c r="B376" s="97"/>
      <c r="C376" s="96"/>
      <c r="D376" s="96"/>
      <c r="E376" s="97"/>
      <c r="F376" s="97"/>
      <c r="G376" s="97"/>
      <c r="H376" s="97"/>
    </row>
    <row r="377" spans="1:8" ht="14.25" customHeight="1">
      <c r="A377" s="97"/>
      <c r="B377" s="97"/>
      <c r="C377" s="96"/>
      <c r="D377" s="96"/>
      <c r="E377" s="97"/>
      <c r="F377" s="97"/>
      <c r="G377" s="97"/>
      <c r="H377" s="97"/>
    </row>
    <row r="378" spans="1:8" ht="14.25" customHeight="1">
      <c r="A378" s="97"/>
      <c r="B378" s="97"/>
      <c r="C378" s="96"/>
      <c r="D378" s="96"/>
      <c r="E378" s="97"/>
      <c r="F378" s="97"/>
      <c r="G378" s="97"/>
      <c r="H378" s="97"/>
    </row>
    <row r="379" spans="1:8" ht="14.25" customHeight="1">
      <c r="A379" s="97"/>
      <c r="B379" s="97"/>
      <c r="C379" s="96"/>
      <c r="D379" s="96"/>
      <c r="E379" s="97"/>
      <c r="F379" s="97"/>
      <c r="G379" s="97"/>
      <c r="H379" s="97"/>
    </row>
    <row r="380" spans="1:8" ht="14.25" customHeight="1">
      <c r="A380" s="97"/>
      <c r="B380" s="97"/>
      <c r="C380" s="96"/>
      <c r="D380" s="96"/>
      <c r="E380" s="97"/>
      <c r="F380" s="97"/>
      <c r="G380" s="97"/>
      <c r="H380" s="97"/>
    </row>
    <row r="381" spans="1:8" ht="14.25" customHeight="1">
      <c r="A381" s="97"/>
      <c r="B381" s="97"/>
      <c r="C381" s="96"/>
      <c r="D381" s="96"/>
      <c r="E381" s="97"/>
      <c r="F381" s="97"/>
      <c r="G381" s="97"/>
      <c r="H381" s="97"/>
    </row>
    <row r="382" spans="1:8" ht="14.25" customHeight="1">
      <c r="A382" s="97"/>
      <c r="B382" s="97"/>
      <c r="C382" s="96"/>
      <c r="D382" s="96"/>
      <c r="E382" s="97"/>
      <c r="F382" s="97"/>
      <c r="G382" s="97"/>
      <c r="H382" s="97"/>
    </row>
    <row r="383" spans="1:8" ht="14.25" customHeight="1">
      <c r="A383" s="97"/>
      <c r="B383" s="97"/>
      <c r="C383" s="96"/>
      <c r="D383" s="96"/>
      <c r="E383" s="97"/>
      <c r="F383" s="97"/>
      <c r="G383" s="97"/>
      <c r="H383" s="97"/>
    </row>
    <row r="384" spans="1:8" ht="14.25" customHeight="1">
      <c r="A384" s="97"/>
      <c r="B384" s="97"/>
      <c r="C384" s="96"/>
      <c r="D384" s="96"/>
      <c r="E384" s="97"/>
      <c r="F384" s="97"/>
      <c r="G384" s="97"/>
      <c r="H384" s="97"/>
    </row>
    <row r="385" spans="1:8" ht="14.25" customHeight="1">
      <c r="A385" s="97"/>
      <c r="B385" s="97"/>
      <c r="C385" s="96"/>
      <c r="D385" s="96"/>
      <c r="E385" s="97"/>
      <c r="F385" s="97"/>
      <c r="G385" s="97"/>
      <c r="H385" s="97"/>
    </row>
    <row r="386" spans="1:8" ht="14.25" customHeight="1">
      <c r="A386" s="97"/>
      <c r="B386" s="97"/>
      <c r="C386" s="96"/>
      <c r="D386" s="96"/>
      <c r="E386" s="97"/>
      <c r="F386" s="97"/>
      <c r="G386" s="97"/>
      <c r="H386" s="97"/>
    </row>
    <row r="387" spans="1:8" ht="14.25" customHeight="1">
      <c r="A387" s="97"/>
      <c r="B387" s="97"/>
      <c r="C387" s="96"/>
      <c r="D387" s="96"/>
      <c r="E387" s="97"/>
      <c r="F387" s="97"/>
      <c r="G387" s="97"/>
      <c r="H387" s="97"/>
    </row>
    <row r="388" spans="1:8" ht="14.25" customHeight="1">
      <c r="A388" s="97"/>
      <c r="B388" s="97"/>
      <c r="C388" s="96"/>
      <c r="D388" s="96"/>
      <c r="E388" s="97"/>
      <c r="F388" s="97"/>
      <c r="G388" s="97"/>
      <c r="H388" s="97"/>
    </row>
    <row r="389" spans="1:8" ht="14.25" customHeight="1">
      <c r="A389" s="97"/>
      <c r="B389" s="97"/>
      <c r="C389" s="96"/>
      <c r="D389" s="96"/>
      <c r="E389" s="97"/>
      <c r="F389" s="97"/>
      <c r="G389" s="97"/>
      <c r="H389" s="97"/>
    </row>
    <row r="390" spans="1:8" ht="14.25" customHeight="1">
      <c r="A390" s="97"/>
      <c r="B390" s="97"/>
      <c r="C390" s="96"/>
      <c r="D390" s="96"/>
      <c r="E390" s="97"/>
      <c r="F390" s="97"/>
      <c r="G390" s="97"/>
      <c r="H390" s="97"/>
    </row>
    <row r="391" spans="1:8" ht="14.25" customHeight="1">
      <c r="A391" s="97"/>
      <c r="B391" s="97"/>
      <c r="C391" s="96"/>
      <c r="D391" s="96"/>
      <c r="E391" s="97"/>
      <c r="F391" s="97"/>
      <c r="G391" s="97"/>
      <c r="H391" s="97"/>
    </row>
    <row r="392" spans="1:8" ht="14.25" customHeight="1">
      <c r="A392" s="97"/>
      <c r="B392" s="97"/>
      <c r="C392" s="96"/>
      <c r="D392" s="96"/>
      <c r="E392" s="97"/>
      <c r="F392" s="97"/>
      <c r="G392" s="97"/>
      <c r="H392" s="97"/>
    </row>
    <row r="393" spans="1:8" ht="14.25" customHeight="1">
      <c r="A393" s="97"/>
      <c r="B393" s="97"/>
      <c r="C393" s="96"/>
      <c r="D393" s="96"/>
      <c r="E393" s="97"/>
      <c r="F393" s="97"/>
      <c r="G393" s="97"/>
      <c r="H393" s="97"/>
    </row>
    <row r="394" spans="1:8" ht="14.25" customHeight="1">
      <c r="A394" s="97"/>
      <c r="B394" s="97"/>
      <c r="C394" s="96"/>
      <c r="D394" s="96"/>
      <c r="E394" s="97"/>
      <c r="F394" s="97"/>
      <c r="G394" s="97"/>
      <c r="H394" s="97"/>
    </row>
    <row r="395" spans="1:8" ht="14.25" customHeight="1">
      <c r="A395" s="97"/>
      <c r="B395" s="97"/>
      <c r="C395" s="96"/>
      <c r="D395" s="96"/>
      <c r="E395" s="97"/>
      <c r="F395" s="97"/>
      <c r="G395" s="97"/>
      <c r="H395" s="97"/>
    </row>
    <row r="396" spans="1:8" ht="14.25" customHeight="1">
      <c r="A396" s="97"/>
      <c r="B396" s="97"/>
      <c r="C396" s="96"/>
      <c r="D396" s="96"/>
      <c r="E396" s="97"/>
      <c r="F396" s="97"/>
      <c r="G396" s="97"/>
      <c r="H396" s="97"/>
    </row>
    <row r="397" spans="1:8" ht="14.25" customHeight="1">
      <c r="A397" s="97"/>
      <c r="B397" s="97"/>
      <c r="C397" s="96"/>
      <c r="D397" s="96"/>
      <c r="E397" s="97"/>
      <c r="F397" s="97"/>
      <c r="G397" s="97"/>
      <c r="H397" s="97"/>
    </row>
    <row r="398" spans="1:8" ht="14.25" customHeight="1">
      <c r="A398" s="97"/>
      <c r="B398" s="97"/>
      <c r="C398" s="96"/>
      <c r="D398" s="96"/>
      <c r="E398" s="97"/>
      <c r="F398" s="97"/>
      <c r="G398" s="97"/>
      <c r="H398" s="97"/>
    </row>
    <row r="399" spans="1:8" ht="14.25" customHeight="1">
      <c r="A399" s="97"/>
      <c r="B399" s="97"/>
      <c r="C399" s="96"/>
      <c r="D399" s="96"/>
      <c r="E399" s="97"/>
      <c r="F399" s="97"/>
      <c r="G399" s="97"/>
      <c r="H399" s="97"/>
    </row>
    <row r="400" spans="1:8" ht="14.25" customHeight="1">
      <c r="A400" s="97"/>
      <c r="B400" s="97"/>
      <c r="C400" s="96"/>
      <c r="D400" s="96"/>
      <c r="E400" s="97"/>
      <c r="F400" s="97"/>
      <c r="G400" s="97"/>
      <c r="H400" s="97"/>
    </row>
    <row r="401" spans="1:8" ht="14.25" customHeight="1">
      <c r="A401" s="97"/>
      <c r="B401" s="97"/>
      <c r="C401" s="96"/>
      <c r="D401" s="96"/>
      <c r="E401" s="97"/>
      <c r="F401" s="97"/>
      <c r="G401" s="97"/>
      <c r="H401" s="97"/>
    </row>
    <row r="402" spans="1:8" ht="14.25" customHeight="1">
      <c r="A402" s="97"/>
      <c r="B402" s="97"/>
      <c r="C402" s="96"/>
      <c r="D402" s="96"/>
      <c r="E402" s="97"/>
      <c r="F402" s="97"/>
      <c r="G402" s="97"/>
      <c r="H402" s="97"/>
    </row>
    <row r="403" spans="1:8" ht="14.25" customHeight="1">
      <c r="A403" s="97"/>
      <c r="B403" s="97"/>
      <c r="C403" s="96"/>
      <c r="D403" s="96"/>
      <c r="E403" s="97"/>
      <c r="F403" s="97"/>
      <c r="G403" s="97"/>
      <c r="H403" s="97"/>
    </row>
    <row r="404" spans="1:8" ht="14.25" customHeight="1">
      <c r="A404" s="97"/>
      <c r="B404" s="97"/>
      <c r="C404" s="96"/>
      <c r="D404" s="96"/>
      <c r="E404" s="97"/>
      <c r="F404" s="97"/>
      <c r="G404" s="97"/>
      <c r="H404" s="97"/>
    </row>
    <row r="405" spans="1:8" ht="14.25" customHeight="1">
      <c r="A405" s="97"/>
      <c r="B405" s="97"/>
      <c r="C405" s="96"/>
      <c r="D405" s="96"/>
      <c r="E405" s="97"/>
      <c r="F405" s="97"/>
      <c r="G405" s="97"/>
      <c r="H405" s="97"/>
    </row>
    <row r="406" spans="1:8" ht="14.25" customHeight="1">
      <c r="A406" s="97"/>
      <c r="B406" s="97"/>
      <c r="C406" s="96"/>
      <c r="D406" s="96"/>
      <c r="E406" s="97"/>
      <c r="F406" s="97"/>
      <c r="G406" s="97"/>
      <c r="H406" s="97"/>
    </row>
    <row r="407" spans="1:8" ht="14.25" customHeight="1">
      <c r="A407" s="97"/>
      <c r="B407" s="97"/>
      <c r="C407" s="96"/>
      <c r="D407" s="96"/>
      <c r="E407" s="97"/>
      <c r="F407" s="97"/>
      <c r="G407" s="97"/>
      <c r="H407" s="97"/>
    </row>
    <row r="408" spans="1:8" ht="14.25" customHeight="1">
      <c r="A408" s="97"/>
      <c r="B408" s="97"/>
      <c r="C408" s="96"/>
      <c r="D408" s="96"/>
      <c r="E408" s="97"/>
      <c r="F408" s="97"/>
      <c r="G408" s="97"/>
      <c r="H408" s="97"/>
    </row>
    <row r="409" spans="1:8" ht="14.25" customHeight="1">
      <c r="A409" s="97"/>
      <c r="B409" s="97"/>
      <c r="C409" s="96"/>
      <c r="D409" s="96"/>
      <c r="E409" s="97"/>
      <c r="F409" s="97"/>
      <c r="G409" s="97"/>
      <c r="H409" s="97"/>
    </row>
    <row r="410" spans="1:8" ht="14.25" customHeight="1">
      <c r="A410" s="97"/>
      <c r="B410" s="97"/>
      <c r="C410" s="96"/>
      <c r="D410" s="96"/>
      <c r="E410" s="97"/>
      <c r="F410" s="97"/>
      <c r="G410" s="97"/>
      <c r="H410" s="97"/>
    </row>
    <row r="411" spans="1:8" ht="14.25" customHeight="1">
      <c r="A411" s="97"/>
      <c r="B411" s="97"/>
      <c r="C411" s="96"/>
      <c r="D411" s="96"/>
      <c r="E411" s="97"/>
      <c r="F411" s="97"/>
      <c r="G411" s="97"/>
      <c r="H411" s="97"/>
    </row>
    <row r="412" spans="1:8" ht="14.25" customHeight="1">
      <c r="A412" s="97"/>
      <c r="B412" s="97"/>
      <c r="C412" s="96"/>
      <c r="D412" s="96"/>
      <c r="E412" s="97"/>
      <c r="F412" s="97"/>
      <c r="G412" s="97"/>
      <c r="H412" s="97"/>
    </row>
    <row r="413" spans="1:8" ht="14.25" customHeight="1">
      <c r="A413" s="97"/>
      <c r="B413" s="97"/>
      <c r="C413" s="96"/>
      <c r="D413" s="96"/>
      <c r="E413" s="97"/>
      <c r="F413" s="97"/>
      <c r="G413" s="97"/>
      <c r="H413" s="97"/>
    </row>
    <row r="414" spans="1:8" ht="14.25" customHeight="1">
      <c r="A414" s="97"/>
      <c r="B414" s="97"/>
      <c r="C414" s="96"/>
      <c r="D414" s="96"/>
      <c r="E414" s="97"/>
      <c r="F414" s="97"/>
      <c r="G414" s="97"/>
      <c r="H414" s="97"/>
    </row>
    <row r="415" spans="1:8" ht="14.25" customHeight="1">
      <c r="A415" s="97"/>
      <c r="B415" s="97"/>
      <c r="C415" s="96"/>
      <c r="D415" s="96"/>
      <c r="E415" s="97"/>
      <c r="F415" s="97"/>
      <c r="G415" s="97"/>
      <c r="H415" s="97"/>
    </row>
    <row r="416" spans="1:8" ht="14.25" customHeight="1">
      <c r="A416" s="97"/>
      <c r="B416" s="97"/>
      <c r="C416" s="96"/>
      <c r="D416" s="96"/>
      <c r="E416" s="97"/>
      <c r="F416" s="97"/>
      <c r="G416" s="97"/>
      <c r="H416" s="97"/>
    </row>
    <row r="417" spans="1:8" ht="14.25" customHeight="1">
      <c r="A417" s="97"/>
      <c r="B417" s="97"/>
      <c r="C417" s="96"/>
      <c r="D417" s="96"/>
      <c r="E417" s="97"/>
      <c r="F417" s="97"/>
      <c r="G417" s="97"/>
      <c r="H417" s="97"/>
    </row>
    <row r="418" spans="1:8" ht="14.25" customHeight="1">
      <c r="A418" s="97"/>
      <c r="B418" s="97"/>
      <c r="C418" s="96"/>
      <c r="D418" s="96"/>
      <c r="E418" s="97"/>
      <c r="F418" s="97"/>
      <c r="G418" s="97"/>
      <c r="H418" s="97"/>
    </row>
    <row r="419" spans="1:8" ht="14.25" customHeight="1">
      <c r="A419" s="97"/>
      <c r="B419" s="97"/>
      <c r="C419" s="96"/>
      <c r="D419" s="96"/>
      <c r="E419" s="97"/>
      <c r="F419" s="97"/>
      <c r="G419" s="97"/>
      <c r="H419" s="97"/>
    </row>
    <row r="420" spans="1:8" ht="14.25" customHeight="1">
      <c r="A420" s="97"/>
      <c r="B420" s="97"/>
      <c r="C420" s="96"/>
      <c r="D420" s="96"/>
      <c r="E420" s="97"/>
      <c r="F420" s="97"/>
      <c r="G420" s="97"/>
      <c r="H420" s="97"/>
    </row>
    <row r="421" spans="1:8" ht="14.25" customHeight="1">
      <c r="A421" s="97"/>
      <c r="B421" s="97"/>
      <c r="C421" s="96"/>
      <c r="D421" s="96"/>
      <c r="E421" s="97"/>
      <c r="F421" s="97"/>
      <c r="G421" s="97"/>
      <c r="H421" s="97"/>
    </row>
    <row r="422" spans="1:8" ht="14.25" customHeight="1">
      <c r="A422" s="97"/>
      <c r="B422" s="97"/>
      <c r="C422" s="96"/>
      <c r="D422" s="96"/>
      <c r="E422" s="97"/>
      <c r="F422" s="97"/>
      <c r="G422" s="97"/>
      <c r="H422" s="97"/>
    </row>
    <row r="423" spans="1:8" ht="14.25" customHeight="1">
      <c r="A423" s="97"/>
      <c r="B423" s="97"/>
      <c r="C423" s="96"/>
      <c r="D423" s="96"/>
      <c r="E423" s="97"/>
      <c r="F423" s="97"/>
      <c r="G423" s="97"/>
      <c r="H423" s="97"/>
    </row>
    <row r="424" spans="1:8" ht="14.25" customHeight="1">
      <c r="A424" s="97"/>
      <c r="B424" s="97"/>
      <c r="C424" s="96"/>
      <c r="D424" s="96"/>
      <c r="E424" s="97"/>
      <c r="F424" s="97"/>
      <c r="G424" s="97"/>
      <c r="H424" s="97"/>
    </row>
    <row r="425" spans="1:8" ht="14.25" customHeight="1">
      <c r="A425" s="97"/>
      <c r="B425" s="97"/>
      <c r="C425" s="96"/>
      <c r="D425" s="96"/>
      <c r="E425" s="97"/>
      <c r="F425" s="97"/>
      <c r="G425" s="97"/>
      <c r="H425" s="97"/>
    </row>
    <row r="426" spans="1:8" ht="14.25" customHeight="1">
      <c r="A426" s="97"/>
      <c r="B426" s="97"/>
      <c r="C426" s="96"/>
      <c r="D426" s="96"/>
      <c r="E426" s="97"/>
      <c r="F426" s="97"/>
      <c r="G426" s="97"/>
      <c r="H426" s="97"/>
    </row>
    <row r="427" spans="1:8" ht="14.25" customHeight="1">
      <c r="A427" s="97"/>
      <c r="B427" s="97"/>
      <c r="C427" s="96"/>
      <c r="D427" s="96"/>
      <c r="E427" s="97"/>
      <c r="F427" s="97"/>
      <c r="G427" s="97"/>
      <c r="H427" s="97"/>
    </row>
    <row r="428" spans="1:8" ht="14.25" customHeight="1">
      <c r="A428" s="97"/>
      <c r="B428" s="97"/>
      <c r="C428" s="96"/>
      <c r="D428" s="96"/>
      <c r="E428" s="97"/>
      <c r="F428" s="97"/>
      <c r="G428" s="97"/>
      <c r="H428" s="97"/>
    </row>
    <row r="429" spans="1:8" ht="14.25" customHeight="1">
      <c r="A429" s="97"/>
      <c r="B429" s="97"/>
      <c r="C429" s="96"/>
      <c r="D429" s="96"/>
      <c r="E429" s="97"/>
      <c r="F429" s="97"/>
      <c r="G429" s="97"/>
      <c r="H429" s="97"/>
    </row>
    <row r="430" spans="1:8" ht="14.25" customHeight="1">
      <c r="A430" s="97"/>
      <c r="B430" s="97"/>
      <c r="C430" s="96"/>
      <c r="D430" s="96"/>
      <c r="E430" s="97"/>
      <c r="F430" s="97"/>
      <c r="G430" s="97"/>
      <c r="H430" s="97"/>
    </row>
    <row r="431" spans="1:8" ht="14.25" customHeight="1">
      <c r="A431" s="97"/>
      <c r="B431" s="97"/>
      <c r="C431" s="96"/>
      <c r="D431" s="96"/>
      <c r="E431" s="97"/>
      <c r="F431" s="97"/>
      <c r="G431" s="97"/>
      <c r="H431" s="97"/>
    </row>
    <row r="432" spans="1:8" ht="14.25" customHeight="1">
      <c r="A432" s="97"/>
      <c r="B432" s="97"/>
      <c r="C432" s="96"/>
      <c r="D432" s="96"/>
      <c r="E432" s="97"/>
      <c r="F432" s="97"/>
      <c r="G432" s="97"/>
      <c r="H432" s="97"/>
    </row>
    <row r="433" spans="1:8" ht="14.25" customHeight="1">
      <c r="A433" s="97"/>
      <c r="B433" s="97"/>
      <c r="C433" s="96"/>
      <c r="D433" s="96"/>
      <c r="E433" s="97"/>
      <c r="F433" s="97"/>
      <c r="G433" s="97"/>
      <c r="H433" s="97"/>
    </row>
    <row r="434" spans="1:8" ht="14.25" customHeight="1">
      <c r="A434" s="97"/>
      <c r="B434" s="97"/>
      <c r="C434" s="96"/>
      <c r="D434" s="96"/>
      <c r="E434" s="97"/>
      <c r="F434" s="97"/>
      <c r="G434" s="97"/>
      <c r="H434" s="97"/>
    </row>
    <row r="435" spans="1:8" ht="14.25" customHeight="1">
      <c r="A435" s="97"/>
      <c r="B435" s="97"/>
      <c r="C435" s="96"/>
      <c r="D435" s="96"/>
      <c r="E435" s="97"/>
      <c r="F435" s="97"/>
      <c r="G435" s="97"/>
      <c r="H435" s="97"/>
    </row>
    <row r="436" spans="1:8" ht="14.25" customHeight="1">
      <c r="A436" s="97"/>
      <c r="B436" s="97"/>
      <c r="C436" s="96"/>
      <c r="D436" s="96"/>
      <c r="E436" s="97"/>
      <c r="F436" s="97"/>
      <c r="G436" s="97"/>
      <c r="H436" s="97"/>
    </row>
    <row r="437" spans="1:8" ht="14.25" customHeight="1">
      <c r="A437" s="97"/>
      <c r="B437" s="97"/>
      <c r="C437" s="96"/>
      <c r="D437" s="96"/>
      <c r="E437" s="97"/>
      <c r="F437" s="97"/>
      <c r="G437" s="97"/>
      <c r="H437" s="97"/>
    </row>
    <row r="438" spans="1:8" ht="14.25" customHeight="1">
      <c r="A438" s="97"/>
      <c r="B438" s="97"/>
      <c r="C438" s="96"/>
      <c r="D438" s="96"/>
      <c r="E438" s="97"/>
      <c r="F438" s="97"/>
      <c r="G438" s="97"/>
      <c r="H438" s="97"/>
    </row>
    <row r="439" spans="1:8" ht="14.25" customHeight="1">
      <c r="A439" s="97"/>
      <c r="B439" s="97"/>
      <c r="C439" s="96"/>
      <c r="D439" s="96"/>
      <c r="E439" s="97"/>
      <c r="F439" s="97"/>
      <c r="G439" s="97"/>
      <c r="H439" s="97"/>
    </row>
    <row r="440" spans="1:8" ht="14.25" customHeight="1">
      <c r="A440" s="97"/>
      <c r="B440" s="97"/>
      <c r="C440" s="96"/>
      <c r="D440" s="96"/>
      <c r="E440" s="97"/>
      <c r="F440" s="97"/>
      <c r="G440" s="97"/>
      <c r="H440" s="97"/>
    </row>
    <row r="441" spans="1:8" ht="14.25" customHeight="1">
      <c r="A441" s="97"/>
      <c r="B441" s="97"/>
      <c r="C441" s="96"/>
      <c r="D441" s="96"/>
      <c r="E441" s="97"/>
      <c r="F441" s="97"/>
      <c r="G441" s="97"/>
      <c r="H441" s="97"/>
    </row>
    <row r="442" spans="1:8" ht="14.25" customHeight="1">
      <c r="A442" s="97"/>
      <c r="B442" s="97"/>
      <c r="C442" s="96"/>
      <c r="D442" s="96"/>
      <c r="E442" s="97"/>
      <c r="F442" s="97"/>
      <c r="G442" s="97"/>
      <c r="H442" s="97"/>
    </row>
    <row r="443" spans="1:8" ht="14.25" customHeight="1">
      <c r="A443" s="97"/>
      <c r="B443" s="97"/>
      <c r="C443" s="96"/>
      <c r="D443" s="96"/>
      <c r="E443" s="97"/>
      <c r="F443" s="97"/>
      <c r="G443" s="97"/>
      <c r="H443" s="97"/>
    </row>
    <row r="444" spans="1:8" ht="14.25" customHeight="1">
      <c r="A444" s="97"/>
      <c r="B444" s="97"/>
      <c r="C444" s="96"/>
      <c r="D444" s="96"/>
      <c r="E444" s="97"/>
      <c r="F444" s="97"/>
      <c r="G444" s="97"/>
      <c r="H444" s="97"/>
    </row>
    <row r="445" spans="1:8" ht="14.25" customHeight="1">
      <c r="A445" s="97"/>
      <c r="B445" s="97"/>
      <c r="C445" s="96"/>
      <c r="D445" s="96"/>
      <c r="E445" s="97"/>
      <c r="F445" s="97"/>
      <c r="G445" s="97"/>
      <c r="H445" s="97"/>
    </row>
    <row r="446" spans="1:8" ht="14.25" customHeight="1">
      <c r="A446" s="97"/>
      <c r="B446" s="97"/>
      <c r="C446" s="96"/>
      <c r="D446" s="96"/>
      <c r="E446" s="97"/>
      <c r="F446" s="97"/>
      <c r="G446" s="97"/>
      <c r="H446" s="97"/>
    </row>
    <row r="447" spans="1:8" ht="14.25" customHeight="1">
      <c r="A447" s="97"/>
      <c r="B447" s="97"/>
      <c r="C447" s="96"/>
      <c r="D447" s="96"/>
      <c r="E447" s="97"/>
      <c r="F447" s="97"/>
      <c r="G447" s="97"/>
      <c r="H447" s="97"/>
    </row>
    <row r="448" spans="1:8" ht="14.25" customHeight="1">
      <c r="A448" s="97"/>
      <c r="B448" s="97"/>
      <c r="C448" s="96"/>
      <c r="D448" s="96"/>
      <c r="E448" s="97"/>
      <c r="F448" s="97"/>
      <c r="G448" s="97"/>
      <c r="H448" s="97"/>
    </row>
    <row r="449" spans="1:8" ht="14.25" customHeight="1">
      <c r="A449" s="97"/>
      <c r="B449" s="97"/>
      <c r="C449" s="96"/>
      <c r="D449" s="96"/>
      <c r="E449" s="97"/>
      <c r="F449" s="97"/>
      <c r="G449" s="97"/>
      <c r="H449" s="97"/>
    </row>
    <row r="450" spans="1:8" ht="14.25" customHeight="1">
      <c r="A450" s="97"/>
      <c r="B450" s="97"/>
      <c r="C450" s="96"/>
      <c r="D450" s="96"/>
      <c r="E450" s="97"/>
      <c r="F450" s="97"/>
      <c r="G450" s="97"/>
      <c r="H450" s="97"/>
    </row>
    <row r="451" spans="1:8" ht="14.25" customHeight="1">
      <c r="A451" s="97"/>
      <c r="B451" s="97"/>
      <c r="C451" s="96"/>
      <c r="D451" s="96"/>
      <c r="E451" s="97"/>
      <c r="F451" s="97"/>
      <c r="G451" s="97"/>
      <c r="H451" s="97"/>
    </row>
    <row r="452" spans="1:8" ht="14.25" customHeight="1">
      <c r="A452" s="97"/>
      <c r="B452" s="97"/>
      <c r="C452" s="96"/>
      <c r="D452" s="96"/>
      <c r="E452" s="97"/>
      <c r="F452" s="97"/>
      <c r="G452" s="97"/>
      <c r="H452" s="97"/>
    </row>
    <row r="453" spans="1:8" ht="14.25" customHeight="1">
      <c r="A453" s="97"/>
      <c r="B453" s="97"/>
      <c r="C453" s="96"/>
      <c r="D453" s="96"/>
      <c r="E453" s="97"/>
      <c r="F453" s="97"/>
      <c r="G453" s="97"/>
      <c r="H453" s="97"/>
    </row>
    <row r="454" spans="1:8" ht="14.25" customHeight="1">
      <c r="A454" s="97"/>
      <c r="B454" s="97"/>
      <c r="C454" s="96"/>
      <c r="D454" s="96"/>
      <c r="E454" s="97"/>
      <c r="F454" s="97"/>
      <c r="G454" s="97"/>
      <c r="H454" s="97"/>
    </row>
    <row r="455" spans="1:8" ht="14.25" customHeight="1">
      <c r="A455" s="97"/>
      <c r="B455" s="97"/>
      <c r="C455" s="96"/>
      <c r="D455" s="96"/>
      <c r="E455" s="97"/>
      <c r="F455" s="97"/>
      <c r="G455" s="97"/>
      <c r="H455" s="97"/>
    </row>
    <row r="456" spans="1:8" ht="14.25" customHeight="1">
      <c r="A456" s="97"/>
      <c r="B456" s="97"/>
      <c r="C456" s="96"/>
      <c r="D456" s="96"/>
      <c r="E456" s="97"/>
      <c r="F456" s="97"/>
      <c r="G456" s="97"/>
      <c r="H456" s="97"/>
    </row>
    <row r="457" spans="1:8" ht="14.25" customHeight="1">
      <c r="A457" s="97"/>
      <c r="B457" s="97"/>
      <c r="C457" s="96"/>
      <c r="D457" s="96"/>
      <c r="E457" s="97"/>
      <c r="F457" s="97"/>
      <c r="G457" s="97"/>
      <c r="H457" s="97"/>
    </row>
    <row r="458" spans="1:8" ht="14.25" customHeight="1">
      <c r="A458" s="97"/>
      <c r="B458" s="97"/>
      <c r="C458" s="96"/>
      <c r="D458" s="96"/>
      <c r="E458" s="97"/>
      <c r="F458" s="97"/>
      <c r="G458" s="97"/>
      <c r="H458" s="97"/>
    </row>
    <row r="459" spans="1:8" ht="14.25" customHeight="1">
      <c r="A459" s="97"/>
      <c r="B459" s="97"/>
      <c r="C459" s="96"/>
      <c r="D459" s="96"/>
      <c r="E459" s="97"/>
      <c r="F459" s="97"/>
      <c r="G459" s="97"/>
      <c r="H459" s="97"/>
    </row>
    <row r="460" spans="1:8" ht="14.25" customHeight="1">
      <c r="A460" s="97"/>
      <c r="B460" s="97"/>
      <c r="C460" s="96"/>
      <c r="D460" s="96"/>
      <c r="E460" s="97"/>
      <c r="F460" s="97"/>
      <c r="G460" s="97"/>
      <c r="H460" s="97"/>
    </row>
    <row r="461" spans="1:8" ht="14.25" customHeight="1">
      <c r="A461" s="97"/>
      <c r="B461" s="97"/>
      <c r="C461" s="96"/>
      <c r="D461" s="96"/>
      <c r="E461" s="97"/>
      <c r="F461" s="97"/>
      <c r="G461" s="97"/>
      <c r="H461" s="97"/>
    </row>
    <row r="462" spans="1:8" ht="14.25" customHeight="1">
      <c r="A462" s="97"/>
      <c r="B462" s="97"/>
      <c r="C462" s="96"/>
      <c r="D462" s="96"/>
      <c r="E462" s="97"/>
      <c r="F462" s="97"/>
      <c r="G462" s="97"/>
      <c r="H462" s="97"/>
    </row>
    <row r="463" spans="1:8" ht="14.25" customHeight="1">
      <c r="A463" s="97"/>
      <c r="B463" s="97"/>
      <c r="C463" s="96"/>
      <c r="D463" s="96"/>
      <c r="E463" s="97"/>
      <c r="F463" s="97"/>
      <c r="G463" s="97"/>
      <c r="H463" s="97"/>
    </row>
    <row r="464" spans="1:8" ht="14.25" customHeight="1">
      <c r="A464" s="97"/>
      <c r="B464" s="97"/>
      <c r="C464" s="96"/>
      <c r="D464" s="96"/>
      <c r="E464" s="97"/>
      <c r="F464" s="97"/>
      <c r="G464" s="97"/>
      <c r="H464" s="97"/>
    </row>
    <row r="465" spans="1:8" ht="14.25" customHeight="1">
      <c r="A465" s="97"/>
      <c r="B465" s="97"/>
      <c r="C465" s="96"/>
      <c r="D465" s="96"/>
      <c r="E465" s="97"/>
      <c r="F465" s="97"/>
      <c r="G465" s="97"/>
      <c r="H465" s="97"/>
    </row>
    <row r="466" spans="1:8" ht="14.25" customHeight="1">
      <c r="A466" s="97"/>
      <c r="B466" s="97"/>
      <c r="C466" s="96"/>
      <c r="D466" s="96"/>
      <c r="E466" s="97"/>
      <c r="F466" s="97"/>
      <c r="G466" s="97"/>
      <c r="H466" s="97"/>
    </row>
    <row r="467" spans="1:8" ht="14.25" customHeight="1">
      <c r="A467" s="97"/>
      <c r="B467" s="97"/>
      <c r="C467" s="96"/>
      <c r="D467" s="96"/>
      <c r="E467" s="97"/>
      <c r="F467" s="97"/>
      <c r="G467" s="97"/>
      <c r="H467" s="97"/>
    </row>
    <row r="468" spans="1:8" ht="14.25" customHeight="1">
      <c r="A468" s="97"/>
      <c r="B468" s="97"/>
      <c r="C468" s="96"/>
      <c r="D468" s="96"/>
      <c r="E468" s="97"/>
      <c r="F468" s="97"/>
      <c r="G468" s="97"/>
      <c r="H468" s="97"/>
    </row>
    <row r="469" spans="1:8" ht="14.25" customHeight="1">
      <c r="A469" s="97"/>
      <c r="B469" s="97"/>
      <c r="C469" s="96"/>
      <c r="D469" s="96"/>
      <c r="E469" s="97"/>
      <c r="F469" s="97"/>
      <c r="G469" s="97"/>
      <c r="H469" s="97"/>
    </row>
    <row r="470" spans="1:8" ht="14.25" customHeight="1">
      <c r="A470" s="97"/>
      <c r="B470" s="97"/>
      <c r="C470" s="96"/>
      <c r="D470" s="96"/>
      <c r="E470" s="97"/>
      <c r="F470" s="97"/>
      <c r="G470" s="97"/>
      <c r="H470" s="97"/>
    </row>
    <row r="471" spans="1:8" ht="14.25" customHeight="1">
      <c r="A471" s="97"/>
      <c r="B471" s="97"/>
      <c r="C471" s="96"/>
      <c r="D471" s="96"/>
      <c r="E471" s="97"/>
      <c r="F471" s="97"/>
      <c r="G471" s="97"/>
      <c r="H471" s="97"/>
    </row>
    <row r="472" spans="1:8" ht="14.25" customHeight="1">
      <c r="A472" s="97"/>
      <c r="B472" s="97"/>
      <c r="C472" s="96"/>
      <c r="D472" s="96"/>
      <c r="E472" s="97"/>
      <c r="F472" s="97"/>
      <c r="G472" s="97"/>
      <c r="H472" s="97"/>
    </row>
    <row r="473" spans="1:8" ht="14.25" customHeight="1">
      <c r="A473" s="97"/>
      <c r="B473" s="97"/>
      <c r="C473" s="96"/>
      <c r="D473" s="96"/>
      <c r="E473" s="97"/>
      <c r="F473" s="97"/>
      <c r="G473" s="97"/>
      <c r="H473" s="97"/>
    </row>
    <row r="474" spans="1:8" ht="14.25" customHeight="1">
      <c r="A474" s="97"/>
      <c r="B474" s="97"/>
      <c r="C474" s="96"/>
      <c r="D474" s="96"/>
      <c r="E474" s="97"/>
      <c r="F474" s="97"/>
      <c r="G474" s="97"/>
      <c r="H474" s="97"/>
    </row>
    <row r="475" spans="1:8" ht="14.25" customHeight="1">
      <c r="A475" s="97"/>
      <c r="B475" s="97"/>
      <c r="C475" s="96"/>
      <c r="D475" s="96"/>
      <c r="E475" s="97"/>
      <c r="F475" s="97"/>
      <c r="G475" s="97"/>
      <c r="H475" s="97"/>
    </row>
    <row r="476" spans="1:8" ht="14.25" customHeight="1">
      <c r="A476" s="97"/>
      <c r="B476" s="97"/>
      <c r="C476" s="96"/>
      <c r="D476" s="96"/>
      <c r="E476" s="97"/>
      <c r="F476" s="97"/>
      <c r="G476" s="97"/>
      <c r="H476" s="97"/>
    </row>
    <row r="477" spans="1:8" ht="14.25" customHeight="1">
      <c r="A477" s="97"/>
      <c r="B477" s="97"/>
      <c r="C477" s="96"/>
      <c r="D477" s="96"/>
      <c r="E477" s="97"/>
      <c r="F477" s="97"/>
      <c r="G477" s="97"/>
      <c r="H477" s="97"/>
    </row>
    <row r="478" spans="1:8" ht="14.25" customHeight="1">
      <c r="A478" s="97"/>
      <c r="B478" s="97"/>
      <c r="C478" s="96"/>
      <c r="D478" s="96"/>
      <c r="E478" s="97"/>
      <c r="F478" s="97"/>
      <c r="G478" s="97"/>
      <c r="H478" s="97"/>
    </row>
    <row r="479" spans="1:8" ht="14.25" customHeight="1">
      <c r="A479" s="97"/>
      <c r="B479" s="97"/>
      <c r="C479" s="96"/>
      <c r="D479" s="96"/>
      <c r="E479" s="97"/>
      <c r="F479" s="97"/>
      <c r="G479" s="97"/>
      <c r="H479" s="97"/>
    </row>
    <row r="480" spans="1:8" ht="14.25" customHeight="1">
      <c r="A480" s="97"/>
      <c r="B480" s="97"/>
      <c r="C480" s="96"/>
      <c r="D480" s="96"/>
      <c r="E480" s="97"/>
      <c r="F480" s="97"/>
      <c r="G480" s="97"/>
      <c r="H480" s="97"/>
    </row>
    <row r="481" spans="1:8" ht="14.25" customHeight="1">
      <c r="A481" s="97"/>
      <c r="B481" s="97"/>
      <c r="C481" s="96"/>
      <c r="D481" s="96"/>
      <c r="E481" s="97"/>
      <c r="F481" s="97"/>
      <c r="G481" s="97"/>
      <c r="H481" s="97"/>
    </row>
    <row r="482" spans="1:8" ht="14.25" customHeight="1">
      <c r="A482" s="97"/>
      <c r="B482" s="97"/>
      <c r="C482" s="96"/>
      <c r="D482" s="96"/>
      <c r="E482" s="97"/>
      <c r="F482" s="97"/>
      <c r="G482" s="97"/>
      <c r="H482" s="97"/>
    </row>
    <row r="483" spans="1:8" ht="14.25" customHeight="1">
      <c r="A483" s="97"/>
      <c r="B483" s="97"/>
      <c r="C483" s="96"/>
      <c r="D483" s="96"/>
      <c r="E483" s="97"/>
      <c r="F483" s="97"/>
      <c r="G483" s="97"/>
      <c r="H483" s="97"/>
    </row>
    <row r="484" spans="1:8" ht="14.25" customHeight="1">
      <c r="A484" s="97"/>
      <c r="B484" s="97"/>
      <c r="C484" s="96"/>
      <c r="D484" s="96"/>
      <c r="E484" s="97"/>
      <c r="F484" s="97"/>
      <c r="G484" s="97"/>
      <c r="H484" s="97"/>
    </row>
    <row r="485" spans="1:8" ht="14.25" customHeight="1">
      <c r="A485" s="97"/>
      <c r="B485" s="97"/>
      <c r="C485" s="96"/>
      <c r="D485" s="96"/>
      <c r="E485" s="97"/>
      <c r="F485" s="97"/>
      <c r="G485" s="97"/>
      <c r="H485" s="97"/>
    </row>
    <row r="486" spans="1:8" ht="14.25" customHeight="1">
      <c r="A486" s="97"/>
      <c r="B486" s="97"/>
      <c r="C486" s="96"/>
      <c r="D486" s="96"/>
      <c r="E486" s="97"/>
      <c r="F486" s="97"/>
      <c r="G486" s="97"/>
      <c r="H486" s="97"/>
    </row>
    <row r="487" spans="1:8" ht="14.25" customHeight="1">
      <c r="A487" s="97"/>
      <c r="B487" s="97"/>
      <c r="C487" s="96"/>
      <c r="D487" s="96"/>
      <c r="E487" s="97"/>
      <c r="F487" s="97"/>
      <c r="G487" s="97"/>
      <c r="H487" s="97"/>
    </row>
    <row r="488" spans="1:8" ht="14.25" customHeight="1">
      <c r="A488" s="97"/>
      <c r="B488" s="97"/>
      <c r="C488" s="96"/>
      <c r="D488" s="96"/>
      <c r="E488" s="97"/>
      <c r="F488" s="97"/>
      <c r="G488" s="97"/>
      <c r="H488" s="97"/>
    </row>
    <row r="489" spans="1:8" ht="14.25" customHeight="1">
      <c r="A489" s="97"/>
      <c r="B489" s="97"/>
      <c r="C489" s="96"/>
      <c r="D489" s="96"/>
      <c r="E489" s="97"/>
      <c r="F489" s="97"/>
      <c r="G489" s="97"/>
      <c r="H489" s="97"/>
    </row>
    <row r="490" spans="1:8" ht="14.25" customHeight="1">
      <c r="A490" s="97"/>
      <c r="B490" s="97"/>
      <c r="C490" s="96"/>
      <c r="D490" s="96"/>
      <c r="E490" s="97"/>
      <c r="F490" s="97"/>
      <c r="G490" s="97"/>
      <c r="H490" s="97"/>
    </row>
    <row r="491" spans="1:8" ht="14.25" customHeight="1">
      <c r="A491" s="97"/>
      <c r="B491" s="97"/>
      <c r="C491" s="96"/>
      <c r="D491" s="96"/>
      <c r="E491" s="97"/>
      <c r="F491" s="97"/>
      <c r="G491" s="97"/>
      <c r="H491" s="97"/>
    </row>
    <row r="492" spans="1:8" ht="14.25" customHeight="1">
      <c r="A492" s="97"/>
      <c r="B492" s="97"/>
      <c r="C492" s="96"/>
      <c r="D492" s="96"/>
      <c r="E492" s="97"/>
      <c r="F492" s="97"/>
      <c r="G492" s="97"/>
      <c r="H492" s="97"/>
    </row>
    <row r="493" spans="1:8" ht="14.25" customHeight="1">
      <c r="A493" s="97"/>
      <c r="B493" s="97"/>
      <c r="C493" s="96"/>
      <c r="D493" s="96"/>
      <c r="E493" s="97"/>
      <c r="F493" s="97"/>
      <c r="G493" s="97"/>
      <c r="H493" s="97"/>
    </row>
    <row r="494" spans="1:8" ht="14.25" customHeight="1">
      <c r="A494" s="97"/>
      <c r="B494" s="97"/>
      <c r="C494" s="96"/>
      <c r="D494" s="96"/>
      <c r="E494" s="97"/>
      <c r="F494" s="97"/>
      <c r="G494" s="97"/>
      <c r="H494" s="97"/>
    </row>
    <row r="495" spans="1:8" ht="14.25" customHeight="1">
      <c r="A495" s="97"/>
      <c r="B495" s="97"/>
      <c r="C495" s="96"/>
      <c r="D495" s="96"/>
      <c r="E495" s="97"/>
      <c r="F495" s="97"/>
      <c r="G495" s="97"/>
      <c r="H495" s="97"/>
    </row>
    <row r="496" spans="1:8" ht="14.25" customHeight="1">
      <c r="A496" s="97"/>
      <c r="B496" s="97"/>
      <c r="C496" s="96"/>
      <c r="D496" s="96"/>
      <c r="E496" s="97"/>
      <c r="F496" s="97"/>
      <c r="G496" s="97"/>
      <c r="H496" s="97"/>
    </row>
    <row r="497" spans="1:8" ht="14.25" customHeight="1">
      <c r="A497" s="97"/>
      <c r="B497" s="97"/>
      <c r="C497" s="96"/>
      <c r="D497" s="96"/>
      <c r="E497" s="97"/>
      <c r="F497" s="97"/>
      <c r="G497" s="97"/>
      <c r="H497" s="97"/>
    </row>
    <row r="498" spans="1:8" ht="14.25" customHeight="1">
      <c r="A498" s="97"/>
      <c r="B498" s="97"/>
      <c r="C498" s="96"/>
      <c r="D498" s="96"/>
      <c r="E498" s="97"/>
      <c r="F498" s="97"/>
      <c r="G498" s="97"/>
      <c r="H498" s="97"/>
    </row>
    <row r="499" spans="1:8" ht="14.25" customHeight="1">
      <c r="A499" s="97"/>
      <c r="B499" s="97"/>
      <c r="C499" s="96"/>
      <c r="D499" s="96"/>
      <c r="E499" s="97"/>
      <c r="F499" s="97"/>
      <c r="G499" s="97"/>
      <c r="H499" s="97"/>
    </row>
    <row r="500" spans="1:8" ht="14.25" customHeight="1">
      <c r="A500" s="97"/>
      <c r="B500" s="97"/>
      <c r="C500" s="96"/>
      <c r="D500" s="96"/>
      <c r="E500" s="97"/>
      <c r="F500" s="97"/>
      <c r="G500" s="97"/>
      <c r="H500" s="97"/>
    </row>
    <row r="501" spans="1:8" ht="14.25" customHeight="1">
      <c r="A501" s="97"/>
      <c r="B501" s="97"/>
      <c r="C501" s="96"/>
      <c r="D501" s="96"/>
      <c r="E501" s="97"/>
      <c r="F501" s="97"/>
      <c r="G501" s="97"/>
      <c r="H501" s="97"/>
    </row>
    <row r="502" spans="1:8" ht="14.25" customHeight="1">
      <c r="A502" s="97"/>
      <c r="B502" s="97"/>
      <c r="C502" s="96"/>
      <c r="D502" s="96"/>
      <c r="E502" s="97"/>
      <c r="F502" s="97"/>
      <c r="G502" s="97"/>
      <c r="H502" s="97"/>
    </row>
    <row r="503" spans="1:8" ht="14.25" customHeight="1">
      <c r="A503" s="97"/>
      <c r="B503" s="97"/>
      <c r="C503" s="96"/>
      <c r="D503" s="96"/>
      <c r="E503" s="97"/>
      <c r="F503" s="97"/>
      <c r="G503" s="97"/>
      <c r="H503" s="97"/>
    </row>
    <row r="504" spans="1:8" ht="14.25" customHeight="1">
      <c r="A504" s="97"/>
      <c r="B504" s="97"/>
      <c r="C504" s="96"/>
      <c r="D504" s="96"/>
      <c r="E504" s="97"/>
      <c r="F504" s="97"/>
      <c r="G504" s="97"/>
      <c r="H504" s="97"/>
    </row>
    <row r="505" spans="1:8" ht="14.25" customHeight="1">
      <c r="A505" s="97"/>
      <c r="B505" s="97"/>
      <c r="C505" s="96"/>
      <c r="D505" s="96"/>
      <c r="E505" s="97"/>
      <c r="F505" s="97"/>
      <c r="G505" s="97"/>
      <c r="H505" s="97"/>
    </row>
    <row r="506" spans="1:8" ht="14.25" customHeight="1">
      <c r="A506" s="97"/>
      <c r="B506" s="97"/>
      <c r="C506" s="96"/>
      <c r="D506" s="96"/>
      <c r="E506" s="97"/>
      <c r="F506" s="97"/>
      <c r="G506" s="97"/>
      <c r="H506" s="97"/>
    </row>
    <row r="507" spans="1:8" ht="14.25" customHeight="1">
      <c r="A507" s="97"/>
      <c r="B507" s="97"/>
      <c r="C507" s="96"/>
      <c r="D507" s="96"/>
      <c r="E507" s="97"/>
      <c r="F507" s="97"/>
      <c r="G507" s="97"/>
      <c r="H507" s="97"/>
    </row>
    <row r="508" spans="1:8" ht="14.25" customHeight="1">
      <c r="A508" s="97"/>
      <c r="B508" s="97"/>
      <c r="C508" s="96"/>
      <c r="D508" s="96"/>
      <c r="E508" s="97"/>
      <c r="F508" s="97"/>
      <c r="G508" s="97"/>
      <c r="H508" s="97"/>
    </row>
    <row r="509" spans="1:8" ht="14.25" customHeight="1">
      <c r="A509" s="97"/>
      <c r="B509" s="97"/>
      <c r="C509" s="96"/>
      <c r="D509" s="96"/>
      <c r="E509" s="97"/>
      <c r="F509" s="97"/>
      <c r="G509" s="97"/>
      <c r="H509" s="97"/>
    </row>
    <row r="510" spans="1:8" ht="14.25" customHeight="1">
      <c r="A510" s="97"/>
      <c r="B510" s="97"/>
      <c r="C510" s="96"/>
      <c r="D510" s="96"/>
      <c r="E510" s="97"/>
      <c r="F510" s="97"/>
      <c r="G510" s="97"/>
      <c r="H510" s="97"/>
    </row>
    <row r="511" spans="1:8" ht="14.25" customHeight="1">
      <c r="A511" s="97"/>
      <c r="B511" s="97"/>
      <c r="C511" s="96"/>
      <c r="D511" s="96"/>
      <c r="E511" s="97"/>
      <c r="F511" s="97"/>
      <c r="G511" s="97"/>
      <c r="H511" s="97"/>
    </row>
    <row r="512" spans="1:8" ht="14.25" customHeight="1">
      <c r="A512" s="97"/>
      <c r="B512" s="97"/>
      <c r="C512" s="96"/>
      <c r="D512" s="96"/>
      <c r="E512" s="97"/>
      <c r="F512" s="97"/>
      <c r="G512" s="97"/>
      <c r="H512" s="97"/>
    </row>
    <row r="513" spans="1:8" ht="14.25" customHeight="1">
      <c r="A513" s="97"/>
      <c r="B513" s="97"/>
      <c r="C513" s="96"/>
      <c r="D513" s="96"/>
      <c r="E513" s="97"/>
      <c r="F513" s="97"/>
      <c r="G513" s="97"/>
      <c r="H513" s="97"/>
    </row>
    <row r="514" spans="1:8" ht="14.25" customHeight="1">
      <c r="A514" s="97"/>
      <c r="B514" s="97"/>
      <c r="C514" s="96"/>
      <c r="D514" s="96"/>
      <c r="E514" s="97"/>
      <c r="F514" s="97"/>
      <c r="G514" s="97"/>
      <c r="H514" s="97"/>
    </row>
    <row r="515" spans="1:8" ht="14.25" customHeight="1">
      <c r="A515" s="97"/>
      <c r="B515" s="97"/>
      <c r="C515" s="96"/>
      <c r="D515" s="96"/>
      <c r="E515" s="97"/>
      <c r="F515" s="97"/>
      <c r="G515" s="97"/>
      <c r="H515" s="97"/>
    </row>
    <row r="516" spans="1:8" ht="14.25" customHeight="1">
      <c r="A516" s="97"/>
      <c r="B516" s="97"/>
      <c r="C516" s="96"/>
      <c r="D516" s="96"/>
      <c r="E516" s="97"/>
      <c r="F516" s="97"/>
      <c r="G516" s="97"/>
      <c r="H516" s="97"/>
    </row>
    <row r="517" spans="1:8" ht="14.25" customHeight="1">
      <c r="A517" s="97"/>
      <c r="B517" s="97"/>
      <c r="C517" s="96"/>
      <c r="D517" s="96"/>
      <c r="E517" s="97"/>
      <c r="F517" s="97"/>
      <c r="G517" s="97"/>
      <c r="H517" s="97"/>
    </row>
    <row r="518" spans="1:8" ht="14.25" customHeight="1">
      <c r="A518" s="97"/>
      <c r="B518" s="97"/>
      <c r="C518" s="96"/>
      <c r="D518" s="96"/>
      <c r="E518" s="97"/>
      <c r="F518" s="97"/>
      <c r="G518" s="97"/>
      <c r="H518" s="97"/>
    </row>
    <row r="519" spans="1:8" ht="14.25" customHeight="1">
      <c r="A519" s="97"/>
      <c r="B519" s="97"/>
      <c r="C519" s="96"/>
      <c r="D519" s="96"/>
      <c r="E519" s="97"/>
      <c r="F519" s="97"/>
      <c r="G519" s="97"/>
      <c r="H519" s="97"/>
    </row>
    <row r="520" spans="1:8" ht="14.25" customHeight="1">
      <c r="A520" s="97"/>
      <c r="B520" s="97"/>
      <c r="C520" s="96"/>
      <c r="D520" s="96"/>
      <c r="E520" s="97"/>
      <c r="F520" s="97"/>
      <c r="G520" s="97"/>
      <c r="H520" s="97"/>
    </row>
    <row r="521" spans="1:8" ht="14.25" customHeight="1">
      <c r="A521" s="97"/>
      <c r="B521" s="97"/>
      <c r="C521" s="96"/>
      <c r="D521" s="96"/>
      <c r="E521" s="97"/>
      <c r="F521" s="97"/>
      <c r="G521" s="97"/>
      <c r="H521" s="97"/>
    </row>
    <row r="522" spans="1:8" ht="14.25" customHeight="1">
      <c r="A522" s="97"/>
      <c r="B522" s="97"/>
      <c r="C522" s="96"/>
      <c r="D522" s="96"/>
      <c r="E522" s="97"/>
      <c r="F522" s="97"/>
      <c r="G522" s="97"/>
      <c r="H522" s="97"/>
    </row>
    <row r="523" spans="1:8" ht="14.25" customHeight="1">
      <c r="A523" s="97"/>
      <c r="B523" s="97"/>
      <c r="C523" s="96"/>
      <c r="D523" s="96"/>
      <c r="E523" s="97"/>
      <c r="F523" s="97"/>
      <c r="G523" s="97"/>
      <c r="H523" s="97"/>
    </row>
    <row r="524" spans="1:8" ht="14.25" customHeight="1">
      <c r="A524" s="97"/>
      <c r="B524" s="97"/>
      <c r="C524" s="96"/>
      <c r="D524" s="96"/>
      <c r="E524" s="97"/>
      <c r="F524" s="97"/>
      <c r="G524" s="97"/>
      <c r="H524" s="97"/>
    </row>
    <row r="525" spans="1:8" ht="14.25" customHeight="1">
      <c r="A525" s="97"/>
      <c r="B525" s="97"/>
      <c r="C525" s="96"/>
      <c r="D525" s="96"/>
      <c r="E525" s="97"/>
      <c r="F525" s="97"/>
      <c r="G525" s="97"/>
      <c r="H525" s="97"/>
    </row>
    <row r="526" spans="1:8" ht="14.25" customHeight="1">
      <c r="A526" s="97"/>
      <c r="B526" s="97"/>
      <c r="C526" s="96"/>
      <c r="D526" s="96"/>
      <c r="E526" s="97"/>
      <c r="F526" s="97"/>
      <c r="G526" s="97"/>
      <c r="H526" s="97"/>
    </row>
    <row r="527" spans="1:8" ht="14.25" customHeight="1">
      <c r="A527" s="97"/>
      <c r="B527" s="97"/>
      <c r="C527" s="96"/>
      <c r="D527" s="96"/>
      <c r="E527" s="97"/>
      <c r="F527" s="97"/>
      <c r="G527" s="97"/>
      <c r="H527" s="97"/>
    </row>
    <row r="528" spans="1:8" ht="14.25" customHeight="1">
      <c r="A528" s="97"/>
      <c r="B528" s="97"/>
      <c r="C528" s="96"/>
      <c r="D528" s="96"/>
      <c r="E528" s="97"/>
      <c r="F528" s="97"/>
      <c r="G528" s="97"/>
      <c r="H528" s="97"/>
    </row>
    <row r="529" spans="1:8" ht="14.25" customHeight="1">
      <c r="A529" s="97"/>
      <c r="B529" s="97"/>
      <c r="C529" s="96"/>
      <c r="D529" s="96"/>
      <c r="E529" s="97"/>
      <c r="F529" s="97"/>
      <c r="G529" s="97"/>
      <c r="H529" s="97"/>
    </row>
    <row r="530" spans="1:8" ht="14.25" customHeight="1">
      <c r="A530" s="97"/>
      <c r="B530" s="97"/>
      <c r="C530" s="96"/>
      <c r="D530" s="96"/>
      <c r="E530" s="97"/>
      <c r="F530" s="97"/>
      <c r="G530" s="97"/>
      <c r="H530" s="97"/>
    </row>
    <row r="531" spans="1:8" ht="14.25" customHeight="1">
      <c r="A531" s="97"/>
      <c r="B531" s="97"/>
      <c r="C531" s="96"/>
      <c r="D531" s="96"/>
      <c r="E531" s="97"/>
      <c r="F531" s="97"/>
      <c r="G531" s="97"/>
      <c r="H531" s="97"/>
    </row>
    <row r="532" spans="1:8" ht="14.25" customHeight="1">
      <c r="A532" s="97"/>
      <c r="B532" s="97"/>
      <c r="C532" s="96"/>
      <c r="D532" s="96"/>
      <c r="E532" s="97"/>
      <c r="F532" s="97"/>
      <c r="G532" s="97"/>
      <c r="H532" s="97"/>
    </row>
    <row r="533" spans="1:8" ht="14.25" customHeight="1">
      <c r="A533" s="97"/>
      <c r="B533" s="97"/>
      <c r="C533" s="96"/>
      <c r="D533" s="96"/>
      <c r="E533" s="97"/>
      <c r="F533" s="97"/>
      <c r="G533" s="97"/>
      <c r="H533" s="97"/>
    </row>
    <row r="534" spans="1:8" ht="14.25" customHeight="1">
      <c r="A534" s="97"/>
      <c r="B534" s="97"/>
      <c r="C534" s="96"/>
      <c r="D534" s="96"/>
      <c r="E534" s="97"/>
      <c r="F534" s="97"/>
      <c r="G534" s="97"/>
      <c r="H534" s="97"/>
    </row>
    <row r="535" spans="1:8" ht="14.25" customHeight="1">
      <c r="A535" s="97"/>
      <c r="B535" s="97"/>
      <c r="C535" s="96"/>
      <c r="D535" s="96"/>
      <c r="E535" s="97"/>
      <c r="F535" s="97"/>
      <c r="G535" s="97"/>
      <c r="H535" s="97"/>
    </row>
    <row r="536" spans="1:8" ht="14.25" customHeight="1">
      <c r="A536" s="97"/>
      <c r="B536" s="97"/>
      <c r="C536" s="96"/>
      <c r="D536" s="96"/>
      <c r="E536" s="97"/>
      <c r="F536" s="97"/>
      <c r="G536" s="97"/>
      <c r="H536" s="97"/>
    </row>
    <row r="537" spans="1:8" ht="14.25" customHeight="1">
      <c r="A537" s="97"/>
      <c r="B537" s="97"/>
      <c r="C537" s="96"/>
      <c r="D537" s="96"/>
      <c r="E537" s="97"/>
      <c r="F537" s="97"/>
      <c r="G537" s="97"/>
      <c r="H537" s="97"/>
    </row>
    <row r="538" spans="1:8" ht="14.25" customHeight="1">
      <c r="A538" s="97"/>
      <c r="B538" s="97"/>
      <c r="C538" s="96"/>
      <c r="D538" s="96"/>
      <c r="E538" s="97"/>
      <c r="F538" s="97"/>
      <c r="G538" s="97"/>
      <c r="H538" s="97"/>
    </row>
    <row r="539" spans="1:8" ht="14.25" customHeight="1">
      <c r="A539" s="97"/>
      <c r="B539" s="97"/>
      <c r="C539" s="96"/>
      <c r="D539" s="96"/>
      <c r="E539" s="97"/>
      <c r="F539" s="97"/>
      <c r="G539" s="97"/>
      <c r="H539" s="97"/>
    </row>
    <row r="540" spans="1:8" ht="14.25" customHeight="1">
      <c r="A540" s="97"/>
      <c r="B540" s="97"/>
      <c r="C540" s="96"/>
      <c r="D540" s="96"/>
      <c r="E540" s="97"/>
      <c r="F540" s="97"/>
      <c r="G540" s="97"/>
      <c r="H540" s="97"/>
    </row>
    <row r="541" spans="1:8" ht="14.25" customHeight="1">
      <c r="A541" s="97"/>
      <c r="B541" s="97"/>
      <c r="C541" s="96"/>
      <c r="D541" s="96"/>
      <c r="E541" s="97"/>
      <c r="F541" s="97"/>
      <c r="G541" s="97"/>
      <c r="H541" s="97"/>
    </row>
    <row r="542" spans="1:8" ht="14.25" customHeight="1">
      <c r="A542" s="97"/>
      <c r="B542" s="97"/>
      <c r="C542" s="96"/>
      <c r="D542" s="96"/>
      <c r="E542" s="97"/>
      <c r="F542" s="97"/>
      <c r="G542" s="97"/>
      <c r="H542" s="97"/>
    </row>
    <row r="543" spans="1:8" ht="14.25" customHeight="1">
      <c r="A543" s="97"/>
      <c r="B543" s="97"/>
      <c r="C543" s="96"/>
      <c r="D543" s="96"/>
      <c r="E543" s="97"/>
      <c r="F543" s="97"/>
      <c r="G543" s="97"/>
      <c r="H543" s="97"/>
    </row>
    <row r="544" spans="1:8" ht="14.25" customHeight="1">
      <c r="A544" s="97"/>
      <c r="B544" s="97"/>
      <c r="C544" s="96"/>
      <c r="D544" s="96"/>
      <c r="E544" s="97"/>
      <c r="F544" s="97"/>
      <c r="G544" s="97"/>
      <c r="H544" s="97"/>
    </row>
    <row r="545" spans="1:8" ht="14.25" customHeight="1">
      <c r="A545" s="97"/>
      <c r="B545" s="97"/>
      <c r="C545" s="96"/>
      <c r="D545" s="96"/>
      <c r="E545" s="97"/>
      <c r="F545" s="97"/>
      <c r="G545" s="97"/>
      <c r="H545" s="97"/>
    </row>
    <row r="546" spans="1:8" ht="14.25" customHeight="1">
      <c r="A546" s="97"/>
      <c r="B546" s="97"/>
      <c r="C546" s="96"/>
      <c r="D546" s="96"/>
      <c r="E546" s="97"/>
      <c r="F546" s="97"/>
      <c r="G546" s="97"/>
      <c r="H546" s="97"/>
    </row>
    <row r="547" spans="1:8" ht="14.25" customHeight="1">
      <c r="A547" s="97"/>
      <c r="B547" s="97"/>
      <c r="C547" s="96"/>
      <c r="D547" s="96"/>
      <c r="E547" s="97"/>
      <c r="F547" s="97"/>
      <c r="G547" s="97"/>
      <c r="H547" s="97"/>
    </row>
    <row r="548" spans="1:8" ht="14.25" customHeight="1">
      <c r="A548" s="97"/>
      <c r="B548" s="97"/>
      <c r="C548" s="96"/>
      <c r="D548" s="96"/>
      <c r="E548" s="97"/>
      <c r="F548" s="97"/>
      <c r="G548" s="97"/>
      <c r="H548" s="97"/>
    </row>
    <row r="549" spans="1:8" ht="14.25" customHeight="1">
      <c r="A549" s="97"/>
      <c r="B549" s="97"/>
      <c r="C549" s="96"/>
      <c r="D549" s="96"/>
      <c r="E549" s="97"/>
      <c r="F549" s="97"/>
      <c r="G549" s="97"/>
      <c r="H549" s="97"/>
    </row>
    <row r="550" spans="1:8" ht="14.25" customHeight="1">
      <c r="A550" s="97"/>
      <c r="B550" s="97"/>
      <c r="C550" s="96"/>
      <c r="D550" s="96"/>
      <c r="E550" s="97"/>
      <c r="F550" s="97"/>
      <c r="G550" s="97"/>
      <c r="H550" s="97"/>
    </row>
    <row r="551" spans="1:8" ht="14.25" customHeight="1">
      <c r="A551" s="97"/>
      <c r="B551" s="97"/>
      <c r="C551" s="96"/>
      <c r="D551" s="96"/>
      <c r="E551" s="97"/>
      <c r="F551" s="97"/>
      <c r="G551" s="97"/>
      <c r="H551" s="97"/>
    </row>
    <row r="552" spans="1:8" ht="14.25" customHeight="1">
      <c r="A552" s="97"/>
      <c r="B552" s="97"/>
      <c r="C552" s="96"/>
      <c r="D552" s="96"/>
      <c r="E552" s="97"/>
      <c r="F552" s="97"/>
      <c r="G552" s="97"/>
      <c r="H552" s="97"/>
    </row>
    <row r="553" spans="1:8" ht="14.25" customHeight="1">
      <c r="A553" s="97"/>
      <c r="B553" s="97"/>
      <c r="C553" s="96"/>
      <c r="D553" s="96"/>
      <c r="E553" s="97"/>
      <c r="F553" s="97"/>
      <c r="G553" s="97"/>
      <c r="H553" s="97"/>
    </row>
    <row r="554" spans="1:8" ht="14.25" customHeight="1">
      <c r="A554" s="97"/>
      <c r="B554" s="97"/>
      <c r="C554" s="96"/>
      <c r="D554" s="96"/>
      <c r="E554" s="97"/>
      <c r="F554" s="97"/>
      <c r="G554" s="97"/>
      <c r="H554" s="97"/>
    </row>
    <row r="555" spans="1:8" ht="14.25" customHeight="1">
      <c r="A555" s="97"/>
      <c r="B555" s="97"/>
      <c r="C555" s="96"/>
      <c r="D555" s="96"/>
      <c r="E555" s="97"/>
      <c r="F555" s="97"/>
      <c r="G555" s="97"/>
      <c r="H555" s="97"/>
    </row>
    <row r="556" spans="1:8" ht="14.25" customHeight="1">
      <c r="A556" s="97"/>
      <c r="B556" s="97"/>
      <c r="C556" s="96"/>
      <c r="D556" s="96"/>
      <c r="E556" s="97"/>
      <c r="F556" s="97"/>
      <c r="G556" s="97"/>
      <c r="H556" s="97"/>
    </row>
    <row r="557" spans="1:8" ht="14.25" customHeight="1">
      <c r="A557" s="97"/>
      <c r="B557" s="97"/>
      <c r="C557" s="96"/>
      <c r="D557" s="96"/>
      <c r="E557" s="97"/>
      <c r="F557" s="97"/>
      <c r="G557" s="97"/>
      <c r="H557" s="97"/>
    </row>
    <row r="558" spans="1:8" ht="14.25" customHeight="1">
      <c r="A558" s="97"/>
      <c r="B558" s="97"/>
      <c r="C558" s="96"/>
      <c r="D558" s="96"/>
      <c r="E558" s="97"/>
      <c r="F558" s="97"/>
      <c r="G558" s="97"/>
      <c r="H558" s="97"/>
    </row>
    <row r="559" spans="1:8" ht="14.25" customHeight="1">
      <c r="A559" s="97"/>
      <c r="B559" s="97"/>
      <c r="C559" s="96"/>
      <c r="D559" s="96"/>
      <c r="E559" s="97"/>
      <c r="F559" s="97"/>
      <c r="G559" s="97"/>
      <c r="H559" s="97"/>
    </row>
    <row r="560" spans="1:8" ht="14.25" customHeight="1">
      <c r="A560" s="97"/>
      <c r="B560" s="97"/>
      <c r="C560" s="96"/>
      <c r="D560" s="96"/>
      <c r="E560" s="97"/>
      <c r="F560" s="97"/>
      <c r="G560" s="97"/>
      <c r="H560" s="97"/>
    </row>
    <row r="561" spans="1:8" ht="14.25" customHeight="1">
      <c r="A561" s="97"/>
      <c r="B561" s="97"/>
      <c r="C561" s="96"/>
      <c r="D561" s="96"/>
      <c r="E561" s="97"/>
      <c r="F561" s="97"/>
      <c r="G561" s="97"/>
      <c r="H561" s="97"/>
    </row>
    <row r="562" spans="1:8" ht="14.25" customHeight="1">
      <c r="A562" s="97"/>
      <c r="B562" s="97"/>
      <c r="C562" s="96"/>
      <c r="D562" s="96"/>
      <c r="E562" s="97"/>
      <c r="F562" s="97"/>
      <c r="G562" s="97"/>
      <c r="H562" s="97"/>
    </row>
    <row r="563" spans="1:8" ht="14.25" customHeight="1">
      <c r="A563" s="97"/>
      <c r="B563" s="97"/>
      <c r="C563" s="96"/>
      <c r="D563" s="96"/>
      <c r="E563" s="97"/>
      <c r="F563" s="97"/>
      <c r="G563" s="97"/>
      <c r="H563" s="97"/>
    </row>
    <row r="564" spans="1:8" ht="14.25" customHeight="1">
      <c r="A564" s="97"/>
      <c r="B564" s="97"/>
      <c r="C564" s="96"/>
      <c r="D564" s="96"/>
      <c r="E564" s="97"/>
      <c r="F564" s="97"/>
      <c r="G564" s="97"/>
      <c r="H564" s="97"/>
    </row>
    <row r="565" spans="1:8" ht="14.25" customHeight="1">
      <c r="A565" s="97"/>
      <c r="B565" s="97"/>
      <c r="C565" s="96"/>
      <c r="D565" s="96"/>
      <c r="E565" s="97"/>
      <c r="F565" s="97"/>
      <c r="G565" s="97"/>
      <c r="H565" s="97"/>
    </row>
    <row r="566" spans="1:8" ht="14.25" customHeight="1">
      <c r="A566" s="97"/>
      <c r="B566" s="97"/>
      <c r="C566" s="96"/>
      <c r="D566" s="96"/>
      <c r="E566" s="97"/>
      <c r="F566" s="97"/>
      <c r="G566" s="97"/>
      <c r="H566" s="97"/>
    </row>
    <row r="567" spans="1:8" ht="14.25" customHeight="1">
      <c r="A567" s="97"/>
      <c r="B567" s="97"/>
      <c r="C567" s="96"/>
      <c r="D567" s="96"/>
      <c r="E567" s="97"/>
      <c r="F567" s="97"/>
      <c r="G567" s="97"/>
      <c r="H567" s="97"/>
    </row>
    <row r="568" spans="1:8" ht="14.25" customHeight="1">
      <c r="A568" s="97"/>
      <c r="B568" s="97"/>
      <c r="C568" s="96"/>
      <c r="D568" s="96"/>
      <c r="E568" s="97"/>
      <c r="F568" s="97"/>
      <c r="G568" s="97"/>
      <c r="H568" s="97"/>
    </row>
    <row r="569" spans="1:8" ht="14.25" customHeight="1">
      <c r="A569" s="97"/>
      <c r="B569" s="97"/>
      <c r="C569" s="96"/>
      <c r="D569" s="96"/>
      <c r="E569" s="97"/>
      <c r="F569" s="97"/>
      <c r="G569" s="97"/>
      <c r="H569" s="97"/>
    </row>
    <row r="570" spans="1:8" ht="14.25" customHeight="1">
      <c r="A570" s="97"/>
      <c r="B570" s="97"/>
      <c r="C570" s="96"/>
      <c r="D570" s="96"/>
      <c r="E570" s="97"/>
      <c r="F570" s="97"/>
      <c r="G570" s="97"/>
      <c r="H570" s="97"/>
    </row>
    <row r="571" spans="1:8" ht="14.25" customHeight="1">
      <c r="A571" s="97"/>
      <c r="B571" s="97"/>
      <c r="C571" s="96"/>
      <c r="D571" s="96"/>
      <c r="E571" s="97"/>
      <c r="F571" s="97"/>
      <c r="G571" s="97"/>
      <c r="H571" s="97"/>
    </row>
    <row r="572" spans="1:8" ht="14.25" customHeight="1">
      <c r="A572" s="97"/>
      <c r="B572" s="97"/>
      <c r="C572" s="96"/>
      <c r="D572" s="96"/>
      <c r="E572" s="97"/>
      <c r="F572" s="97"/>
      <c r="G572" s="97"/>
      <c r="H572" s="97"/>
    </row>
    <row r="573" spans="1:8" ht="14.25" customHeight="1">
      <c r="A573" s="97"/>
      <c r="B573" s="97"/>
      <c r="C573" s="96"/>
      <c r="D573" s="96"/>
      <c r="E573" s="97"/>
      <c r="F573" s="97"/>
      <c r="G573" s="97"/>
      <c r="H573" s="97"/>
    </row>
    <row r="574" spans="1:8" ht="14.25" customHeight="1">
      <c r="A574" s="97"/>
      <c r="B574" s="97"/>
      <c r="C574" s="96"/>
      <c r="D574" s="96"/>
      <c r="E574" s="97"/>
      <c r="F574" s="97"/>
      <c r="G574" s="97"/>
      <c r="H574" s="97"/>
    </row>
    <row r="575" spans="1:8" ht="14.25" customHeight="1">
      <c r="A575" s="97"/>
      <c r="B575" s="97"/>
      <c r="C575" s="96"/>
      <c r="D575" s="96"/>
      <c r="E575" s="97"/>
      <c r="F575" s="97"/>
      <c r="G575" s="97"/>
      <c r="H575" s="97"/>
    </row>
    <row r="576" spans="1:8" ht="14.25" customHeight="1">
      <c r="A576" s="97"/>
      <c r="B576" s="97"/>
      <c r="C576" s="96"/>
      <c r="D576" s="96"/>
      <c r="E576" s="97"/>
      <c r="F576" s="97"/>
      <c r="G576" s="97"/>
      <c r="H576" s="97"/>
    </row>
    <row r="577" spans="1:8" ht="14.25" customHeight="1">
      <c r="A577" s="97"/>
      <c r="B577" s="97"/>
      <c r="C577" s="96"/>
      <c r="D577" s="96"/>
      <c r="E577" s="97"/>
      <c r="F577" s="97"/>
      <c r="G577" s="97"/>
      <c r="H577" s="97"/>
    </row>
    <row r="578" spans="1:8" ht="14.25" customHeight="1">
      <c r="A578" s="97"/>
      <c r="B578" s="97"/>
      <c r="C578" s="96"/>
      <c r="D578" s="96"/>
      <c r="E578" s="97"/>
      <c r="F578" s="97"/>
      <c r="G578" s="97"/>
      <c r="H578" s="97"/>
    </row>
    <row r="579" spans="1:8" ht="14.25" customHeight="1">
      <c r="A579" s="97"/>
      <c r="B579" s="97"/>
      <c r="C579" s="96"/>
      <c r="D579" s="96"/>
      <c r="E579" s="97"/>
      <c r="F579" s="97"/>
      <c r="G579" s="97"/>
      <c r="H579" s="97"/>
    </row>
    <row r="580" spans="1:8" ht="14.25" customHeight="1">
      <c r="A580" s="97"/>
      <c r="B580" s="97"/>
      <c r="C580" s="96"/>
      <c r="D580" s="96"/>
      <c r="E580" s="97"/>
      <c r="F580" s="97"/>
      <c r="G580" s="97"/>
      <c r="H580" s="97"/>
    </row>
    <row r="581" spans="1:8" ht="14.25" customHeight="1">
      <c r="A581" s="97"/>
      <c r="B581" s="97"/>
      <c r="C581" s="96"/>
      <c r="D581" s="96"/>
      <c r="E581" s="97"/>
      <c r="F581" s="97"/>
      <c r="G581" s="97"/>
      <c r="H581" s="97"/>
    </row>
    <row r="582" spans="1:8" ht="14.25" customHeight="1">
      <c r="A582" s="97"/>
      <c r="B582" s="97"/>
      <c r="C582" s="96"/>
      <c r="D582" s="96"/>
      <c r="E582" s="97"/>
      <c r="F582" s="97"/>
      <c r="G582" s="97"/>
      <c r="H582" s="97"/>
    </row>
    <row r="583" spans="1:8" ht="14.25" customHeight="1">
      <c r="A583" s="97"/>
      <c r="B583" s="97"/>
      <c r="C583" s="96"/>
      <c r="D583" s="96"/>
      <c r="E583" s="97"/>
      <c r="F583" s="97"/>
      <c r="G583" s="97"/>
      <c r="H583" s="97"/>
    </row>
    <row r="584" spans="1:8" ht="14.25" customHeight="1">
      <c r="A584" s="97"/>
      <c r="B584" s="97"/>
      <c r="C584" s="96"/>
      <c r="D584" s="96"/>
      <c r="E584" s="97"/>
      <c r="F584" s="97"/>
      <c r="G584" s="97"/>
      <c r="H584" s="97"/>
    </row>
    <row r="585" spans="1:8" ht="14.25" customHeight="1">
      <c r="A585" s="97"/>
      <c r="B585" s="97"/>
      <c r="C585" s="96"/>
      <c r="D585" s="96"/>
      <c r="E585" s="97"/>
      <c r="F585" s="97"/>
      <c r="G585" s="97"/>
      <c r="H585" s="97"/>
    </row>
    <row r="586" spans="1:8" ht="14.25" customHeight="1">
      <c r="A586" s="97"/>
      <c r="B586" s="97"/>
      <c r="C586" s="96"/>
      <c r="D586" s="96"/>
      <c r="E586" s="97"/>
      <c r="F586" s="97"/>
      <c r="G586" s="97"/>
      <c r="H586" s="97"/>
    </row>
    <row r="587" spans="1:8" ht="14.25" customHeight="1">
      <c r="A587" s="97"/>
      <c r="B587" s="97"/>
      <c r="C587" s="96"/>
      <c r="D587" s="96"/>
      <c r="E587" s="97"/>
      <c r="F587" s="97"/>
      <c r="G587" s="97"/>
      <c r="H587" s="97"/>
    </row>
    <row r="588" spans="1:8" ht="14.25" customHeight="1">
      <c r="A588" s="97"/>
      <c r="B588" s="97"/>
      <c r="C588" s="96"/>
      <c r="D588" s="96"/>
      <c r="E588" s="97"/>
      <c r="F588" s="97"/>
      <c r="G588" s="97"/>
      <c r="H588" s="97"/>
    </row>
    <row r="589" spans="1:8" ht="14.25" customHeight="1">
      <c r="A589" s="97"/>
      <c r="B589" s="97"/>
      <c r="C589" s="96"/>
      <c r="D589" s="96"/>
      <c r="E589" s="97"/>
      <c r="F589" s="97"/>
      <c r="G589" s="97"/>
      <c r="H589" s="97"/>
    </row>
    <row r="590" spans="1:8" ht="14.25" customHeight="1">
      <c r="A590" s="97"/>
      <c r="B590" s="97"/>
      <c r="C590" s="96"/>
      <c r="D590" s="96"/>
      <c r="E590" s="97"/>
      <c r="F590" s="97"/>
      <c r="G590" s="97"/>
      <c r="H590" s="97"/>
    </row>
    <row r="591" spans="1:8" ht="14.25" customHeight="1">
      <c r="A591" s="97"/>
      <c r="B591" s="97"/>
      <c r="C591" s="96"/>
      <c r="D591" s="96"/>
      <c r="E591" s="97"/>
      <c r="F591" s="97"/>
      <c r="G591" s="97"/>
      <c r="H591" s="97"/>
    </row>
    <row r="592" spans="1:8" ht="14.25" customHeight="1">
      <c r="A592" s="97"/>
      <c r="B592" s="97"/>
      <c r="C592" s="96"/>
      <c r="D592" s="96"/>
      <c r="E592" s="97"/>
      <c r="F592" s="97"/>
      <c r="G592" s="97"/>
      <c r="H592" s="97"/>
    </row>
    <row r="593" spans="1:8" ht="14.25" customHeight="1">
      <c r="A593" s="97"/>
      <c r="B593" s="97"/>
      <c r="C593" s="96"/>
      <c r="D593" s="96"/>
      <c r="E593" s="97"/>
      <c r="F593" s="97"/>
      <c r="G593" s="97"/>
      <c r="H593" s="97"/>
    </row>
    <row r="594" spans="1:8" ht="14.25" customHeight="1">
      <c r="A594" s="97"/>
      <c r="B594" s="97"/>
      <c r="C594" s="96"/>
      <c r="D594" s="96"/>
      <c r="E594" s="97"/>
      <c r="F594" s="97"/>
      <c r="G594" s="97"/>
      <c r="H594" s="97"/>
    </row>
    <row r="595" spans="1:8" ht="14.25" customHeight="1">
      <c r="A595" s="97"/>
      <c r="B595" s="97"/>
      <c r="C595" s="96"/>
      <c r="D595" s="96"/>
      <c r="E595" s="97"/>
      <c r="F595" s="97"/>
      <c r="G595" s="97"/>
      <c r="H595" s="97"/>
    </row>
    <row r="596" spans="1:8" ht="14.25" customHeight="1">
      <c r="A596" s="97"/>
      <c r="B596" s="97"/>
      <c r="C596" s="96"/>
      <c r="D596" s="96"/>
      <c r="E596" s="97"/>
      <c r="F596" s="97"/>
      <c r="G596" s="97"/>
      <c r="H596" s="97"/>
    </row>
    <row r="597" spans="1:8" ht="14.25" customHeight="1">
      <c r="A597" s="97"/>
      <c r="B597" s="97"/>
      <c r="C597" s="96"/>
      <c r="D597" s="96"/>
      <c r="E597" s="97"/>
      <c r="F597" s="97"/>
      <c r="G597" s="97"/>
      <c r="H597" s="97"/>
    </row>
    <row r="598" spans="1:8" ht="14.25" customHeight="1">
      <c r="A598" s="97"/>
      <c r="B598" s="97"/>
      <c r="C598" s="96"/>
      <c r="D598" s="96"/>
      <c r="E598" s="97"/>
      <c r="F598" s="97"/>
      <c r="G598" s="97"/>
      <c r="H598" s="97"/>
    </row>
    <row r="599" spans="1:8" ht="14.25" customHeight="1">
      <c r="A599" s="97"/>
      <c r="B599" s="97"/>
      <c r="C599" s="96"/>
      <c r="D599" s="96"/>
      <c r="E599" s="97"/>
      <c r="F599" s="97"/>
      <c r="G599" s="97"/>
      <c r="H599" s="97"/>
    </row>
    <row r="600" spans="1:8" ht="14.25" customHeight="1">
      <c r="A600" s="97"/>
      <c r="B600" s="97"/>
      <c r="C600" s="96"/>
      <c r="D600" s="96"/>
      <c r="E600" s="97"/>
      <c r="F600" s="97"/>
      <c r="G600" s="97"/>
      <c r="H600" s="97"/>
    </row>
    <row r="601" spans="1:8" ht="14.25" customHeight="1">
      <c r="A601" s="97"/>
      <c r="B601" s="97"/>
      <c r="C601" s="96"/>
      <c r="D601" s="96"/>
      <c r="E601" s="97"/>
      <c r="F601" s="97"/>
      <c r="G601" s="97"/>
      <c r="H601" s="97"/>
    </row>
    <row r="602" spans="1:8" ht="14.25" customHeight="1">
      <c r="A602" s="97"/>
      <c r="B602" s="97"/>
      <c r="C602" s="96"/>
      <c r="D602" s="96"/>
      <c r="E602" s="97"/>
      <c r="F602" s="97"/>
      <c r="G602" s="97"/>
      <c r="H602" s="97"/>
    </row>
    <row r="603" spans="1:8" ht="14.25" customHeight="1">
      <c r="A603" s="97"/>
      <c r="B603" s="97"/>
      <c r="C603" s="96"/>
      <c r="D603" s="96"/>
      <c r="E603" s="97"/>
      <c r="F603" s="97"/>
      <c r="G603" s="97"/>
      <c r="H603" s="97"/>
    </row>
    <row r="604" spans="1:8" ht="14.25" customHeight="1">
      <c r="A604" s="97"/>
      <c r="B604" s="97"/>
      <c r="C604" s="96"/>
      <c r="D604" s="96"/>
      <c r="E604" s="97"/>
      <c r="F604" s="97"/>
      <c r="G604" s="97"/>
      <c r="H604" s="97"/>
    </row>
    <row r="605" spans="1:8" ht="14.25" customHeight="1">
      <c r="A605" s="97"/>
      <c r="B605" s="97"/>
      <c r="C605" s="96"/>
      <c r="D605" s="96"/>
      <c r="E605" s="97"/>
      <c r="F605" s="97"/>
      <c r="G605" s="97"/>
      <c r="H605" s="97"/>
    </row>
    <row r="606" spans="1:8" ht="14.25" customHeight="1">
      <c r="A606" s="97"/>
      <c r="B606" s="97"/>
      <c r="C606" s="96"/>
      <c r="D606" s="96"/>
      <c r="E606" s="97"/>
      <c r="F606" s="97"/>
      <c r="G606" s="97"/>
      <c r="H606" s="97"/>
    </row>
    <row r="607" spans="1:8" ht="14.25" customHeight="1">
      <c r="A607" s="97"/>
      <c r="B607" s="97"/>
      <c r="C607" s="96"/>
      <c r="D607" s="96"/>
      <c r="E607" s="97"/>
      <c r="F607" s="97"/>
      <c r="G607" s="97"/>
      <c r="H607" s="97"/>
    </row>
    <row r="608" spans="1:8" ht="14.25" customHeight="1">
      <c r="A608" s="97"/>
      <c r="B608" s="97"/>
      <c r="C608" s="96"/>
      <c r="D608" s="96"/>
      <c r="E608" s="97"/>
      <c r="F608" s="97"/>
      <c r="G608" s="97"/>
      <c r="H608" s="97"/>
    </row>
    <row r="609" spans="1:8" ht="14.25" customHeight="1">
      <c r="A609" s="97"/>
      <c r="B609" s="97"/>
      <c r="C609" s="96"/>
      <c r="D609" s="96"/>
      <c r="E609" s="97"/>
      <c r="F609" s="97"/>
      <c r="G609" s="97"/>
      <c r="H609" s="97"/>
    </row>
    <row r="610" spans="1:8" ht="14.25" customHeight="1">
      <c r="A610" s="97"/>
      <c r="B610" s="97"/>
      <c r="C610" s="96"/>
      <c r="D610" s="96"/>
      <c r="E610" s="97"/>
      <c r="F610" s="97"/>
      <c r="G610" s="97"/>
      <c r="H610" s="97"/>
    </row>
    <row r="611" spans="1:8" ht="14.25" customHeight="1">
      <c r="A611" s="97"/>
      <c r="B611" s="97"/>
      <c r="C611" s="96"/>
      <c r="D611" s="96"/>
      <c r="E611" s="97"/>
      <c r="F611" s="97"/>
      <c r="G611" s="97"/>
      <c r="H611" s="97"/>
    </row>
    <row r="612" spans="1:8" ht="14.25" customHeight="1">
      <c r="A612" s="97"/>
      <c r="B612" s="97"/>
      <c r="C612" s="96"/>
      <c r="D612" s="96"/>
      <c r="E612" s="97"/>
      <c r="F612" s="97"/>
      <c r="G612" s="97"/>
      <c r="H612" s="97"/>
    </row>
    <row r="613" spans="1:8" ht="14.25" customHeight="1">
      <c r="A613" s="97"/>
      <c r="B613" s="97"/>
      <c r="C613" s="96"/>
      <c r="D613" s="96"/>
      <c r="E613" s="97"/>
      <c r="F613" s="97"/>
      <c r="G613" s="97"/>
      <c r="H613" s="97"/>
    </row>
    <row r="614" spans="1:8" ht="14.25" customHeight="1">
      <c r="A614" s="97"/>
      <c r="B614" s="97"/>
      <c r="C614" s="96"/>
      <c r="D614" s="96"/>
      <c r="E614" s="97"/>
      <c r="F614" s="97"/>
      <c r="G614" s="97"/>
      <c r="H614" s="97"/>
    </row>
    <row r="615" spans="1:8" ht="14.25" customHeight="1">
      <c r="A615" s="97"/>
      <c r="B615" s="97"/>
      <c r="C615" s="96"/>
      <c r="D615" s="96"/>
      <c r="E615" s="97"/>
      <c r="F615" s="97"/>
      <c r="G615" s="97"/>
      <c r="H615" s="97"/>
    </row>
    <row r="616" spans="1:8" ht="14.25" customHeight="1">
      <c r="A616" s="97"/>
      <c r="B616" s="97"/>
      <c r="C616" s="96"/>
      <c r="D616" s="96"/>
      <c r="E616" s="97"/>
      <c r="F616" s="97"/>
      <c r="G616" s="97"/>
      <c r="H616" s="97"/>
    </row>
    <row r="617" spans="1:8" ht="14.25" customHeight="1">
      <c r="A617" s="97"/>
      <c r="B617" s="97"/>
      <c r="C617" s="96"/>
      <c r="D617" s="96"/>
      <c r="E617" s="97"/>
      <c r="F617" s="97"/>
      <c r="G617" s="97"/>
      <c r="H617" s="97"/>
    </row>
    <row r="618" spans="1:8" ht="14.25" customHeight="1">
      <c r="A618" s="97"/>
      <c r="B618" s="97"/>
      <c r="C618" s="96"/>
      <c r="D618" s="96"/>
      <c r="E618" s="97"/>
      <c r="F618" s="97"/>
      <c r="G618" s="97"/>
      <c r="H618" s="97"/>
    </row>
    <row r="619" spans="1:8" ht="14.25" customHeight="1">
      <c r="A619" s="97"/>
      <c r="B619" s="97"/>
      <c r="C619" s="96"/>
      <c r="D619" s="96"/>
      <c r="E619" s="97"/>
      <c r="F619" s="97"/>
      <c r="G619" s="97"/>
      <c r="H619" s="97"/>
    </row>
    <row r="620" spans="1:8" ht="14.25" customHeight="1">
      <c r="A620" s="97"/>
      <c r="B620" s="97"/>
      <c r="C620" s="96"/>
      <c r="D620" s="96"/>
      <c r="E620" s="97"/>
      <c r="F620" s="97"/>
      <c r="G620" s="97"/>
      <c r="H620" s="97"/>
    </row>
    <row r="621" spans="1:8" ht="14.25" customHeight="1">
      <c r="A621" s="97"/>
      <c r="B621" s="97"/>
      <c r="C621" s="96"/>
      <c r="D621" s="96"/>
      <c r="E621" s="97"/>
      <c r="F621" s="97"/>
      <c r="G621" s="97"/>
      <c r="H621" s="97"/>
    </row>
    <row r="622" spans="1:8" ht="14.25" customHeight="1">
      <c r="A622" s="97"/>
      <c r="B622" s="97"/>
      <c r="C622" s="96"/>
      <c r="D622" s="96"/>
      <c r="E622" s="97"/>
      <c r="F622" s="97"/>
      <c r="G622" s="97"/>
      <c r="H622" s="97"/>
    </row>
    <row r="623" spans="1:8" ht="14.25" customHeight="1">
      <c r="A623" s="97"/>
      <c r="B623" s="97"/>
      <c r="C623" s="96"/>
      <c r="D623" s="96"/>
      <c r="E623" s="97"/>
      <c r="F623" s="97"/>
      <c r="G623" s="97"/>
      <c r="H623" s="97"/>
    </row>
    <row r="624" spans="1:8" ht="14.25" customHeight="1">
      <c r="A624" s="97"/>
      <c r="B624" s="97"/>
      <c r="C624" s="96"/>
      <c r="D624" s="96"/>
      <c r="E624" s="97"/>
      <c r="F624" s="97"/>
      <c r="G624" s="97"/>
      <c r="H624" s="97"/>
    </row>
    <row r="625" spans="1:8" ht="14.25" customHeight="1">
      <c r="A625" s="97"/>
      <c r="B625" s="97"/>
      <c r="C625" s="96"/>
      <c r="D625" s="96"/>
      <c r="E625" s="97"/>
      <c r="F625" s="97"/>
      <c r="G625" s="97"/>
      <c r="H625" s="97"/>
    </row>
    <row r="626" spans="1:8" ht="14.25" customHeight="1">
      <c r="A626" s="97"/>
      <c r="B626" s="97"/>
      <c r="C626" s="96"/>
      <c r="D626" s="96"/>
      <c r="E626" s="97"/>
      <c r="F626" s="97"/>
      <c r="G626" s="97"/>
      <c r="H626" s="97"/>
    </row>
    <row r="627" spans="1:8" ht="14.25" customHeight="1">
      <c r="A627" s="97"/>
      <c r="B627" s="97"/>
      <c r="C627" s="96"/>
      <c r="D627" s="96"/>
      <c r="E627" s="97"/>
      <c r="F627" s="97"/>
      <c r="G627" s="97"/>
      <c r="H627" s="97"/>
    </row>
    <row r="628" spans="1:8" ht="14.25" customHeight="1">
      <c r="A628" s="97"/>
      <c r="B628" s="97"/>
      <c r="C628" s="96"/>
      <c r="D628" s="96"/>
      <c r="E628" s="97"/>
      <c r="F628" s="97"/>
      <c r="G628" s="97"/>
      <c r="H628" s="97"/>
    </row>
    <row r="629" spans="1:8" ht="14.25" customHeight="1">
      <c r="A629" s="97"/>
      <c r="B629" s="97"/>
      <c r="C629" s="96"/>
      <c r="D629" s="96"/>
      <c r="E629" s="97"/>
      <c r="F629" s="97"/>
      <c r="G629" s="97"/>
      <c r="H629" s="97"/>
    </row>
    <row r="630" spans="1:8" ht="14.25" customHeight="1">
      <c r="A630" s="97"/>
      <c r="B630" s="97"/>
      <c r="C630" s="96"/>
      <c r="D630" s="96"/>
      <c r="E630" s="97"/>
      <c r="F630" s="97"/>
      <c r="G630" s="97"/>
      <c r="H630" s="97"/>
    </row>
    <row r="631" spans="1:8" ht="14.25" customHeight="1">
      <c r="A631" s="97"/>
      <c r="B631" s="97"/>
      <c r="C631" s="96"/>
      <c r="D631" s="96"/>
      <c r="E631" s="97"/>
      <c r="F631" s="97"/>
      <c r="G631" s="97"/>
      <c r="H631" s="97"/>
    </row>
    <row r="632" spans="1:8" ht="14.25" customHeight="1">
      <c r="A632" s="97"/>
      <c r="B632" s="97"/>
      <c r="C632" s="96"/>
      <c r="D632" s="96"/>
      <c r="E632" s="97"/>
      <c r="F632" s="97"/>
      <c r="G632" s="97"/>
      <c r="H632" s="97"/>
    </row>
    <row r="633" spans="1:8" ht="14.25" customHeight="1">
      <c r="A633" s="97"/>
      <c r="B633" s="97"/>
      <c r="C633" s="96"/>
      <c r="D633" s="96"/>
      <c r="E633" s="97"/>
      <c r="F633" s="97"/>
      <c r="G633" s="97"/>
      <c r="H633" s="97"/>
    </row>
    <row r="634" spans="1:8" ht="14.25" customHeight="1">
      <c r="A634" s="97"/>
      <c r="B634" s="97"/>
      <c r="C634" s="96"/>
      <c r="D634" s="96"/>
      <c r="E634" s="97"/>
      <c r="F634" s="97"/>
      <c r="G634" s="97"/>
      <c r="H634" s="97"/>
    </row>
    <row r="635" spans="1:8" ht="14.25" customHeight="1">
      <c r="A635" s="97"/>
      <c r="B635" s="97"/>
      <c r="C635" s="96"/>
      <c r="D635" s="96"/>
      <c r="E635" s="97"/>
      <c r="F635" s="97"/>
      <c r="G635" s="97"/>
      <c r="H635" s="97"/>
    </row>
    <row r="636" spans="1:8" ht="14.25" customHeight="1">
      <c r="A636" s="97"/>
      <c r="B636" s="97"/>
      <c r="C636" s="96"/>
      <c r="D636" s="96"/>
      <c r="E636" s="97"/>
      <c r="F636" s="97"/>
      <c r="G636" s="97"/>
      <c r="H636" s="97"/>
    </row>
    <row r="637" spans="1:8" ht="14.25" customHeight="1">
      <c r="A637" s="97"/>
      <c r="B637" s="97"/>
      <c r="C637" s="96"/>
      <c r="D637" s="96"/>
      <c r="E637" s="97"/>
      <c r="F637" s="97"/>
      <c r="G637" s="97"/>
      <c r="H637" s="97"/>
    </row>
    <row r="638" spans="1:8" ht="14.25" customHeight="1">
      <c r="A638" s="97"/>
      <c r="B638" s="97"/>
      <c r="C638" s="96"/>
      <c r="D638" s="96"/>
      <c r="E638" s="97"/>
      <c r="F638" s="97"/>
      <c r="G638" s="97"/>
      <c r="H638" s="97"/>
    </row>
    <row r="639" spans="1:8" ht="14.25" customHeight="1">
      <c r="A639" s="97"/>
      <c r="B639" s="97"/>
      <c r="C639" s="96"/>
      <c r="D639" s="96"/>
      <c r="E639" s="97"/>
      <c r="F639" s="97"/>
      <c r="G639" s="97"/>
      <c r="H639" s="97"/>
    </row>
    <row r="640" spans="1:8" ht="14.25" customHeight="1">
      <c r="A640" s="97"/>
      <c r="B640" s="97"/>
      <c r="C640" s="96"/>
      <c r="D640" s="96"/>
      <c r="E640" s="97"/>
      <c r="F640" s="97"/>
      <c r="G640" s="97"/>
      <c r="H640" s="97"/>
    </row>
    <row r="641" spans="1:8" ht="14.25" customHeight="1">
      <c r="A641" s="97"/>
      <c r="B641" s="97"/>
      <c r="C641" s="96"/>
      <c r="D641" s="96"/>
      <c r="E641" s="97"/>
      <c r="F641" s="97"/>
      <c r="G641" s="97"/>
      <c r="H641" s="97"/>
    </row>
    <row r="642" spans="1:8" ht="14.25" customHeight="1">
      <c r="A642" s="97"/>
      <c r="B642" s="97"/>
      <c r="C642" s="96"/>
      <c r="D642" s="96"/>
      <c r="E642" s="97"/>
      <c r="F642" s="97"/>
      <c r="G642" s="97"/>
      <c r="H642" s="97"/>
    </row>
    <row r="643" spans="1:8" ht="14.25" customHeight="1">
      <c r="A643" s="97"/>
      <c r="B643" s="97"/>
      <c r="C643" s="96"/>
      <c r="D643" s="96"/>
      <c r="E643" s="97"/>
      <c r="F643" s="97"/>
      <c r="G643" s="97"/>
      <c r="H643" s="97"/>
    </row>
    <row r="644" spans="1:8" ht="14.25" customHeight="1">
      <c r="A644" s="97"/>
      <c r="B644" s="97"/>
      <c r="C644" s="96"/>
      <c r="D644" s="96"/>
      <c r="E644" s="97"/>
      <c r="F644" s="97"/>
      <c r="G644" s="97"/>
      <c r="H644" s="97"/>
    </row>
    <row r="645" spans="1:8" ht="14.25" customHeight="1">
      <c r="A645" s="97"/>
      <c r="B645" s="97"/>
      <c r="C645" s="96"/>
      <c r="D645" s="96"/>
      <c r="E645" s="97"/>
      <c r="F645" s="97"/>
      <c r="G645" s="97"/>
      <c r="H645" s="97"/>
    </row>
    <row r="646" spans="1:8" ht="14.25" customHeight="1">
      <c r="A646" s="97"/>
      <c r="B646" s="97"/>
      <c r="C646" s="96"/>
      <c r="D646" s="96"/>
      <c r="E646" s="97"/>
      <c r="F646" s="97"/>
      <c r="G646" s="97"/>
      <c r="H646" s="97"/>
    </row>
    <row r="647" spans="1:8" ht="14.25" customHeight="1">
      <c r="A647" s="97"/>
      <c r="B647" s="97"/>
      <c r="C647" s="96"/>
      <c r="D647" s="96"/>
      <c r="E647" s="97"/>
      <c r="F647" s="97"/>
      <c r="G647" s="97"/>
      <c r="H647" s="97"/>
    </row>
    <row r="648" spans="1:8" ht="14.25" customHeight="1">
      <c r="A648" s="97"/>
      <c r="B648" s="97"/>
      <c r="C648" s="96"/>
      <c r="D648" s="96"/>
      <c r="E648" s="97"/>
      <c r="F648" s="97"/>
      <c r="G648" s="97"/>
      <c r="H648" s="97"/>
    </row>
    <row r="649" spans="1:8" ht="14.25" customHeight="1">
      <c r="A649" s="97"/>
      <c r="B649" s="97"/>
      <c r="C649" s="96"/>
      <c r="D649" s="96"/>
      <c r="E649" s="97"/>
      <c r="F649" s="97"/>
      <c r="G649" s="97"/>
      <c r="H649" s="97"/>
    </row>
    <row r="650" spans="1:8" ht="14.25" customHeight="1">
      <c r="A650" s="97"/>
      <c r="B650" s="97"/>
      <c r="C650" s="96"/>
      <c r="D650" s="96"/>
      <c r="E650" s="97"/>
      <c r="F650" s="97"/>
      <c r="G650" s="97"/>
      <c r="H650" s="97"/>
    </row>
    <row r="651" spans="1:8" ht="14.25" customHeight="1">
      <c r="A651" s="97"/>
      <c r="B651" s="97"/>
      <c r="C651" s="96"/>
      <c r="D651" s="96"/>
      <c r="E651" s="97"/>
      <c r="F651" s="97"/>
      <c r="G651" s="97"/>
      <c r="H651" s="97"/>
    </row>
    <row r="652" spans="1:8" ht="14.25" customHeight="1">
      <c r="A652" s="97"/>
      <c r="B652" s="97"/>
      <c r="C652" s="96"/>
      <c r="D652" s="96"/>
      <c r="E652" s="97"/>
      <c r="F652" s="97"/>
      <c r="G652" s="97"/>
      <c r="H652" s="97"/>
    </row>
    <row r="653" spans="1:8" ht="14.25" customHeight="1">
      <c r="A653" s="97"/>
      <c r="B653" s="97"/>
      <c r="C653" s="96"/>
      <c r="D653" s="96"/>
      <c r="E653" s="97"/>
      <c r="F653" s="97"/>
      <c r="G653" s="97"/>
      <c r="H653" s="97"/>
    </row>
    <row r="654" spans="1:8" ht="14.25" customHeight="1">
      <c r="A654" s="97"/>
      <c r="B654" s="97"/>
      <c r="C654" s="96"/>
      <c r="D654" s="96"/>
      <c r="E654" s="97"/>
      <c r="F654" s="97"/>
      <c r="G654" s="97"/>
      <c r="H654" s="97"/>
    </row>
    <row r="655" spans="1:8" ht="14.25" customHeight="1">
      <c r="A655" s="97"/>
      <c r="B655" s="97"/>
      <c r="C655" s="96"/>
      <c r="D655" s="96"/>
      <c r="E655" s="97"/>
      <c r="F655" s="97"/>
      <c r="G655" s="97"/>
      <c r="H655" s="97"/>
    </row>
    <row r="656" spans="1:8" ht="14.25" customHeight="1">
      <c r="A656" s="97"/>
      <c r="B656" s="97"/>
      <c r="C656" s="96"/>
      <c r="D656" s="96"/>
      <c r="E656" s="97"/>
      <c r="F656" s="97"/>
      <c r="G656" s="97"/>
      <c r="H656" s="97"/>
    </row>
    <row r="657" spans="1:8" ht="14.25" customHeight="1">
      <c r="A657" s="97"/>
      <c r="B657" s="97"/>
      <c r="C657" s="96"/>
      <c r="D657" s="96"/>
      <c r="E657" s="97"/>
      <c r="F657" s="97"/>
      <c r="G657" s="97"/>
      <c r="H657" s="97"/>
    </row>
    <row r="658" spans="1:8" ht="14.25" customHeight="1">
      <c r="A658" s="97"/>
      <c r="B658" s="97"/>
      <c r="C658" s="96"/>
      <c r="D658" s="96"/>
      <c r="E658" s="97"/>
      <c r="F658" s="97"/>
      <c r="G658" s="97"/>
      <c r="H658" s="97"/>
    </row>
    <row r="659" spans="1:8" ht="14.25" customHeight="1">
      <c r="A659" s="97"/>
      <c r="B659" s="97"/>
      <c r="C659" s="96"/>
      <c r="D659" s="96"/>
      <c r="E659" s="97"/>
      <c r="F659" s="97"/>
      <c r="G659" s="97"/>
      <c r="H659" s="97"/>
    </row>
    <row r="660" spans="1:8" ht="14.25" customHeight="1">
      <c r="A660" s="97"/>
      <c r="B660" s="97"/>
      <c r="C660" s="96"/>
      <c r="D660" s="96"/>
      <c r="E660" s="97"/>
      <c r="F660" s="97"/>
      <c r="G660" s="97"/>
      <c r="H660" s="97"/>
    </row>
    <row r="661" spans="1:8" ht="14.25" customHeight="1">
      <c r="A661" s="97"/>
      <c r="B661" s="97"/>
      <c r="C661" s="96"/>
      <c r="D661" s="96"/>
      <c r="E661" s="97"/>
      <c r="F661" s="97"/>
      <c r="G661" s="97"/>
      <c r="H661" s="97"/>
    </row>
    <row r="662" spans="1:8" ht="14.25" customHeight="1">
      <c r="A662" s="97"/>
      <c r="B662" s="97"/>
      <c r="C662" s="96"/>
      <c r="D662" s="96"/>
      <c r="E662" s="97"/>
      <c r="F662" s="97"/>
      <c r="G662" s="97"/>
      <c r="H662" s="97"/>
    </row>
    <row r="663" spans="1:8" ht="14.25" customHeight="1">
      <c r="A663" s="97"/>
      <c r="B663" s="97"/>
      <c r="C663" s="96"/>
      <c r="D663" s="96"/>
      <c r="E663" s="97"/>
      <c r="F663" s="97"/>
      <c r="G663" s="97"/>
      <c r="H663" s="97"/>
    </row>
    <row r="664" spans="1:8" ht="14.25" customHeight="1">
      <c r="A664" s="97"/>
      <c r="B664" s="97"/>
      <c r="C664" s="96"/>
      <c r="D664" s="96"/>
      <c r="E664" s="97"/>
      <c r="F664" s="97"/>
      <c r="G664" s="97"/>
      <c r="H664" s="97"/>
    </row>
    <row r="665" spans="1:8" ht="14.25" customHeight="1">
      <c r="A665" s="97"/>
      <c r="B665" s="97"/>
      <c r="C665" s="96"/>
      <c r="D665" s="96"/>
      <c r="E665" s="97"/>
      <c r="F665" s="97"/>
      <c r="G665" s="97"/>
      <c r="H665" s="97"/>
    </row>
    <row r="666" spans="1:8" ht="14.25" customHeight="1">
      <c r="A666" s="97"/>
      <c r="B666" s="97"/>
      <c r="C666" s="96"/>
      <c r="D666" s="96"/>
      <c r="E666" s="97"/>
      <c r="F666" s="97"/>
      <c r="G666" s="97"/>
      <c r="H666" s="97"/>
    </row>
    <row r="667" spans="1:8" ht="14.25" customHeight="1">
      <c r="A667" s="97"/>
      <c r="B667" s="97"/>
      <c r="C667" s="96"/>
      <c r="D667" s="96"/>
      <c r="E667" s="97"/>
      <c r="F667" s="97"/>
      <c r="G667" s="97"/>
      <c r="H667" s="97"/>
    </row>
    <row r="668" spans="1:8" ht="14.25" customHeight="1">
      <c r="A668" s="97"/>
      <c r="B668" s="97"/>
      <c r="C668" s="96"/>
      <c r="D668" s="96"/>
      <c r="E668" s="97"/>
      <c r="F668" s="97"/>
      <c r="G668" s="97"/>
      <c r="H668" s="97"/>
    </row>
    <row r="669" spans="1:8" ht="14.25" customHeight="1">
      <c r="A669" s="97"/>
      <c r="B669" s="97"/>
      <c r="C669" s="96"/>
      <c r="D669" s="96"/>
      <c r="E669" s="97"/>
      <c r="F669" s="97"/>
      <c r="G669" s="97"/>
      <c r="H669" s="97"/>
    </row>
    <row r="670" spans="1:8" ht="14.25" customHeight="1">
      <c r="A670" s="97"/>
      <c r="B670" s="97"/>
      <c r="C670" s="96"/>
      <c r="D670" s="96"/>
      <c r="E670" s="97"/>
      <c r="F670" s="97"/>
      <c r="G670" s="97"/>
      <c r="H670" s="97"/>
    </row>
    <row r="671" spans="1:8" ht="14.25" customHeight="1">
      <c r="A671" s="97"/>
      <c r="B671" s="97"/>
      <c r="C671" s="96"/>
      <c r="D671" s="96"/>
      <c r="E671" s="97"/>
      <c r="F671" s="97"/>
      <c r="G671" s="97"/>
      <c r="H671" s="97"/>
    </row>
    <row r="672" spans="1:8" ht="14.25" customHeight="1">
      <c r="A672" s="97"/>
      <c r="B672" s="97"/>
      <c r="C672" s="96"/>
      <c r="D672" s="96"/>
      <c r="E672" s="97"/>
      <c r="F672" s="97"/>
      <c r="G672" s="97"/>
      <c r="H672" s="97"/>
    </row>
    <row r="673" spans="1:8" ht="14.25" customHeight="1">
      <c r="A673" s="97"/>
      <c r="B673" s="97"/>
      <c r="C673" s="96"/>
      <c r="D673" s="96"/>
      <c r="E673" s="97"/>
      <c r="F673" s="97"/>
      <c r="G673" s="97"/>
      <c r="H673" s="97"/>
    </row>
    <row r="674" spans="1:8" ht="14.25" customHeight="1">
      <c r="A674" s="97"/>
      <c r="B674" s="97"/>
      <c r="C674" s="96"/>
      <c r="D674" s="96"/>
      <c r="E674" s="97"/>
      <c r="F674" s="97"/>
      <c r="G674" s="97"/>
      <c r="H674" s="97"/>
    </row>
    <row r="675" spans="1:8" ht="14.25" customHeight="1">
      <c r="A675" s="97"/>
      <c r="B675" s="97"/>
      <c r="C675" s="96"/>
      <c r="D675" s="96"/>
      <c r="E675" s="97"/>
      <c r="F675" s="97"/>
      <c r="G675" s="97"/>
      <c r="H675" s="97"/>
    </row>
    <row r="676" spans="1:8" ht="14.25" customHeight="1">
      <c r="A676" s="97"/>
      <c r="B676" s="97"/>
      <c r="C676" s="96"/>
      <c r="D676" s="96"/>
      <c r="E676" s="97"/>
      <c r="F676" s="97"/>
      <c r="G676" s="97"/>
      <c r="H676" s="97"/>
    </row>
    <row r="677" spans="1:8" ht="14.25" customHeight="1">
      <c r="A677" s="97"/>
      <c r="B677" s="97"/>
      <c r="C677" s="96"/>
      <c r="D677" s="96"/>
      <c r="E677" s="97"/>
      <c r="F677" s="97"/>
      <c r="G677" s="97"/>
      <c r="H677" s="97"/>
    </row>
    <row r="678" spans="1:8" ht="14.25" customHeight="1">
      <c r="A678" s="97"/>
      <c r="B678" s="97"/>
      <c r="C678" s="96"/>
      <c r="D678" s="96"/>
      <c r="E678" s="97"/>
      <c r="F678" s="97"/>
      <c r="G678" s="97"/>
      <c r="H678" s="97"/>
    </row>
    <row r="679" spans="1:8" ht="14.25" customHeight="1">
      <c r="A679" s="97"/>
      <c r="B679" s="97"/>
      <c r="C679" s="96"/>
      <c r="D679" s="96"/>
      <c r="E679" s="97"/>
      <c r="F679" s="97"/>
      <c r="G679" s="97"/>
      <c r="H679" s="97"/>
    </row>
    <row r="680" spans="1:8" ht="14.25" customHeight="1">
      <c r="A680" s="97"/>
      <c r="B680" s="97"/>
      <c r="C680" s="96"/>
      <c r="D680" s="96"/>
      <c r="E680" s="97"/>
      <c r="F680" s="97"/>
      <c r="G680" s="97"/>
      <c r="H680" s="97"/>
    </row>
    <row r="681" spans="1:8" ht="14.25" customHeight="1">
      <c r="A681" s="97"/>
      <c r="B681" s="97"/>
      <c r="C681" s="96"/>
      <c r="D681" s="96"/>
      <c r="E681" s="97"/>
      <c r="F681" s="97"/>
      <c r="G681" s="97"/>
      <c r="H681" s="97"/>
    </row>
    <row r="682" spans="1:8" ht="14.25" customHeight="1">
      <c r="A682" s="97"/>
      <c r="B682" s="97"/>
      <c r="C682" s="96"/>
      <c r="D682" s="96"/>
      <c r="E682" s="97"/>
      <c r="F682" s="97"/>
      <c r="G682" s="97"/>
      <c r="H682" s="97"/>
    </row>
    <row r="683" spans="1:8" ht="14.25" customHeight="1">
      <c r="A683" s="97"/>
      <c r="B683" s="97"/>
      <c r="C683" s="96"/>
      <c r="D683" s="96"/>
      <c r="E683" s="97"/>
      <c r="F683" s="97"/>
      <c r="G683" s="97"/>
      <c r="H683" s="97"/>
    </row>
    <row r="684" spans="1:8" ht="14.25" customHeight="1">
      <c r="A684" s="97"/>
      <c r="B684" s="97"/>
      <c r="C684" s="96"/>
      <c r="D684" s="96"/>
      <c r="E684" s="97"/>
      <c r="F684" s="97"/>
      <c r="G684" s="97"/>
      <c r="H684" s="97"/>
    </row>
    <row r="685" spans="1:8" ht="14.25" customHeight="1">
      <c r="A685" s="97"/>
      <c r="B685" s="97"/>
      <c r="C685" s="96"/>
      <c r="D685" s="96"/>
      <c r="E685" s="97"/>
      <c r="F685" s="97"/>
      <c r="G685" s="97"/>
      <c r="H685" s="97"/>
    </row>
    <row r="686" spans="1:8" ht="14.25" customHeight="1">
      <c r="A686" s="97"/>
      <c r="B686" s="97"/>
      <c r="C686" s="96"/>
      <c r="D686" s="96"/>
      <c r="E686" s="97"/>
      <c r="F686" s="97"/>
      <c r="G686" s="97"/>
      <c r="H686" s="97"/>
    </row>
    <row r="687" spans="1:8" ht="14.25" customHeight="1">
      <c r="A687" s="97"/>
      <c r="B687" s="97"/>
      <c r="C687" s="96"/>
      <c r="D687" s="96"/>
      <c r="E687" s="97"/>
      <c r="F687" s="97"/>
      <c r="G687" s="97"/>
      <c r="H687" s="97"/>
    </row>
    <row r="688" spans="1:8" ht="14.25" customHeight="1">
      <c r="A688" s="97"/>
      <c r="B688" s="97"/>
      <c r="C688" s="96"/>
      <c r="D688" s="96"/>
      <c r="E688" s="97"/>
      <c r="F688" s="97"/>
      <c r="G688" s="97"/>
      <c r="H688" s="97"/>
    </row>
    <row r="689" spans="1:8" ht="14.25" customHeight="1">
      <c r="A689" s="97"/>
      <c r="B689" s="97"/>
      <c r="C689" s="96"/>
      <c r="D689" s="96"/>
      <c r="E689" s="97"/>
      <c r="F689" s="97"/>
      <c r="G689" s="97"/>
      <c r="H689" s="97"/>
    </row>
    <row r="690" spans="1:8" ht="14.25" customHeight="1">
      <c r="A690" s="97"/>
      <c r="B690" s="97"/>
      <c r="C690" s="96"/>
      <c r="D690" s="96"/>
      <c r="E690" s="97"/>
      <c r="F690" s="97"/>
      <c r="G690" s="97"/>
      <c r="H690" s="97"/>
    </row>
    <row r="691" spans="1:8" ht="14.25" customHeight="1">
      <c r="A691" s="97"/>
      <c r="B691" s="97"/>
      <c r="C691" s="96"/>
      <c r="D691" s="96"/>
      <c r="E691" s="97"/>
      <c r="F691" s="97"/>
      <c r="G691" s="97"/>
      <c r="H691" s="97"/>
    </row>
    <row r="692" spans="1:8" ht="14.25" customHeight="1">
      <c r="A692" s="97"/>
      <c r="B692" s="97"/>
      <c r="C692" s="96"/>
      <c r="D692" s="96"/>
      <c r="E692" s="97"/>
      <c r="F692" s="97"/>
      <c r="G692" s="97"/>
      <c r="H692" s="97"/>
    </row>
    <row r="693" spans="1:8" ht="14.25" customHeight="1">
      <c r="A693" s="97"/>
      <c r="B693" s="97"/>
      <c r="C693" s="96"/>
      <c r="D693" s="96"/>
      <c r="E693" s="97"/>
      <c r="F693" s="97"/>
      <c r="G693" s="97"/>
      <c r="H693" s="97"/>
    </row>
    <row r="694" spans="1:8" ht="14.25" customHeight="1">
      <c r="A694" s="97"/>
      <c r="B694" s="97"/>
      <c r="C694" s="96"/>
      <c r="D694" s="96"/>
      <c r="E694" s="97"/>
      <c r="F694" s="97"/>
      <c r="G694" s="97"/>
      <c r="H694" s="97"/>
    </row>
    <row r="695" spans="1:8" ht="14.25" customHeight="1">
      <c r="A695" s="97"/>
      <c r="B695" s="97"/>
      <c r="C695" s="96"/>
      <c r="D695" s="96"/>
      <c r="E695" s="97"/>
      <c r="F695" s="97"/>
      <c r="G695" s="97"/>
      <c r="H695" s="97"/>
    </row>
    <row r="696" spans="1:8" ht="14.25" customHeight="1">
      <c r="A696" s="97"/>
      <c r="B696" s="97"/>
      <c r="C696" s="96"/>
      <c r="D696" s="96"/>
      <c r="E696" s="97"/>
      <c r="F696" s="97"/>
      <c r="G696" s="97"/>
      <c r="H696" s="97"/>
    </row>
    <row r="697" spans="1:8" ht="14.25" customHeight="1">
      <c r="A697" s="97"/>
      <c r="B697" s="97"/>
      <c r="C697" s="96"/>
      <c r="D697" s="96"/>
      <c r="E697" s="97"/>
      <c r="F697" s="97"/>
      <c r="G697" s="97"/>
      <c r="H697" s="97"/>
    </row>
    <row r="698" spans="1:8" ht="14.25" customHeight="1">
      <c r="A698" s="97"/>
      <c r="B698" s="97"/>
      <c r="C698" s="96"/>
      <c r="D698" s="96"/>
      <c r="E698" s="97"/>
      <c r="F698" s="97"/>
      <c r="G698" s="97"/>
      <c r="H698" s="97"/>
    </row>
    <row r="699" spans="1:8" ht="14.25" customHeight="1">
      <c r="A699" s="97"/>
      <c r="B699" s="97"/>
      <c r="C699" s="96"/>
      <c r="D699" s="96"/>
      <c r="E699" s="97"/>
      <c r="F699" s="97"/>
      <c r="G699" s="97"/>
      <c r="H699" s="97"/>
    </row>
    <row r="700" spans="1:8" ht="14.25" customHeight="1">
      <c r="A700" s="97"/>
      <c r="B700" s="97"/>
      <c r="C700" s="96"/>
      <c r="D700" s="96"/>
      <c r="E700" s="97"/>
      <c r="F700" s="97"/>
      <c r="G700" s="97"/>
      <c r="H700" s="97"/>
    </row>
    <row r="701" spans="1:8" ht="14.25" customHeight="1">
      <c r="A701" s="97"/>
      <c r="B701" s="97"/>
      <c r="C701" s="96"/>
      <c r="D701" s="96"/>
      <c r="E701" s="97"/>
      <c r="F701" s="97"/>
      <c r="G701" s="97"/>
      <c r="H701" s="97"/>
    </row>
    <row r="702" spans="1:8" ht="14.25" customHeight="1">
      <c r="A702" s="97"/>
      <c r="B702" s="97"/>
      <c r="C702" s="96"/>
      <c r="D702" s="96"/>
      <c r="E702" s="97"/>
      <c r="F702" s="97"/>
      <c r="G702" s="97"/>
      <c r="H702" s="97"/>
    </row>
    <row r="703" spans="1:8" ht="14.25" customHeight="1">
      <c r="A703" s="97"/>
      <c r="B703" s="97"/>
      <c r="C703" s="96"/>
      <c r="D703" s="96"/>
      <c r="E703" s="97"/>
      <c r="F703" s="97"/>
      <c r="G703" s="97"/>
      <c r="H703" s="97"/>
    </row>
    <row r="704" spans="1:8" ht="14.25" customHeight="1">
      <c r="A704" s="97"/>
      <c r="B704" s="97"/>
      <c r="C704" s="96"/>
      <c r="D704" s="96"/>
      <c r="E704" s="97"/>
      <c r="F704" s="97"/>
      <c r="G704" s="97"/>
      <c r="H704" s="97"/>
    </row>
    <row r="705" spans="1:8" ht="14.25" customHeight="1">
      <c r="A705" s="97"/>
      <c r="B705" s="97"/>
      <c r="C705" s="96"/>
      <c r="D705" s="96"/>
      <c r="E705" s="97"/>
      <c r="F705" s="97"/>
      <c r="G705" s="97"/>
      <c r="H705" s="97"/>
    </row>
    <row r="706" spans="1:8" ht="14.25" customHeight="1">
      <c r="A706" s="97"/>
      <c r="B706" s="97"/>
      <c r="C706" s="96"/>
      <c r="D706" s="96"/>
      <c r="E706" s="97"/>
      <c r="F706" s="97"/>
      <c r="G706" s="97"/>
      <c r="H706" s="97"/>
    </row>
    <row r="707" spans="1:8" ht="14.25" customHeight="1">
      <c r="A707" s="97"/>
      <c r="B707" s="97"/>
      <c r="C707" s="96"/>
      <c r="D707" s="96"/>
      <c r="E707" s="97"/>
      <c r="F707" s="97"/>
      <c r="G707" s="97"/>
      <c r="H707" s="97"/>
    </row>
    <row r="708" spans="1:8" ht="14.25" customHeight="1">
      <c r="A708" s="97"/>
      <c r="B708" s="97"/>
      <c r="C708" s="96"/>
      <c r="D708" s="96"/>
      <c r="E708" s="97"/>
      <c r="F708" s="97"/>
      <c r="G708" s="97"/>
      <c r="H708" s="97"/>
    </row>
    <row r="709" spans="1:8" ht="14.25" customHeight="1">
      <c r="A709" s="97"/>
      <c r="B709" s="97"/>
      <c r="C709" s="96"/>
      <c r="D709" s="96"/>
      <c r="E709" s="97"/>
      <c r="F709" s="97"/>
      <c r="G709" s="97"/>
      <c r="H709" s="97"/>
    </row>
    <row r="710" spans="1:8" ht="14.25" customHeight="1">
      <c r="A710" s="97"/>
      <c r="B710" s="97"/>
      <c r="C710" s="96"/>
      <c r="D710" s="96"/>
      <c r="E710" s="97"/>
      <c r="F710" s="97"/>
      <c r="G710" s="97"/>
      <c r="H710" s="97"/>
    </row>
    <row r="711" spans="1:8" ht="14.25" customHeight="1">
      <c r="A711" s="97"/>
      <c r="B711" s="97"/>
      <c r="C711" s="96"/>
      <c r="D711" s="96"/>
      <c r="E711" s="97"/>
      <c r="F711" s="97"/>
      <c r="G711" s="97"/>
      <c r="H711" s="97"/>
    </row>
    <row r="712" spans="1:8" ht="14.25" customHeight="1">
      <c r="A712" s="97"/>
      <c r="B712" s="97"/>
      <c r="C712" s="96"/>
      <c r="D712" s="96"/>
      <c r="E712" s="97"/>
      <c r="F712" s="97"/>
      <c r="G712" s="97"/>
      <c r="H712" s="97"/>
    </row>
    <row r="713" spans="1:8" ht="14.25" customHeight="1">
      <c r="A713" s="97"/>
      <c r="B713" s="97"/>
      <c r="C713" s="96"/>
      <c r="D713" s="96"/>
      <c r="E713" s="97"/>
      <c r="F713" s="97"/>
      <c r="G713" s="97"/>
      <c r="H713" s="97"/>
    </row>
    <row r="714" spans="1:8" ht="14.25" customHeight="1">
      <c r="A714" s="97"/>
      <c r="B714" s="97"/>
      <c r="C714" s="96"/>
      <c r="D714" s="96"/>
      <c r="E714" s="97"/>
      <c r="F714" s="97"/>
      <c r="G714" s="97"/>
      <c r="H714" s="97"/>
    </row>
    <row r="715" spans="1:8" ht="14.25" customHeight="1">
      <c r="A715" s="97"/>
      <c r="B715" s="97"/>
      <c r="C715" s="96"/>
      <c r="D715" s="96"/>
      <c r="E715" s="97"/>
      <c r="F715" s="97"/>
      <c r="G715" s="97"/>
      <c r="H715" s="97"/>
    </row>
    <row r="716" spans="1:8" ht="14.25" customHeight="1">
      <c r="A716" s="97"/>
      <c r="B716" s="97"/>
      <c r="C716" s="96"/>
      <c r="D716" s="96"/>
      <c r="E716" s="97"/>
      <c r="F716" s="97"/>
      <c r="G716" s="97"/>
      <c r="H716" s="97"/>
    </row>
    <row r="717" spans="1:8" ht="14.25" customHeight="1">
      <c r="A717" s="97"/>
      <c r="B717" s="97"/>
      <c r="C717" s="96"/>
      <c r="D717" s="96"/>
      <c r="E717" s="97"/>
      <c r="F717" s="97"/>
      <c r="G717" s="97"/>
      <c r="H717" s="97"/>
    </row>
    <row r="718" spans="1:8" ht="14.25" customHeight="1">
      <c r="A718" s="97"/>
      <c r="B718" s="97"/>
      <c r="C718" s="96"/>
      <c r="D718" s="96"/>
      <c r="E718" s="97"/>
      <c r="F718" s="97"/>
      <c r="G718" s="97"/>
      <c r="H718" s="97"/>
    </row>
    <row r="719" spans="1:8" ht="14.25" customHeight="1">
      <c r="A719" s="97"/>
      <c r="B719" s="97"/>
      <c r="C719" s="96"/>
      <c r="D719" s="96"/>
      <c r="E719" s="97"/>
      <c r="F719" s="97"/>
      <c r="G719" s="97"/>
      <c r="H719" s="97"/>
    </row>
    <row r="720" spans="1:8" ht="14.25" customHeight="1">
      <c r="A720" s="97"/>
      <c r="B720" s="97"/>
      <c r="C720" s="96"/>
      <c r="D720" s="96"/>
      <c r="E720" s="97"/>
      <c r="F720" s="97"/>
      <c r="G720" s="97"/>
      <c r="H720" s="97"/>
    </row>
    <row r="721" spans="1:8" ht="14.25" customHeight="1">
      <c r="A721" s="97"/>
      <c r="B721" s="97"/>
      <c r="C721" s="96"/>
      <c r="D721" s="96"/>
      <c r="E721" s="97"/>
      <c r="F721" s="97"/>
      <c r="G721" s="97"/>
      <c r="H721" s="97"/>
    </row>
    <row r="722" spans="1:8" ht="14.25" customHeight="1">
      <c r="A722" s="97"/>
      <c r="B722" s="97"/>
      <c r="C722" s="96"/>
      <c r="D722" s="96"/>
      <c r="E722" s="97"/>
      <c r="F722" s="97"/>
      <c r="G722" s="97"/>
      <c r="H722" s="97"/>
    </row>
    <row r="723" spans="1:8" ht="14.25" customHeight="1">
      <c r="A723" s="97"/>
      <c r="B723" s="97"/>
      <c r="C723" s="96"/>
      <c r="D723" s="96"/>
      <c r="E723" s="97"/>
      <c r="F723" s="97"/>
      <c r="G723" s="97"/>
      <c r="H723" s="97"/>
    </row>
    <row r="724" spans="1:8" ht="14.25" customHeight="1">
      <c r="A724" s="97"/>
      <c r="B724" s="97"/>
      <c r="C724" s="96"/>
      <c r="D724" s="96"/>
      <c r="E724" s="97"/>
      <c r="F724" s="97"/>
      <c r="G724" s="97"/>
      <c r="H724" s="97"/>
    </row>
    <row r="725" spans="1:8" ht="14.25" customHeight="1">
      <c r="A725" s="97"/>
      <c r="B725" s="97"/>
      <c r="C725" s="96"/>
      <c r="D725" s="96"/>
      <c r="E725" s="97"/>
      <c r="F725" s="97"/>
      <c r="G725" s="97"/>
      <c r="H725" s="97"/>
    </row>
    <row r="726" spans="1:8" ht="14.25" customHeight="1">
      <c r="A726" s="97"/>
      <c r="B726" s="97"/>
      <c r="C726" s="96"/>
      <c r="D726" s="96"/>
      <c r="E726" s="97"/>
      <c r="F726" s="97"/>
      <c r="G726" s="97"/>
      <c r="H726" s="97"/>
    </row>
    <row r="727" spans="1:8" ht="14.25" customHeight="1">
      <c r="A727" s="97"/>
      <c r="B727" s="97"/>
      <c r="C727" s="96"/>
      <c r="D727" s="96"/>
      <c r="E727" s="97"/>
      <c r="F727" s="97"/>
      <c r="G727" s="97"/>
      <c r="H727" s="97"/>
    </row>
    <row r="728" spans="1:8" ht="14.25" customHeight="1">
      <c r="A728" s="97"/>
      <c r="B728" s="97"/>
      <c r="C728" s="96"/>
      <c r="D728" s="96"/>
      <c r="E728" s="97"/>
      <c r="F728" s="97"/>
      <c r="G728" s="97"/>
      <c r="H728" s="97"/>
    </row>
    <row r="729" spans="1:8" ht="14.25" customHeight="1">
      <c r="A729" s="97"/>
      <c r="B729" s="97"/>
      <c r="C729" s="96"/>
      <c r="D729" s="96"/>
      <c r="E729" s="97"/>
      <c r="F729" s="97"/>
      <c r="G729" s="97"/>
      <c r="H729" s="97"/>
    </row>
    <row r="730" spans="1:8" ht="14.25" customHeight="1">
      <c r="A730" s="97"/>
      <c r="B730" s="97"/>
      <c r="C730" s="96"/>
      <c r="D730" s="96"/>
      <c r="E730" s="97"/>
      <c r="F730" s="97"/>
      <c r="G730" s="97"/>
      <c r="H730" s="97"/>
    </row>
    <row r="731" spans="1:8" ht="14.25" customHeight="1">
      <c r="A731" s="97"/>
      <c r="B731" s="97"/>
      <c r="C731" s="96"/>
      <c r="D731" s="96"/>
      <c r="E731" s="97"/>
      <c r="F731" s="97"/>
      <c r="G731" s="97"/>
      <c r="H731" s="97"/>
    </row>
    <row r="732" spans="1:8" ht="14.25" customHeight="1">
      <c r="A732" s="97"/>
      <c r="B732" s="97"/>
      <c r="C732" s="96"/>
      <c r="D732" s="96"/>
      <c r="E732" s="97"/>
      <c r="F732" s="97"/>
      <c r="G732" s="97"/>
      <c r="H732" s="97"/>
    </row>
    <row r="733" spans="1:8" ht="14.25" customHeight="1">
      <c r="A733" s="97"/>
      <c r="B733" s="97"/>
      <c r="C733" s="96"/>
      <c r="D733" s="96"/>
      <c r="E733" s="97"/>
      <c r="F733" s="97"/>
      <c r="G733" s="97"/>
      <c r="H733" s="97"/>
    </row>
    <row r="734" spans="1:8" ht="14.25" customHeight="1">
      <c r="A734" s="97"/>
      <c r="B734" s="97"/>
      <c r="C734" s="96"/>
      <c r="D734" s="96"/>
      <c r="E734" s="97"/>
      <c r="F734" s="97"/>
      <c r="G734" s="97"/>
      <c r="H734" s="97"/>
    </row>
    <row r="735" spans="1:8" ht="14.25" customHeight="1">
      <c r="A735" s="97"/>
      <c r="B735" s="97"/>
      <c r="C735" s="96"/>
      <c r="D735" s="96"/>
      <c r="E735" s="97"/>
      <c r="F735" s="97"/>
      <c r="G735" s="97"/>
      <c r="H735" s="97"/>
    </row>
    <row r="736" spans="1:8" ht="14.25" customHeight="1">
      <c r="A736" s="97"/>
      <c r="B736" s="97"/>
      <c r="C736" s="96"/>
      <c r="D736" s="96"/>
      <c r="E736" s="97"/>
      <c r="F736" s="97"/>
      <c r="G736" s="97"/>
      <c r="H736" s="97"/>
    </row>
    <row r="737" spans="1:8" ht="14.25" customHeight="1">
      <c r="A737" s="97"/>
      <c r="B737" s="97"/>
      <c r="C737" s="96"/>
      <c r="D737" s="96"/>
      <c r="E737" s="97"/>
      <c r="F737" s="97"/>
      <c r="G737" s="97"/>
      <c r="H737" s="97"/>
    </row>
    <row r="738" spans="1:8" ht="14.25" customHeight="1">
      <c r="A738" s="97"/>
      <c r="B738" s="97"/>
      <c r="C738" s="96"/>
      <c r="D738" s="96"/>
      <c r="E738" s="97"/>
      <c r="F738" s="97"/>
      <c r="G738" s="97"/>
      <c r="H738" s="97"/>
    </row>
    <row r="739" spans="1:8" ht="14.25" customHeight="1">
      <c r="A739" s="97"/>
      <c r="B739" s="97"/>
      <c r="C739" s="96"/>
      <c r="D739" s="96"/>
      <c r="E739" s="97"/>
      <c r="F739" s="97"/>
      <c r="G739" s="97"/>
      <c r="H739" s="97"/>
    </row>
    <row r="740" spans="1:8" ht="14.25" customHeight="1">
      <c r="A740" s="97"/>
      <c r="B740" s="97"/>
      <c r="C740" s="96"/>
      <c r="D740" s="96"/>
      <c r="E740" s="97"/>
      <c r="F740" s="97"/>
      <c r="G740" s="97"/>
      <c r="H740" s="97"/>
    </row>
    <row r="741" spans="1:8" ht="14.25" customHeight="1">
      <c r="A741" s="97"/>
      <c r="B741" s="97"/>
      <c r="C741" s="96"/>
      <c r="D741" s="96"/>
      <c r="E741" s="97"/>
      <c r="F741" s="97"/>
      <c r="G741" s="97"/>
      <c r="H741" s="97"/>
    </row>
    <row r="742" spans="1:8" ht="14.25" customHeight="1">
      <c r="A742" s="97"/>
      <c r="B742" s="97"/>
      <c r="C742" s="96"/>
      <c r="D742" s="96"/>
      <c r="E742" s="97"/>
      <c r="F742" s="97"/>
      <c r="G742" s="97"/>
      <c r="H742" s="97"/>
    </row>
    <row r="743" spans="1:8" ht="14.25" customHeight="1">
      <c r="A743" s="97"/>
      <c r="B743" s="97"/>
      <c r="C743" s="96"/>
      <c r="D743" s="96"/>
      <c r="E743" s="97"/>
      <c r="F743" s="97"/>
      <c r="G743" s="97"/>
      <c r="H743" s="97"/>
    </row>
    <row r="744" spans="1:8" ht="14.25" customHeight="1">
      <c r="A744" s="97"/>
      <c r="B744" s="97"/>
      <c r="C744" s="96"/>
      <c r="D744" s="96"/>
      <c r="E744" s="97"/>
      <c r="F744" s="97"/>
      <c r="G744" s="97"/>
      <c r="H744" s="97"/>
    </row>
    <row r="745" spans="1:8" ht="14.25" customHeight="1">
      <c r="A745" s="97"/>
      <c r="B745" s="97"/>
      <c r="C745" s="96"/>
      <c r="D745" s="96"/>
      <c r="E745" s="97"/>
      <c r="F745" s="97"/>
      <c r="G745" s="97"/>
      <c r="H745" s="97"/>
    </row>
    <row r="746" spans="1:8" ht="14.25" customHeight="1">
      <c r="A746" s="97"/>
      <c r="B746" s="97"/>
      <c r="C746" s="96"/>
      <c r="D746" s="96"/>
      <c r="E746" s="97"/>
      <c r="F746" s="97"/>
      <c r="G746" s="97"/>
      <c r="H746" s="97"/>
    </row>
    <row r="747" spans="1:8" ht="14.25" customHeight="1">
      <c r="A747" s="97"/>
      <c r="B747" s="97"/>
      <c r="C747" s="96"/>
      <c r="D747" s="96"/>
      <c r="E747" s="97"/>
      <c r="F747" s="97"/>
      <c r="G747" s="97"/>
      <c r="H747" s="97"/>
    </row>
    <row r="748" spans="1:8" ht="14.25" customHeight="1">
      <c r="A748" s="97"/>
      <c r="B748" s="97"/>
      <c r="C748" s="96"/>
      <c r="D748" s="96"/>
      <c r="E748" s="97"/>
      <c r="F748" s="97"/>
      <c r="G748" s="97"/>
      <c r="H748" s="97"/>
    </row>
    <row r="749" spans="1:8" ht="14.25" customHeight="1">
      <c r="A749" s="97"/>
      <c r="B749" s="97"/>
      <c r="C749" s="96"/>
      <c r="D749" s="96"/>
      <c r="E749" s="97"/>
      <c r="F749" s="97"/>
      <c r="G749" s="97"/>
      <c r="H749" s="97"/>
    </row>
    <row r="750" spans="1:8" ht="14.25" customHeight="1">
      <c r="A750" s="97"/>
      <c r="B750" s="97"/>
      <c r="C750" s="96"/>
      <c r="D750" s="96"/>
      <c r="E750" s="97"/>
      <c r="F750" s="97"/>
      <c r="G750" s="97"/>
      <c r="H750" s="97"/>
    </row>
    <row r="751" spans="1:8" ht="14.25" customHeight="1">
      <c r="A751" s="97"/>
      <c r="B751" s="97"/>
      <c r="C751" s="96"/>
      <c r="D751" s="96"/>
      <c r="E751" s="97"/>
      <c r="F751" s="97"/>
      <c r="G751" s="97"/>
      <c r="H751" s="97"/>
    </row>
    <row r="752" spans="1:8" ht="14.25" customHeight="1">
      <c r="A752" s="97"/>
      <c r="B752" s="97"/>
      <c r="C752" s="96"/>
      <c r="D752" s="96"/>
      <c r="E752" s="97"/>
      <c r="F752" s="97"/>
      <c r="G752" s="97"/>
      <c r="H752" s="97"/>
    </row>
    <row r="753" spans="1:8" ht="14.25" customHeight="1">
      <c r="A753" s="97"/>
      <c r="B753" s="97"/>
      <c r="C753" s="96"/>
      <c r="D753" s="96"/>
      <c r="E753" s="97"/>
      <c r="F753" s="97"/>
      <c r="G753" s="97"/>
      <c r="H753" s="97"/>
    </row>
    <row r="754" spans="1:8" ht="14.25" customHeight="1">
      <c r="A754" s="97"/>
      <c r="B754" s="97"/>
      <c r="C754" s="96"/>
      <c r="D754" s="96"/>
      <c r="E754" s="97"/>
      <c r="F754" s="97"/>
      <c r="G754" s="97"/>
      <c r="H754" s="97"/>
    </row>
    <row r="755" spans="1:8" ht="14.25" customHeight="1">
      <c r="A755" s="97"/>
      <c r="B755" s="97"/>
      <c r="C755" s="96"/>
      <c r="D755" s="96"/>
      <c r="E755" s="97"/>
      <c r="F755" s="97"/>
      <c r="G755" s="97"/>
      <c r="H755" s="97"/>
    </row>
    <row r="756" spans="1:8" ht="14.25" customHeight="1">
      <c r="A756" s="97"/>
      <c r="B756" s="97"/>
      <c r="C756" s="96"/>
      <c r="D756" s="96"/>
      <c r="E756" s="97"/>
      <c r="F756" s="97"/>
      <c r="G756" s="97"/>
      <c r="H756" s="97"/>
    </row>
    <row r="757" spans="1:8" ht="14.25" customHeight="1">
      <c r="A757" s="97"/>
      <c r="B757" s="97"/>
      <c r="C757" s="96"/>
      <c r="D757" s="96"/>
      <c r="E757" s="97"/>
      <c r="F757" s="97"/>
      <c r="G757" s="97"/>
      <c r="H757" s="97"/>
    </row>
    <row r="758" spans="1:8" ht="14.25" customHeight="1">
      <c r="A758" s="97"/>
      <c r="B758" s="97"/>
      <c r="C758" s="96"/>
      <c r="D758" s="96"/>
      <c r="E758" s="97"/>
      <c r="F758" s="97"/>
      <c r="G758" s="97"/>
      <c r="H758" s="97"/>
    </row>
    <row r="759" spans="1:8" ht="14.25" customHeight="1">
      <c r="A759" s="97"/>
      <c r="B759" s="97"/>
      <c r="C759" s="96"/>
      <c r="D759" s="96"/>
      <c r="E759" s="97"/>
      <c r="F759" s="97"/>
      <c r="G759" s="97"/>
      <c r="H759" s="97"/>
    </row>
    <row r="760" spans="1:8" ht="14.25" customHeight="1">
      <c r="A760" s="97"/>
      <c r="B760" s="97"/>
      <c r="C760" s="96"/>
      <c r="D760" s="96"/>
      <c r="E760" s="97"/>
      <c r="F760" s="97"/>
      <c r="G760" s="97"/>
      <c r="H760" s="97"/>
    </row>
    <row r="761" spans="1:8" ht="14.25" customHeight="1">
      <c r="A761" s="97"/>
      <c r="B761" s="97"/>
      <c r="C761" s="96"/>
      <c r="D761" s="96"/>
      <c r="E761" s="97"/>
      <c r="F761" s="97"/>
      <c r="G761" s="97"/>
      <c r="H761" s="97"/>
    </row>
    <row r="762" spans="1:8" ht="14.25" customHeight="1">
      <c r="A762" s="97"/>
      <c r="B762" s="97"/>
      <c r="C762" s="96"/>
      <c r="D762" s="96"/>
      <c r="E762" s="97"/>
      <c r="F762" s="97"/>
      <c r="G762" s="97"/>
      <c r="H762" s="97"/>
    </row>
    <row r="763" spans="1:8" ht="14.25" customHeight="1">
      <c r="A763" s="97"/>
      <c r="B763" s="97"/>
      <c r="C763" s="96"/>
      <c r="D763" s="96"/>
      <c r="E763" s="97"/>
      <c r="F763" s="97"/>
      <c r="G763" s="97"/>
      <c r="H763" s="97"/>
    </row>
    <row r="764" spans="1:8" ht="14.25" customHeight="1">
      <c r="A764" s="97"/>
      <c r="B764" s="97"/>
      <c r="C764" s="96"/>
      <c r="D764" s="96"/>
      <c r="E764" s="97"/>
      <c r="F764" s="97"/>
      <c r="G764" s="97"/>
      <c r="H764" s="97"/>
    </row>
    <row r="765" spans="1:8" ht="14.25" customHeight="1">
      <c r="A765" s="97"/>
      <c r="B765" s="97"/>
      <c r="C765" s="96"/>
      <c r="D765" s="96"/>
      <c r="E765" s="97"/>
      <c r="F765" s="97"/>
      <c r="G765" s="97"/>
      <c r="H765" s="97"/>
    </row>
    <row r="766" spans="1:8" ht="14.25" customHeight="1">
      <c r="A766" s="97"/>
      <c r="B766" s="97"/>
      <c r="C766" s="96"/>
      <c r="D766" s="96"/>
      <c r="E766" s="97"/>
      <c r="F766" s="97"/>
      <c r="G766" s="97"/>
      <c r="H766" s="97"/>
    </row>
    <row r="767" spans="1:8" ht="14.25" customHeight="1">
      <c r="A767" s="97"/>
      <c r="B767" s="97"/>
      <c r="C767" s="96"/>
      <c r="D767" s="96"/>
      <c r="E767" s="97"/>
      <c r="F767" s="97"/>
      <c r="G767" s="97"/>
      <c r="H767" s="97"/>
    </row>
    <row r="768" spans="1:8" ht="14.25" customHeight="1">
      <c r="A768" s="97"/>
      <c r="B768" s="97"/>
      <c r="C768" s="96"/>
      <c r="D768" s="96"/>
      <c r="E768" s="97"/>
      <c r="F768" s="97"/>
      <c r="G768" s="97"/>
      <c r="H768" s="97"/>
    </row>
    <row r="769" spans="1:8" ht="14.25" customHeight="1">
      <c r="A769" s="97"/>
      <c r="B769" s="97"/>
      <c r="C769" s="96"/>
      <c r="D769" s="96"/>
      <c r="E769" s="97"/>
      <c r="F769" s="97"/>
      <c r="G769" s="97"/>
      <c r="H769" s="97"/>
    </row>
    <row r="770" spans="1:8" ht="14.25" customHeight="1">
      <c r="A770" s="97"/>
      <c r="B770" s="97"/>
      <c r="C770" s="96"/>
      <c r="D770" s="96"/>
      <c r="E770" s="97"/>
      <c r="F770" s="97"/>
      <c r="G770" s="97"/>
      <c r="H770" s="97"/>
    </row>
    <row r="771" spans="1:8" ht="14.25" customHeight="1">
      <c r="A771" s="97"/>
      <c r="B771" s="97"/>
      <c r="C771" s="96"/>
      <c r="D771" s="96"/>
      <c r="E771" s="97"/>
      <c r="F771" s="97"/>
      <c r="G771" s="97"/>
      <c r="H771" s="97"/>
    </row>
    <row r="772" spans="1:8" ht="14.25" customHeight="1">
      <c r="A772" s="97"/>
      <c r="B772" s="97"/>
      <c r="C772" s="96"/>
      <c r="D772" s="96"/>
      <c r="E772" s="97"/>
      <c r="F772" s="97"/>
      <c r="G772" s="97"/>
      <c r="H772" s="97"/>
    </row>
    <row r="773" spans="1:8" ht="14.25" customHeight="1">
      <c r="A773" s="97"/>
      <c r="B773" s="97"/>
      <c r="C773" s="96"/>
      <c r="D773" s="96"/>
      <c r="E773" s="97"/>
      <c r="F773" s="97"/>
      <c r="G773" s="97"/>
      <c r="H773" s="97"/>
    </row>
    <row r="774" spans="1:8" ht="14.25" customHeight="1">
      <c r="A774" s="97"/>
      <c r="B774" s="97"/>
      <c r="C774" s="96"/>
      <c r="D774" s="96"/>
      <c r="E774" s="97"/>
      <c r="F774" s="97"/>
      <c r="G774" s="97"/>
      <c r="H774" s="97"/>
    </row>
    <row r="775" spans="1:8" ht="14.25" customHeight="1">
      <c r="A775" s="97"/>
      <c r="B775" s="97"/>
      <c r="C775" s="96"/>
      <c r="D775" s="96"/>
      <c r="E775" s="97"/>
      <c r="F775" s="97"/>
      <c r="G775" s="97"/>
      <c r="H775" s="97"/>
    </row>
    <row r="776" spans="1:8" ht="14.25" customHeight="1">
      <c r="A776" s="97"/>
      <c r="B776" s="97"/>
      <c r="C776" s="96"/>
      <c r="D776" s="96"/>
      <c r="E776" s="97"/>
      <c r="F776" s="97"/>
      <c r="G776" s="97"/>
      <c r="H776" s="97"/>
    </row>
    <row r="777" spans="1:8" ht="14.25" customHeight="1">
      <c r="A777" s="97"/>
      <c r="B777" s="97"/>
      <c r="C777" s="96"/>
      <c r="D777" s="96"/>
      <c r="E777" s="97"/>
      <c r="F777" s="97"/>
      <c r="G777" s="97"/>
      <c r="H777" s="97"/>
    </row>
    <row r="778" spans="1:8" ht="14.25" customHeight="1">
      <c r="A778" s="97"/>
      <c r="B778" s="97"/>
      <c r="C778" s="96"/>
      <c r="D778" s="96"/>
      <c r="E778" s="97"/>
      <c r="F778" s="97"/>
      <c r="G778" s="97"/>
      <c r="H778" s="97"/>
    </row>
    <row r="779" spans="1:8" ht="14.25" customHeight="1">
      <c r="A779" s="97"/>
      <c r="B779" s="97"/>
      <c r="C779" s="96"/>
      <c r="D779" s="96"/>
      <c r="E779" s="97"/>
      <c r="F779" s="97"/>
      <c r="G779" s="97"/>
      <c r="H779" s="97"/>
    </row>
    <row r="780" spans="1:8" ht="14.25" customHeight="1">
      <c r="A780" s="97"/>
      <c r="B780" s="97"/>
      <c r="C780" s="96"/>
      <c r="D780" s="96"/>
      <c r="E780" s="97"/>
      <c r="F780" s="97"/>
      <c r="G780" s="97"/>
      <c r="H780" s="97"/>
    </row>
    <row r="781" spans="1:8" ht="14.25" customHeight="1">
      <c r="A781" s="97"/>
      <c r="B781" s="97"/>
      <c r="C781" s="96"/>
      <c r="D781" s="96"/>
      <c r="E781" s="97"/>
      <c r="F781" s="97"/>
      <c r="G781" s="97"/>
      <c r="H781" s="97"/>
    </row>
    <row r="782" spans="1:8" ht="14.25" customHeight="1">
      <c r="A782" s="97"/>
      <c r="B782" s="97"/>
      <c r="C782" s="96"/>
      <c r="D782" s="96"/>
      <c r="E782" s="97"/>
      <c r="F782" s="97"/>
      <c r="G782" s="97"/>
      <c r="H782" s="97"/>
    </row>
    <row r="783" spans="1:8" ht="14.25" customHeight="1">
      <c r="A783" s="97"/>
      <c r="B783" s="97"/>
      <c r="C783" s="96"/>
      <c r="D783" s="96"/>
      <c r="E783" s="97"/>
      <c r="F783" s="97"/>
      <c r="G783" s="97"/>
      <c r="H783" s="97"/>
    </row>
    <row r="784" spans="1:8" ht="14.25" customHeight="1">
      <c r="A784" s="97"/>
      <c r="B784" s="97"/>
      <c r="C784" s="96"/>
      <c r="D784" s="96"/>
      <c r="E784" s="97"/>
      <c r="F784" s="97"/>
      <c r="G784" s="97"/>
      <c r="H784" s="97"/>
    </row>
    <row r="785" spans="1:8" ht="14.25" customHeight="1">
      <c r="A785" s="97"/>
      <c r="B785" s="97"/>
      <c r="C785" s="96"/>
      <c r="D785" s="96"/>
      <c r="E785" s="97"/>
      <c r="F785" s="97"/>
      <c r="G785" s="97"/>
      <c r="H785" s="97"/>
    </row>
    <row r="786" spans="1:8" ht="14.25" customHeight="1">
      <c r="A786" s="97"/>
      <c r="B786" s="97"/>
      <c r="C786" s="96"/>
      <c r="D786" s="96"/>
      <c r="E786" s="97"/>
      <c r="F786" s="97"/>
      <c r="G786" s="97"/>
      <c r="H786" s="97"/>
    </row>
    <row r="787" spans="1:8" ht="14.25" customHeight="1">
      <c r="A787" s="97"/>
      <c r="B787" s="97"/>
      <c r="C787" s="96"/>
      <c r="D787" s="96"/>
      <c r="E787" s="97"/>
      <c r="F787" s="97"/>
      <c r="G787" s="97"/>
      <c r="H787" s="97"/>
    </row>
    <row r="788" spans="1:8" ht="14.25" customHeight="1">
      <c r="A788" s="97"/>
      <c r="B788" s="97"/>
      <c r="C788" s="96"/>
      <c r="D788" s="96"/>
      <c r="E788" s="97"/>
      <c r="F788" s="97"/>
      <c r="G788" s="97"/>
      <c r="H788" s="97"/>
    </row>
    <row r="789" spans="1:8" ht="14.25" customHeight="1">
      <c r="A789" s="97"/>
      <c r="B789" s="97"/>
      <c r="C789" s="96"/>
      <c r="D789" s="96"/>
      <c r="E789" s="97"/>
      <c r="F789" s="97"/>
      <c r="G789" s="97"/>
      <c r="H789" s="97"/>
    </row>
    <row r="790" spans="1:8" ht="14.25" customHeight="1">
      <c r="A790" s="97"/>
      <c r="B790" s="97"/>
      <c r="C790" s="96"/>
      <c r="D790" s="96"/>
      <c r="E790" s="97"/>
      <c r="F790" s="97"/>
      <c r="G790" s="97"/>
      <c r="H790" s="97"/>
    </row>
    <row r="791" spans="1:8" ht="14.25" customHeight="1">
      <c r="A791" s="97"/>
      <c r="B791" s="97"/>
      <c r="C791" s="96"/>
      <c r="D791" s="96"/>
      <c r="E791" s="97"/>
      <c r="F791" s="97"/>
      <c r="G791" s="97"/>
      <c r="H791" s="97"/>
    </row>
    <row r="792" spans="1:8" ht="14.25" customHeight="1">
      <c r="A792" s="97"/>
      <c r="B792" s="97"/>
      <c r="C792" s="96"/>
      <c r="D792" s="96"/>
      <c r="E792" s="97"/>
      <c r="F792" s="97"/>
      <c r="G792" s="97"/>
      <c r="H792" s="97"/>
    </row>
    <row r="793" spans="1:8" ht="14.25" customHeight="1">
      <c r="A793" s="97"/>
      <c r="B793" s="97"/>
      <c r="C793" s="96"/>
      <c r="D793" s="96"/>
      <c r="E793" s="97"/>
      <c r="F793" s="97"/>
      <c r="G793" s="97"/>
      <c r="H793" s="97"/>
    </row>
    <row r="794" spans="1:8" ht="14.25" customHeight="1">
      <c r="A794" s="97"/>
      <c r="B794" s="97"/>
      <c r="C794" s="96"/>
      <c r="D794" s="96"/>
      <c r="E794" s="97"/>
      <c r="F794" s="97"/>
      <c r="G794" s="97"/>
      <c r="H794" s="97"/>
    </row>
    <row r="795" spans="1:8" ht="14.25" customHeight="1">
      <c r="A795" s="97"/>
      <c r="B795" s="97"/>
      <c r="C795" s="96"/>
      <c r="D795" s="96"/>
      <c r="E795" s="97"/>
      <c r="F795" s="97"/>
      <c r="G795" s="97"/>
      <c r="H795" s="97"/>
    </row>
    <row r="796" spans="1:8" ht="14.25" customHeight="1">
      <c r="A796" s="97"/>
      <c r="B796" s="97"/>
      <c r="C796" s="96"/>
      <c r="D796" s="96"/>
      <c r="E796" s="97"/>
      <c r="F796" s="97"/>
      <c r="G796" s="97"/>
      <c r="H796" s="97"/>
    </row>
    <row r="797" spans="1:8" ht="14.25" customHeight="1">
      <c r="A797" s="97"/>
      <c r="B797" s="97"/>
      <c r="C797" s="96"/>
      <c r="D797" s="96"/>
      <c r="E797" s="97"/>
      <c r="F797" s="97"/>
      <c r="G797" s="97"/>
      <c r="H797" s="97"/>
    </row>
    <row r="798" spans="1:8" ht="14.25" customHeight="1">
      <c r="A798" s="97"/>
      <c r="B798" s="97"/>
      <c r="C798" s="96"/>
      <c r="D798" s="96"/>
      <c r="E798" s="97"/>
      <c r="F798" s="97"/>
      <c r="G798" s="97"/>
      <c r="H798" s="97"/>
    </row>
    <row r="799" spans="1:8" ht="14.25" customHeight="1">
      <c r="A799" s="97"/>
      <c r="B799" s="97"/>
      <c r="C799" s="96"/>
      <c r="D799" s="96"/>
      <c r="E799" s="97"/>
      <c r="F799" s="97"/>
      <c r="G799" s="97"/>
      <c r="H799" s="97"/>
    </row>
    <row r="800" spans="1:8" ht="14.25" customHeight="1">
      <c r="A800" s="97"/>
      <c r="B800" s="97"/>
      <c r="C800" s="96"/>
      <c r="D800" s="96"/>
      <c r="E800" s="97"/>
      <c r="F800" s="97"/>
      <c r="G800" s="97"/>
      <c r="H800" s="97"/>
    </row>
    <row r="801" spans="1:8" ht="14.25" customHeight="1">
      <c r="A801" s="97"/>
      <c r="B801" s="97"/>
      <c r="C801" s="96"/>
      <c r="D801" s="96"/>
      <c r="E801" s="97"/>
      <c r="F801" s="97"/>
      <c r="G801" s="97"/>
      <c r="H801" s="97"/>
    </row>
    <row r="802" spans="1:8" ht="14.25" customHeight="1">
      <c r="A802" s="97"/>
      <c r="B802" s="97"/>
      <c r="C802" s="96"/>
      <c r="D802" s="96"/>
      <c r="E802" s="97"/>
      <c r="F802" s="97"/>
      <c r="G802" s="97"/>
      <c r="H802" s="97"/>
    </row>
    <row r="803" spans="1:8" ht="14.25" customHeight="1">
      <c r="A803" s="97"/>
      <c r="B803" s="97"/>
      <c r="C803" s="96"/>
      <c r="D803" s="96"/>
      <c r="E803" s="97"/>
      <c r="F803" s="97"/>
      <c r="G803" s="97"/>
      <c r="H803" s="97"/>
    </row>
    <row r="804" spans="1:8" ht="14.25" customHeight="1">
      <c r="A804" s="97"/>
      <c r="B804" s="97"/>
      <c r="C804" s="96"/>
      <c r="D804" s="96"/>
      <c r="E804" s="97"/>
      <c r="F804" s="97"/>
      <c r="G804" s="97"/>
      <c r="H804" s="97"/>
    </row>
    <row r="805" spans="1:8" ht="14.25" customHeight="1">
      <c r="A805" s="97"/>
      <c r="B805" s="97"/>
      <c r="C805" s="96"/>
      <c r="D805" s="96"/>
      <c r="E805" s="97"/>
      <c r="F805" s="97"/>
      <c r="G805" s="97"/>
      <c r="H805" s="97"/>
    </row>
    <row r="806" spans="1:8" ht="14.25" customHeight="1">
      <c r="A806" s="97"/>
      <c r="B806" s="97"/>
      <c r="C806" s="96"/>
      <c r="D806" s="96"/>
      <c r="E806" s="97"/>
      <c r="F806" s="97"/>
      <c r="G806" s="97"/>
      <c r="H806" s="97"/>
    </row>
    <row r="807" spans="1:8" ht="14.25" customHeight="1">
      <c r="A807" s="97"/>
      <c r="B807" s="97"/>
      <c r="C807" s="96"/>
      <c r="D807" s="96"/>
      <c r="E807" s="97"/>
      <c r="F807" s="97"/>
      <c r="G807" s="97"/>
      <c r="H807" s="97"/>
    </row>
    <row r="808" spans="1:8" ht="14.25" customHeight="1">
      <c r="A808" s="97"/>
      <c r="B808" s="97"/>
      <c r="C808" s="96"/>
      <c r="D808" s="96"/>
      <c r="E808" s="97"/>
      <c r="F808" s="97"/>
      <c r="G808" s="97"/>
      <c r="H808" s="97"/>
    </row>
    <row r="809" spans="1:8" ht="14.25" customHeight="1">
      <c r="A809" s="97"/>
      <c r="B809" s="97"/>
      <c r="C809" s="96"/>
      <c r="D809" s="96"/>
      <c r="E809" s="97"/>
      <c r="F809" s="97"/>
      <c r="G809" s="97"/>
      <c r="H809" s="97"/>
    </row>
    <row r="810" spans="1:8" ht="14.25" customHeight="1">
      <c r="A810" s="97"/>
      <c r="B810" s="97"/>
      <c r="C810" s="96"/>
      <c r="D810" s="96"/>
      <c r="E810" s="97"/>
      <c r="F810" s="97"/>
      <c r="G810" s="97"/>
      <c r="H810" s="97"/>
    </row>
    <row r="811" spans="1:8" ht="14.25" customHeight="1">
      <c r="A811" s="97"/>
      <c r="B811" s="97"/>
      <c r="C811" s="96"/>
      <c r="D811" s="96"/>
      <c r="E811" s="97"/>
      <c r="F811" s="97"/>
      <c r="G811" s="97"/>
      <c r="H811" s="97"/>
    </row>
    <row r="812" spans="1:8" ht="14.25" customHeight="1">
      <c r="A812" s="97"/>
      <c r="B812" s="97"/>
      <c r="C812" s="96"/>
      <c r="D812" s="96"/>
      <c r="E812" s="97"/>
      <c r="F812" s="97"/>
      <c r="G812" s="97"/>
      <c r="H812" s="97"/>
    </row>
    <row r="813" spans="1:8" ht="14.25" customHeight="1">
      <c r="A813" s="97"/>
      <c r="B813" s="97"/>
      <c r="C813" s="96"/>
      <c r="D813" s="96"/>
      <c r="E813" s="97"/>
      <c r="F813" s="97"/>
      <c r="G813" s="97"/>
      <c r="H813" s="97"/>
    </row>
    <row r="814" spans="1:8" ht="14.25" customHeight="1">
      <c r="A814" s="97"/>
      <c r="B814" s="97"/>
      <c r="C814" s="96"/>
      <c r="D814" s="96"/>
      <c r="E814" s="97"/>
      <c r="F814" s="97"/>
      <c r="G814" s="97"/>
      <c r="H814" s="97"/>
    </row>
    <row r="815" spans="1:8" ht="14.25" customHeight="1">
      <c r="A815" s="97"/>
      <c r="B815" s="97"/>
      <c r="C815" s="96"/>
      <c r="D815" s="96"/>
      <c r="E815" s="97"/>
      <c r="F815" s="97"/>
      <c r="G815" s="97"/>
      <c r="H815" s="97"/>
    </row>
    <row r="816" spans="1:8" ht="14.25" customHeight="1">
      <c r="A816" s="97"/>
      <c r="B816" s="97"/>
      <c r="C816" s="96"/>
      <c r="D816" s="96"/>
      <c r="E816" s="97"/>
      <c r="F816" s="97"/>
      <c r="G816" s="97"/>
      <c r="H816" s="97"/>
    </row>
    <row r="817" spans="1:8" ht="14.25" customHeight="1">
      <c r="A817" s="97"/>
      <c r="B817" s="97"/>
      <c r="C817" s="96"/>
      <c r="D817" s="96"/>
      <c r="E817" s="97"/>
      <c r="F817" s="97"/>
      <c r="G817" s="97"/>
      <c r="H817" s="97"/>
    </row>
    <row r="818" spans="1:8" ht="14.25" customHeight="1">
      <c r="A818" s="97"/>
      <c r="B818" s="97"/>
      <c r="C818" s="96"/>
      <c r="D818" s="96"/>
      <c r="E818" s="97"/>
      <c r="F818" s="97"/>
      <c r="G818" s="97"/>
      <c r="H818" s="97"/>
    </row>
    <row r="819" spans="1:8" ht="14.25" customHeight="1">
      <c r="A819" s="97"/>
      <c r="B819" s="97"/>
      <c r="C819" s="96"/>
      <c r="D819" s="96"/>
      <c r="E819" s="97"/>
      <c r="F819" s="97"/>
      <c r="G819" s="97"/>
      <c r="H819" s="97"/>
    </row>
    <row r="820" spans="1:8" ht="14.25" customHeight="1">
      <c r="A820" s="97"/>
      <c r="B820" s="97"/>
      <c r="C820" s="96"/>
      <c r="D820" s="96"/>
      <c r="E820" s="97"/>
      <c r="F820" s="97"/>
      <c r="G820" s="97"/>
      <c r="H820" s="97"/>
    </row>
    <row r="821" spans="1:8" ht="14.25" customHeight="1">
      <c r="A821" s="97"/>
      <c r="B821" s="97"/>
      <c r="C821" s="96"/>
      <c r="D821" s="96"/>
      <c r="E821" s="97"/>
      <c r="F821" s="97"/>
      <c r="G821" s="97"/>
      <c r="H821" s="97"/>
    </row>
    <row r="822" spans="1:8" ht="14.25" customHeight="1">
      <c r="A822" s="97"/>
      <c r="B822" s="97"/>
      <c r="C822" s="96"/>
      <c r="D822" s="96"/>
      <c r="E822" s="97"/>
      <c r="F822" s="97"/>
      <c r="G822" s="97"/>
      <c r="H822" s="97"/>
    </row>
    <row r="823" spans="1:8" ht="14.25" customHeight="1">
      <c r="A823" s="97"/>
      <c r="B823" s="97"/>
      <c r="C823" s="96"/>
      <c r="D823" s="96"/>
      <c r="E823" s="97"/>
      <c r="F823" s="97"/>
      <c r="G823" s="97"/>
      <c r="H823" s="97"/>
    </row>
    <row r="824" spans="1:8" ht="14.25" customHeight="1">
      <c r="A824" s="97"/>
      <c r="B824" s="97"/>
      <c r="C824" s="96"/>
      <c r="D824" s="96"/>
      <c r="E824" s="97"/>
      <c r="F824" s="97"/>
      <c r="G824" s="97"/>
      <c r="H824" s="97"/>
    </row>
    <row r="825" spans="1:8" ht="14.25" customHeight="1">
      <c r="A825" s="97"/>
      <c r="B825" s="97"/>
      <c r="C825" s="96"/>
      <c r="D825" s="96"/>
      <c r="E825" s="97"/>
      <c r="F825" s="97"/>
      <c r="G825" s="97"/>
      <c r="H825" s="97"/>
    </row>
    <row r="826" spans="1:8" ht="14.25" customHeight="1">
      <c r="A826" s="97"/>
      <c r="B826" s="97"/>
      <c r="C826" s="96"/>
      <c r="D826" s="96"/>
      <c r="E826" s="97"/>
      <c r="F826" s="97"/>
      <c r="G826" s="97"/>
      <c r="H826" s="97"/>
    </row>
    <row r="827" spans="1:8" ht="14.25" customHeight="1">
      <c r="A827" s="97"/>
      <c r="B827" s="97"/>
      <c r="C827" s="96"/>
      <c r="D827" s="96"/>
      <c r="E827" s="97"/>
      <c r="F827" s="97"/>
      <c r="G827" s="97"/>
      <c r="H827" s="97"/>
    </row>
    <row r="828" spans="1:8" ht="14.25" customHeight="1">
      <c r="A828" s="97"/>
      <c r="B828" s="97"/>
      <c r="C828" s="96"/>
      <c r="D828" s="96"/>
      <c r="E828" s="97"/>
      <c r="F828" s="97"/>
      <c r="G828" s="97"/>
      <c r="H828" s="97"/>
    </row>
    <row r="829" spans="1:8" ht="14.25" customHeight="1">
      <c r="A829" s="97"/>
      <c r="B829" s="97"/>
      <c r="C829" s="96"/>
      <c r="D829" s="96"/>
      <c r="E829" s="97"/>
      <c r="F829" s="97"/>
      <c r="G829" s="97"/>
      <c r="H829" s="97"/>
    </row>
    <row r="830" spans="1:8" ht="14.25" customHeight="1">
      <c r="A830" s="97"/>
      <c r="B830" s="97"/>
      <c r="C830" s="96"/>
      <c r="D830" s="96"/>
      <c r="E830" s="97"/>
      <c r="F830" s="97"/>
      <c r="G830" s="97"/>
      <c r="H830" s="97"/>
    </row>
    <row r="831" spans="1:8" ht="14.25" customHeight="1">
      <c r="A831" s="97"/>
      <c r="B831" s="97"/>
      <c r="C831" s="96"/>
      <c r="D831" s="96"/>
      <c r="E831" s="97"/>
      <c r="F831" s="97"/>
      <c r="G831" s="97"/>
      <c r="H831" s="97"/>
    </row>
    <row r="832" spans="1:8" ht="14.25" customHeight="1">
      <c r="A832" s="97"/>
      <c r="B832" s="97"/>
      <c r="C832" s="96"/>
      <c r="D832" s="96"/>
      <c r="E832" s="97"/>
      <c r="F832" s="97"/>
      <c r="G832" s="97"/>
      <c r="H832" s="97"/>
    </row>
    <row r="833" spans="1:8" ht="14.25" customHeight="1">
      <c r="A833" s="97"/>
      <c r="B833" s="97"/>
      <c r="C833" s="96"/>
      <c r="D833" s="96"/>
      <c r="E833" s="97"/>
      <c r="F833" s="97"/>
      <c r="G833" s="97"/>
      <c r="H833" s="97"/>
    </row>
    <row r="834" spans="1:8" ht="14.25" customHeight="1">
      <c r="A834" s="97"/>
      <c r="B834" s="97"/>
      <c r="C834" s="96"/>
      <c r="D834" s="96"/>
      <c r="E834" s="97"/>
      <c r="F834" s="97"/>
      <c r="G834" s="97"/>
      <c r="H834" s="97"/>
    </row>
    <row r="835" spans="1:8" ht="14.25" customHeight="1">
      <c r="A835" s="97"/>
      <c r="B835" s="97"/>
      <c r="C835" s="96"/>
      <c r="D835" s="96"/>
      <c r="E835" s="97"/>
      <c r="F835" s="97"/>
      <c r="G835" s="97"/>
      <c r="H835" s="97"/>
    </row>
    <row r="836" spans="1:8" ht="14.25" customHeight="1">
      <c r="A836" s="97"/>
      <c r="B836" s="97"/>
      <c r="C836" s="96"/>
      <c r="D836" s="96"/>
      <c r="E836" s="97"/>
      <c r="F836" s="97"/>
      <c r="G836" s="97"/>
      <c r="H836" s="97"/>
    </row>
    <row r="837" spans="1:8" ht="14.25" customHeight="1">
      <c r="A837" s="97"/>
      <c r="B837" s="97"/>
      <c r="C837" s="96"/>
      <c r="D837" s="96"/>
      <c r="E837" s="97"/>
      <c r="F837" s="97"/>
      <c r="G837" s="97"/>
      <c r="H837" s="97"/>
    </row>
    <row r="838" spans="1:8" ht="14.25" customHeight="1">
      <c r="A838" s="97"/>
      <c r="B838" s="97"/>
      <c r="C838" s="96"/>
      <c r="D838" s="96"/>
      <c r="E838" s="97"/>
      <c r="F838" s="97"/>
      <c r="G838" s="97"/>
      <c r="H838" s="97"/>
    </row>
    <row r="839" spans="1:8" ht="14.25" customHeight="1">
      <c r="A839" s="97"/>
      <c r="B839" s="97"/>
      <c r="C839" s="96"/>
      <c r="D839" s="96"/>
      <c r="E839" s="97"/>
      <c r="F839" s="97"/>
      <c r="G839" s="97"/>
      <c r="H839" s="97"/>
    </row>
    <row r="840" spans="1:8" ht="14.25" customHeight="1">
      <c r="A840" s="97"/>
      <c r="B840" s="97"/>
      <c r="C840" s="96"/>
      <c r="D840" s="96"/>
      <c r="E840" s="97"/>
      <c r="F840" s="97"/>
      <c r="G840" s="97"/>
      <c r="H840" s="97"/>
    </row>
    <row r="841" spans="1:8" ht="14.25" customHeight="1">
      <c r="A841" s="97"/>
      <c r="B841" s="97"/>
      <c r="C841" s="96"/>
      <c r="D841" s="96"/>
      <c r="E841" s="97"/>
      <c r="F841" s="97"/>
      <c r="G841" s="97"/>
      <c r="H841" s="97"/>
    </row>
    <row r="842" spans="1:8" ht="14.25" customHeight="1">
      <c r="A842" s="97"/>
      <c r="B842" s="97"/>
      <c r="C842" s="96"/>
      <c r="D842" s="96"/>
      <c r="E842" s="97"/>
      <c r="F842" s="97"/>
      <c r="G842" s="97"/>
      <c r="H842" s="97"/>
    </row>
    <row r="843" spans="1:8" ht="14.25" customHeight="1">
      <c r="A843" s="97"/>
      <c r="B843" s="97"/>
      <c r="C843" s="96"/>
      <c r="D843" s="96"/>
      <c r="E843" s="97"/>
      <c r="F843" s="97"/>
      <c r="G843" s="97"/>
      <c r="H843" s="97"/>
    </row>
    <row r="844" spans="1:8" ht="14.25" customHeight="1">
      <c r="A844" s="97"/>
      <c r="B844" s="97"/>
      <c r="C844" s="96"/>
      <c r="D844" s="96"/>
      <c r="E844" s="97"/>
      <c r="F844" s="97"/>
      <c r="G844" s="97"/>
      <c r="H844" s="97"/>
    </row>
    <row r="845" spans="1:8" ht="14.25" customHeight="1">
      <c r="A845" s="97"/>
      <c r="B845" s="97"/>
      <c r="C845" s="96"/>
      <c r="D845" s="96"/>
      <c r="E845" s="97"/>
      <c r="F845" s="97"/>
      <c r="G845" s="97"/>
      <c r="H845" s="97"/>
    </row>
    <row r="846" spans="1:8" ht="14.25" customHeight="1">
      <c r="A846" s="97"/>
      <c r="B846" s="97"/>
      <c r="C846" s="96"/>
      <c r="D846" s="96"/>
      <c r="E846" s="97"/>
      <c r="F846" s="97"/>
      <c r="G846" s="97"/>
      <c r="H846" s="97"/>
    </row>
    <row r="847" spans="1:8" ht="14.25" customHeight="1">
      <c r="A847" s="97"/>
      <c r="B847" s="97"/>
      <c r="C847" s="96"/>
      <c r="D847" s="96"/>
      <c r="E847" s="97"/>
      <c r="F847" s="97"/>
      <c r="G847" s="97"/>
      <c r="H847" s="97"/>
    </row>
    <row r="848" spans="1:8" ht="14.25" customHeight="1">
      <c r="A848" s="97"/>
      <c r="B848" s="97"/>
      <c r="C848" s="96"/>
      <c r="D848" s="96"/>
      <c r="E848" s="97"/>
      <c r="F848" s="97"/>
      <c r="G848" s="97"/>
      <c r="H848" s="97"/>
    </row>
    <row r="849" spans="1:8" ht="14.25" customHeight="1">
      <c r="A849" s="97"/>
      <c r="B849" s="97"/>
      <c r="C849" s="96"/>
      <c r="D849" s="96"/>
      <c r="E849" s="97"/>
      <c r="F849" s="97"/>
      <c r="G849" s="97"/>
      <c r="H849" s="97"/>
    </row>
    <row r="850" spans="1:8" ht="14.25" customHeight="1">
      <c r="A850" s="97"/>
      <c r="B850" s="97"/>
      <c r="C850" s="96"/>
      <c r="D850" s="96"/>
      <c r="E850" s="97"/>
      <c r="F850" s="97"/>
      <c r="G850" s="97"/>
      <c r="H850" s="97"/>
    </row>
    <row r="851" spans="1:8" ht="14.25" customHeight="1">
      <c r="A851" s="97"/>
      <c r="B851" s="97"/>
      <c r="C851" s="96"/>
      <c r="D851" s="96"/>
      <c r="E851" s="97"/>
      <c r="F851" s="97"/>
      <c r="G851" s="97"/>
      <c r="H851" s="97"/>
    </row>
    <row r="852" spans="1:8" ht="14.25" customHeight="1">
      <c r="A852" s="97"/>
      <c r="B852" s="97"/>
      <c r="C852" s="96"/>
      <c r="D852" s="96"/>
      <c r="E852" s="97"/>
      <c r="F852" s="97"/>
      <c r="G852" s="97"/>
      <c r="H852" s="97"/>
    </row>
    <row r="853" spans="1:8" ht="14.25" customHeight="1">
      <c r="A853" s="97"/>
      <c r="B853" s="97"/>
      <c r="C853" s="96"/>
      <c r="D853" s="96"/>
      <c r="E853" s="97"/>
      <c r="F853" s="97"/>
      <c r="G853" s="97"/>
      <c r="H853" s="97"/>
    </row>
    <row r="854" spans="1:8" ht="14.25" customHeight="1">
      <c r="A854" s="97"/>
      <c r="B854" s="97"/>
      <c r="C854" s="96"/>
      <c r="D854" s="96"/>
      <c r="E854" s="97"/>
      <c r="F854" s="97"/>
      <c r="G854" s="97"/>
      <c r="H854" s="97"/>
    </row>
    <row r="855" spans="1:8" ht="14.25" customHeight="1">
      <c r="A855" s="97"/>
      <c r="B855" s="97"/>
      <c r="C855" s="96"/>
      <c r="D855" s="96"/>
      <c r="E855" s="97"/>
      <c r="F855" s="97"/>
      <c r="G855" s="97"/>
      <c r="H855" s="97"/>
    </row>
    <row r="856" spans="1:8" ht="14.25" customHeight="1">
      <c r="A856" s="97"/>
      <c r="B856" s="97"/>
      <c r="C856" s="96"/>
      <c r="D856" s="96"/>
      <c r="E856" s="97"/>
      <c r="F856" s="97"/>
      <c r="G856" s="97"/>
      <c r="H856" s="97"/>
    </row>
    <row r="857" spans="1:8" ht="14.25" customHeight="1">
      <c r="A857" s="97"/>
      <c r="B857" s="97"/>
      <c r="C857" s="96"/>
      <c r="D857" s="96"/>
      <c r="E857" s="97"/>
      <c r="F857" s="97"/>
      <c r="G857" s="97"/>
      <c r="H857" s="97"/>
    </row>
    <row r="858" spans="1:8" ht="14.25" customHeight="1">
      <c r="A858" s="97"/>
      <c r="B858" s="97"/>
      <c r="C858" s="96"/>
      <c r="D858" s="96"/>
      <c r="E858" s="97"/>
      <c r="F858" s="97"/>
      <c r="G858" s="97"/>
      <c r="H858" s="97"/>
    </row>
    <row r="859" spans="1:8" ht="14.25" customHeight="1">
      <c r="A859" s="97"/>
      <c r="B859" s="97"/>
      <c r="C859" s="96"/>
      <c r="D859" s="96"/>
      <c r="E859" s="97"/>
      <c r="F859" s="97"/>
      <c r="G859" s="97"/>
      <c r="H859" s="97"/>
    </row>
    <row r="860" spans="1:8" ht="14.25" customHeight="1">
      <c r="A860" s="97"/>
      <c r="B860" s="97"/>
      <c r="C860" s="96"/>
      <c r="D860" s="96"/>
      <c r="E860" s="97"/>
      <c r="F860" s="97"/>
      <c r="G860" s="97"/>
      <c r="H860" s="97"/>
    </row>
    <row r="861" spans="1:8" ht="14.25" customHeight="1">
      <c r="A861" s="97"/>
      <c r="B861" s="97"/>
      <c r="C861" s="96"/>
      <c r="D861" s="96"/>
      <c r="E861" s="97"/>
      <c r="F861" s="97"/>
      <c r="G861" s="97"/>
      <c r="H861" s="97"/>
    </row>
    <row r="862" spans="1:8" ht="14.25" customHeight="1">
      <c r="A862" s="97"/>
      <c r="B862" s="97"/>
      <c r="C862" s="96"/>
      <c r="D862" s="96"/>
      <c r="E862" s="97"/>
      <c r="F862" s="97"/>
      <c r="G862" s="97"/>
      <c r="H862" s="97"/>
    </row>
    <row r="863" spans="1:8" ht="14.25" customHeight="1">
      <c r="A863" s="97"/>
      <c r="B863" s="97"/>
      <c r="C863" s="96"/>
      <c r="D863" s="96"/>
      <c r="E863" s="97"/>
      <c r="F863" s="97"/>
      <c r="G863" s="97"/>
      <c r="H863" s="97"/>
    </row>
    <row r="864" spans="1:8" ht="14.25" customHeight="1">
      <c r="A864" s="97"/>
      <c r="B864" s="97"/>
      <c r="C864" s="96"/>
      <c r="D864" s="96"/>
      <c r="E864" s="97"/>
      <c r="F864" s="97"/>
      <c r="G864" s="97"/>
      <c r="H864" s="97"/>
    </row>
    <row r="865" spans="1:8" ht="14.25" customHeight="1">
      <c r="A865" s="97"/>
      <c r="B865" s="97"/>
      <c r="C865" s="96"/>
      <c r="D865" s="96"/>
      <c r="E865" s="97"/>
      <c r="F865" s="97"/>
      <c r="G865" s="97"/>
      <c r="H865" s="97"/>
    </row>
    <row r="866" spans="1:8" ht="14.25" customHeight="1">
      <c r="A866" s="97"/>
      <c r="B866" s="97"/>
      <c r="C866" s="96"/>
      <c r="D866" s="96"/>
      <c r="E866" s="97"/>
      <c r="F866" s="97"/>
      <c r="G866" s="97"/>
      <c r="H866" s="97"/>
    </row>
    <row r="867" spans="1:8" ht="14.25" customHeight="1">
      <c r="A867" s="97"/>
      <c r="B867" s="97"/>
      <c r="C867" s="96"/>
      <c r="D867" s="96"/>
      <c r="E867" s="97"/>
      <c r="F867" s="97"/>
      <c r="G867" s="97"/>
      <c r="H867" s="97"/>
    </row>
    <row r="868" spans="1:8" ht="14.25" customHeight="1">
      <c r="A868" s="97"/>
      <c r="B868" s="97"/>
      <c r="C868" s="96"/>
      <c r="D868" s="96"/>
      <c r="E868" s="97"/>
      <c r="F868" s="97"/>
      <c r="G868" s="97"/>
      <c r="H868" s="97"/>
    </row>
    <row r="869" spans="1:8" ht="14.25" customHeight="1">
      <c r="A869" s="97"/>
      <c r="B869" s="97"/>
      <c r="C869" s="96"/>
      <c r="D869" s="96"/>
      <c r="E869" s="97"/>
      <c r="F869" s="97"/>
      <c r="G869" s="97"/>
      <c r="H869" s="97"/>
    </row>
    <row r="870" spans="1:8" ht="14.25" customHeight="1">
      <c r="A870" s="97"/>
      <c r="B870" s="97"/>
      <c r="C870" s="96"/>
      <c r="D870" s="96"/>
      <c r="E870" s="97"/>
      <c r="F870" s="97"/>
      <c r="G870" s="97"/>
      <c r="H870" s="97"/>
    </row>
    <row r="871" spans="1:8" ht="14.25" customHeight="1">
      <c r="A871" s="97"/>
      <c r="B871" s="97"/>
      <c r="C871" s="96"/>
      <c r="D871" s="96"/>
      <c r="E871" s="97"/>
      <c r="F871" s="97"/>
      <c r="G871" s="97"/>
      <c r="H871" s="97"/>
    </row>
    <row r="872" spans="1:8" ht="14.25" customHeight="1">
      <c r="A872" s="97"/>
      <c r="B872" s="97"/>
      <c r="C872" s="96"/>
      <c r="D872" s="96"/>
      <c r="E872" s="97"/>
      <c r="F872" s="97"/>
      <c r="G872" s="97"/>
      <c r="H872" s="97"/>
    </row>
    <row r="873" spans="1:8" ht="14.25" customHeight="1">
      <c r="A873" s="97"/>
      <c r="B873" s="97"/>
      <c r="C873" s="96"/>
      <c r="D873" s="96"/>
      <c r="E873" s="97"/>
      <c r="F873" s="97"/>
      <c r="G873" s="97"/>
      <c r="H873" s="97"/>
    </row>
    <row r="874" spans="1:8" ht="14.25" customHeight="1">
      <c r="A874" s="97"/>
      <c r="B874" s="97"/>
      <c r="C874" s="96"/>
      <c r="D874" s="96"/>
      <c r="E874" s="97"/>
      <c r="F874" s="97"/>
      <c r="G874" s="97"/>
      <c r="H874" s="97"/>
    </row>
    <row r="875" spans="1:8" ht="14.25" customHeight="1">
      <c r="A875" s="97"/>
      <c r="B875" s="97"/>
      <c r="C875" s="96"/>
      <c r="D875" s="96"/>
      <c r="E875" s="97"/>
      <c r="F875" s="97"/>
      <c r="G875" s="97"/>
      <c r="H875" s="97"/>
    </row>
    <row r="876" spans="1:8" ht="14.25" customHeight="1">
      <c r="A876" s="97"/>
      <c r="B876" s="97"/>
      <c r="C876" s="96"/>
      <c r="D876" s="96"/>
      <c r="E876" s="97"/>
      <c r="F876" s="97"/>
      <c r="G876" s="97"/>
      <c r="H876" s="97"/>
    </row>
    <row r="877" spans="1:8" ht="14.25" customHeight="1">
      <c r="A877" s="97"/>
      <c r="B877" s="97"/>
      <c r="C877" s="96"/>
      <c r="D877" s="96"/>
      <c r="E877" s="97"/>
      <c r="F877" s="97"/>
      <c r="G877" s="97"/>
      <c r="H877" s="97"/>
    </row>
    <row r="878" spans="1:8" ht="14.25" customHeight="1">
      <c r="A878" s="97"/>
      <c r="B878" s="97"/>
      <c r="C878" s="96"/>
      <c r="D878" s="96"/>
      <c r="E878" s="97"/>
      <c r="F878" s="97"/>
      <c r="G878" s="97"/>
      <c r="H878" s="97"/>
    </row>
    <row r="879" spans="1:8" ht="14.25" customHeight="1">
      <c r="A879" s="97"/>
      <c r="B879" s="97"/>
      <c r="C879" s="96"/>
      <c r="D879" s="96"/>
      <c r="E879" s="97"/>
      <c r="F879" s="97"/>
      <c r="G879" s="97"/>
      <c r="H879" s="97"/>
    </row>
    <row r="880" spans="1:8" ht="14.25" customHeight="1">
      <c r="A880" s="97"/>
      <c r="B880" s="97"/>
      <c r="C880" s="96"/>
      <c r="D880" s="96"/>
      <c r="E880" s="97"/>
      <c r="F880" s="97"/>
      <c r="G880" s="97"/>
      <c r="H880" s="97"/>
    </row>
    <row r="881" spans="1:8" ht="14.25" customHeight="1">
      <c r="A881" s="97"/>
      <c r="B881" s="97"/>
      <c r="C881" s="96"/>
      <c r="D881" s="96"/>
      <c r="E881" s="97"/>
      <c r="F881" s="97"/>
      <c r="G881" s="97"/>
      <c r="H881" s="97"/>
    </row>
    <row r="882" spans="1:8" ht="14.25" customHeight="1">
      <c r="A882" s="97"/>
      <c r="B882" s="97"/>
      <c r="C882" s="96"/>
      <c r="D882" s="96"/>
      <c r="E882" s="97"/>
      <c r="F882" s="97"/>
      <c r="G882" s="97"/>
      <c r="H882" s="97"/>
    </row>
    <row r="883" spans="1:8" ht="14.25" customHeight="1">
      <c r="A883" s="97"/>
      <c r="B883" s="97"/>
      <c r="C883" s="96"/>
      <c r="D883" s="96"/>
      <c r="E883" s="97"/>
      <c r="F883" s="97"/>
      <c r="G883" s="97"/>
      <c r="H883" s="97"/>
    </row>
    <row r="884" spans="1:8" ht="14.25" customHeight="1">
      <c r="A884" s="97"/>
      <c r="B884" s="97"/>
      <c r="C884" s="96"/>
      <c r="D884" s="96"/>
      <c r="E884" s="97"/>
      <c r="F884" s="97"/>
      <c r="G884" s="97"/>
      <c r="H884" s="97"/>
    </row>
    <row r="885" spans="1:8" ht="14.25" customHeight="1">
      <c r="A885" s="97"/>
      <c r="B885" s="97"/>
      <c r="C885" s="96"/>
      <c r="D885" s="96"/>
      <c r="E885" s="97"/>
      <c r="F885" s="97"/>
      <c r="G885" s="97"/>
      <c r="H885" s="97"/>
    </row>
    <row r="886" spans="1:8" ht="14.25" customHeight="1">
      <c r="A886" s="97"/>
      <c r="B886" s="97"/>
      <c r="C886" s="96"/>
      <c r="D886" s="96"/>
      <c r="E886" s="97"/>
      <c r="F886" s="97"/>
      <c r="G886" s="97"/>
      <c r="H886" s="97"/>
    </row>
    <row r="887" spans="1:8" ht="14.25" customHeight="1">
      <c r="A887" s="97"/>
      <c r="B887" s="97"/>
      <c r="C887" s="96"/>
      <c r="D887" s="96"/>
      <c r="E887" s="97"/>
      <c r="F887" s="97"/>
      <c r="G887" s="97"/>
      <c r="H887" s="97"/>
    </row>
    <row r="888" spans="1:8" ht="14.25" customHeight="1">
      <c r="A888" s="97"/>
      <c r="B888" s="97"/>
      <c r="C888" s="96"/>
      <c r="D888" s="96"/>
      <c r="E888" s="97"/>
      <c r="F888" s="97"/>
      <c r="G888" s="97"/>
      <c r="H888" s="97"/>
    </row>
    <row r="889" spans="1:8" ht="14.25" customHeight="1">
      <c r="A889" s="97"/>
      <c r="B889" s="97"/>
      <c r="C889" s="96"/>
      <c r="D889" s="96"/>
      <c r="E889" s="97"/>
      <c r="F889" s="97"/>
      <c r="G889" s="97"/>
      <c r="H889" s="97"/>
    </row>
    <row r="890" spans="1:8" ht="14.25" customHeight="1">
      <c r="A890" s="97"/>
      <c r="B890" s="97"/>
      <c r="C890" s="96"/>
      <c r="D890" s="96"/>
      <c r="E890" s="97"/>
      <c r="F890" s="97"/>
      <c r="G890" s="97"/>
      <c r="H890" s="97"/>
    </row>
    <row r="891" spans="1:8" ht="14.25" customHeight="1">
      <c r="A891" s="97"/>
      <c r="B891" s="97"/>
      <c r="C891" s="96"/>
      <c r="D891" s="96"/>
      <c r="E891" s="97"/>
      <c r="F891" s="97"/>
      <c r="G891" s="97"/>
      <c r="H891" s="97"/>
    </row>
    <row r="892" spans="1:8" ht="14.25" customHeight="1">
      <c r="A892" s="97"/>
      <c r="B892" s="97"/>
      <c r="C892" s="96"/>
      <c r="D892" s="96"/>
      <c r="E892" s="97"/>
      <c r="F892" s="97"/>
      <c r="G892" s="97"/>
      <c r="H892" s="97"/>
    </row>
    <row r="893" spans="1:8" ht="14.25" customHeight="1">
      <c r="A893" s="97"/>
      <c r="B893" s="97"/>
      <c r="C893" s="96"/>
      <c r="D893" s="96"/>
      <c r="E893" s="97"/>
      <c r="F893" s="97"/>
      <c r="G893" s="97"/>
      <c r="H893" s="97"/>
    </row>
    <row r="894" spans="1:8" ht="14.25" customHeight="1">
      <c r="A894" s="97"/>
      <c r="B894" s="97"/>
      <c r="C894" s="96"/>
      <c r="D894" s="96"/>
      <c r="E894" s="97"/>
      <c r="F894" s="97"/>
      <c r="G894" s="97"/>
      <c r="H894" s="97"/>
    </row>
    <row r="895" spans="1:8" ht="14.25" customHeight="1">
      <c r="A895" s="97"/>
      <c r="B895" s="97"/>
      <c r="C895" s="96"/>
      <c r="D895" s="96"/>
      <c r="E895" s="97"/>
      <c r="F895" s="97"/>
      <c r="G895" s="97"/>
      <c r="H895" s="97"/>
    </row>
    <row r="896" spans="1:8" ht="14.25" customHeight="1">
      <c r="A896" s="97"/>
      <c r="B896" s="97"/>
      <c r="C896" s="96"/>
      <c r="D896" s="96"/>
      <c r="E896" s="97"/>
      <c r="F896" s="97"/>
      <c r="G896" s="97"/>
      <c r="H896" s="97"/>
    </row>
    <row r="897" spans="1:8" ht="14.25" customHeight="1">
      <c r="A897" s="97"/>
      <c r="B897" s="97"/>
      <c r="C897" s="96"/>
      <c r="D897" s="96"/>
      <c r="E897" s="97"/>
      <c r="F897" s="97"/>
      <c r="G897" s="97"/>
      <c r="H897" s="97"/>
    </row>
    <row r="898" spans="1:8" ht="14.25" customHeight="1">
      <c r="A898" s="97"/>
      <c r="B898" s="97"/>
      <c r="C898" s="96"/>
      <c r="D898" s="96"/>
      <c r="E898" s="97"/>
      <c r="F898" s="97"/>
      <c r="G898" s="97"/>
      <c r="H898" s="97"/>
    </row>
    <row r="899" spans="1:8" ht="14.25" customHeight="1">
      <c r="A899" s="97"/>
      <c r="B899" s="97"/>
      <c r="C899" s="96"/>
      <c r="D899" s="96"/>
      <c r="E899" s="97"/>
      <c r="F899" s="97"/>
      <c r="G899" s="97"/>
      <c r="H899" s="97"/>
    </row>
    <row r="900" spans="1:8" ht="14.25" customHeight="1">
      <c r="A900" s="97"/>
      <c r="B900" s="97"/>
      <c r="C900" s="96"/>
      <c r="D900" s="96"/>
      <c r="E900" s="97"/>
      <c r="F900" s="97"/>
      <c r="G900" s="97"/>
      <c r="H900" s="97"/>
    </row>
    <row r="901" spans="1:8" ht="14.25" customHeight="1">
      <c r="A901" s="97"/>
      <c r="B901" s="97"/>
      <c r="C901" s="96"/>
      <c r="D901" s="96"/>
      <c r="E901" s="97"/>
      <c r="F901" s="97"/>
      <c r="G901" s="97"/>
      <c r="H901" s="97"/>
    </row>
    <row r="902" spans="1:8" ht="14.25" customHeight="1">
      <c r="A902" s="97"/>
      <c r="B902" s="97"/>
      <c r="C902" s="96"/>
      <c r="D902" s="96"/>
      <c r="E902" s="97"/>
      <c r="F902" s="97"/>
      <c r="G902" s="97"/>
      <c r="H902" s="97"/>
    </row>
    <row r="903" spans="1:8" ht="14.25" customHeight="1">
      <c r="A903" s="97"/>
      <c r="B903" s="97"/>
      <c r="C903" s="96"/>
      <c r="D903" s="96"/>
      <c r="E903" s="97"/>
      <c r="F903" s="97"/>
      <c r="G903" s="97"/>
      <c r="H903" s="97"/>
    </row>
    <row r="904" spans="1:8" ht="14.25" customHeight="1">
      <c r="A904" s="97"/>
      <c r="B904" s="97"/>
      <c r="C904" s="96"/>
      <c r="D904" s="96"/>
      <c r="E904" s="97"/>
      <c r="F904" s="97"/>
      <c r="G904" s="97"/>
      <c r="H904" s="97"/>
    </row>
    <row r="905" spans="1:8" ht="14.25" customHeight="1">
      <c r="A905" s="97"/>
      <c r="B905" s="97"/>
      <c r="C905" s="96"/>
      <c r="D905" s="96"/>
      <c r="E905" s="97"/>
      <c r="F905" s="97"/>
      <c r="G905" s="97"/>
      <c r="H905" s="97"/>
    </row>
    <row r="906" spans="1:8" ht="14.25" customHeight="1">
      <c r="A906" s="97"/>
      <c r="B906" s="97"/>
      <c r="C906" s="96"/>
      <c r="D906" s="96"/>
      <c r="E906" s="97"/>
      <c r="F906" s="97"/>
      <c r="G906" s="97"/>
      <c r="H906" s="97"/>
    </row>
    <row r="907" spans="1:8" ht="14.25" customHeight="1">
      <c r="A907" s="97"/>
      <c r="B907" s="97"/>
      <c r="C907" s="96"/>
      <c r="D907" s="96"/>
      <c r="E907" s="97"/>
      <c r="F907" s="97"/>
      <c r="G907" s="97"/>
      <c r="H907" s="97"/>
    </row>
    <row r="908" spans="1:8" ht="14.25" customHeight="1">
      <c r="A908" s="97"/>
      <c r="B908" s="97"/>
      <c r="C908" s="96"/>
      <c r="D908" s="96"/>
      <c r="E908" s="97"/>
      <c r="F908" s="97"/>
      <c r="G908" s="97"/>
      <c r="H908" s="97"/>
    </row>
    <row r="909" spans="1:8" ht="14.25" customHeight="1">
      <c r="A909" s="97"/>
      <c r="B909" s="97"/>
      <c r="C909" s="96"/>
      <c r="D909" s="96"/>
      <c r="E909" s="97"/>
      <c r="F909" s="97"/>
      <c r="G909" s="97"/>
      <c r="H909" s="97"/>
    </row>
    <row r="910" spans="1:8" ht="14.25" customHeight="1">
      <c r="A910" s="97"/>
      <c r="B910" s="97"/>
      <c r="C910" s="96"/>
      <c r="D910" s="96"/>
      <c r="E910" s="97"/>
      <c r="F910" s="97"/>
      <c r="G910" s="97"/>
      <c r="H910" s="97"/>
    </row>
    <row r="911" spans="1:8" ht="14.25" customHeight="1">
      <c r="A911" s="97"/>
      <c r="B911" s="97"/>
      <c r="C911" s="96"/>
      <c r="D911" s="96"/>
      <c r="E911" s="97"/>
      <c r="F911" s="97"/>
      <c r="G911" s="97"/>
      <c r="H911" s="97"/>
    </row>
    <row r="912" spans="1:8" ht="14.25" customHeight="1">
      <c r="A912" s="97"/>
      <c r="B912" s="97"/>
      <c r="C912" s="96"/>
      <c r="D912" s="96"/>
      <c r="E912" s="97"/>
      <c r="F912" s="97"/>
      <c r="G912" s="97"/>
      <c r="H912" s="97"/>
    </row>
    <row r="913" spans="1:8" ht="14.25" customHeight="1">
      <c r="A913" s="97"/>
      <c r="B913" s="97"/>
      <c r="C913" s="96"/>
      <c r="D913" s="96"/>
      <c r="E913" s="97"/>
      <c r="F913" s="97"/>
      <c r="G913" s="97"/>
      <c r="H913" s="97"/>
    </row>
    <row r="914" spans="1:8" ht="14.25" customHeight="1">
      <c r="A914" s="97"/>
      <c r="B914" s="97"/>
      <c r="C914" s="96"/>
      <c r="D914" s="96"/>
      <c r="E914" s="97"/>
      <c r="F914" s="97"/>
      <c r="G914" s="97"/>
      <c r="H914" s="97"/>
    </row>
    <row r="915" spans="1:8" ht="14.25" customHeight="1">
      <c r="A915" s="97"/>
      <c r="B915" s="97"/>
      <c r="C915" s="96"/>
      <c r="D915" s="96"/>
      <c r="E915" s="97"/>
      <c r="F915" s="97"/>
      <c r="G915" s="97"/>
      <c r="H915" s="97"/>
    </row>
    <row r="916" spans="1:8" ht="14.25" customHeight="1">
      <c r="A916" s="97"/>
      <c r="B916" s="97"/>
      <c r="C916" s="96"/>
      <c r="D916" s="96"/>
      <c r="E916" s="97"/>
      <c r="F916" s="97"/>
      <c r="G916" s="97"/>
      <c r="H916" s="97"/>
    </row>
    <row r="917" spans="1:8" ht="14.25" customHeight="1">
      <c r="A917" s="97"/>
      <c r="B917" s="97"/>
      <c r="C917" s="96"/>
      <c r="D917" s="96"/>
      <c r="E917" s="97"/>
      <c r="F917" s="97"/>
      <c r="G917" s="97"/>
      <c r="H917" s="97"/>
    </row>
    <row r="918" spans="1:8" ht="14.25" customHeight="1">
      <c r="A918" s="97"/>
      <c r="B918" s="97"/>
      <c r="C918" s="96"/>
      <c r="D918" s="96"/>
      <c r="E918" s="97"/>
      <c r="F918" s="97"/>
      <c r="G918" s="97"/>
      <c r="H918" s="97"/>
    </row>
    <row r="919" spans="1:8" ht="14.25" customHeight="1">
      <c r="A919" s="97"/>
      <c r="B919" s="97"/>
      <c r="C919" s="96"/>
      <c r="D919" s="96"/>
      <c r="E919" s="97"/>
      <c r="F919" s="97"/>
      <c r="G919" s="97"/>
      <c r="H919" s="97"/>
    </row>
    <row r="920" spans="1:8" ht="14.25" customHeight="1">
      <c r="A920" s="97"/>
      <c r="B920" s="97"/>
      <c r="C920" s="96"/>
      <c r="D920" s="96"/>
      <c r="E920" s="97"/>
      <c r="F920" s="97"/>
      <c r="G920" s="97"/>
      <c r="H920" s="97"/>
    </row>
    <row r="921" spans="1:8" ht="14.25" customHeight="1">
      <c r="A921" s="97"/>
      <c r="B921" s="97"/>
      <c r="C921" s="96"/>
      <c r="D921" s="96"/>
      <c r="E921" s="97"/>
      <c r="F921" s="97"/>
      <c r="G921" s="97"/>
      <c r="H921" s="97"/>
    </row>
    <row r="922" spans="1:8" ht="14.25" customHeight="1">
      <c r="A922" s="97"/>
      <c r="B922" s="97"/>
      <c r="C922" s="96"/>
      <c r="D922" s="96"/>
      <c r="E922" s="97"/>
      <c r="F922" s="97"/>
      <c r="G922" s="97"/>
      <c r="H922" s="97"/>
    </row>
    <row r="923" spans="1:8" ht="14.25" customHeight="1">
      <c r="A923" s="97"/>
      <c r="B923" s="97"/>
      <c r="C923" s="96"/>
      <c r="D923" s="96"/>
      <c r="E923" s="97"/>
      <c r="F923" s="97"/>
      <c r="G923" s="97"/>
      <c r="H923" s="97"/>
    </row>
    <row r="924" spans="1:8" ht="14.25" customHeight="1">
      <c r="A924" s="97"/>
      <c r="B924" s="97"/>
      <c r="C924" s="96"/>
      <c r="D924" s="96"/>
      <c r="E924" s="97"/>
      <c r="F924" s="97"/>
      <c r="G924" s="97"/>
      <c r="H924" s="97"/>
    </row>
    <row r="925" spans="1:8" ht="14.25" customHeight="1">
      <c r="A925" s="97"/>
      <c r="B925" s="97"/>
      <c r="C925" s="96"/>
      <c r="D925" s="96"/>
      <c r="E925" s="97"/>
      <c r="F925" s="97"/>
      <c r="G925" s="97"/>
      <c r="H925" s="97"/>
    </row>
    <row r="926" spans="1:8" ht="14.25" customHeight="1">
      <c r="A926" s="97"/>
      <c r="B926" s="97"/>
      <c r="C926" s="96"/>
      <c r="D926" s="96"/>
      <c r="E926" s="97"/>
      <c r="F926" s="97"/>
      <c r="G926" s="97"/>
      <c r="H926" s="97"/>
    </row>
    <row r="927" spans="1:8" ht="14.25" customHeight="1">
      <c r="A927" s="97"/>
      <c r="B927" s="97"/>
      <c r="C927" s="96"/>
      <c r="D927" s="96"/>
      <c r="E927" s="97"/>
      <c r="F927" s="97"/>
      <c r="G927" s="97"/>
      <c r="H927" s="97"/>
    </row>
    <row r="928" spans="1:8" ht="14.25" customHeight="1">
      <c r="A928" s="97"/>
      <c r="B928" s="97"/>
      <c r="C928" s="96"/>
      <c r="D928" s="96"/>
      <c r="E928" s="97"/>
      <c r="F928" s="97"/>
      <c r="G928" s="97"/>
      <c r="H928" s="97"/>
    </row>
    <row r="929" spans="1:8" ht="14.25" customHeight="1">
      <c r="A929" s="97"/>
      <c r="B929" s="97"/>
      <c r="C929" s="96"/>
      <c r="D929" s="96"/>
      <c r="E929" s="97"/>
      <c r="F929" s="97"/>
      <c r="G929" s="97"/>
      <c r="H929" s="97"/>
    </row>
    <row r="930" spans="1:8" ht="14.25" customHeight="1">
      <c r="A930" s="97"/>
      <c r="B930" s="97"/>
      <c r="C930" s="96"/>
      <c r="D930" s="96"/>
      <c r="E930" s="97"/>
      <c r="F930" s="97"/>
      <c r="G930" s="97"/>
      <c r="H930" s="97"/>
    </row>
    <row r="931" spans="1:8" ht="14.25" customHeight="1">
      <c r="A931" s="97"/>
      <c r="B931" s="97"/>
      <c r="C931" s="96"/>
      <c r="D931" s="96"/>
      <c r="E931" s="97"/>
      <c r="F931" s="97"/>
      <c r="G931" s="97"/>
      <c r="H931" s="97"/>
    </row>
    <row r="932" spans="1:8" ht="14.25" customHeight="1">
      <c r="A932" s="97"/>
      <c r="B932" s="97"/>
      <c r="C932" s="96"/>
      <c r="D932" s="96"/>
      <c r="E932" s="97"/>
      <c r="F932" s="97"/>
      <c r="G932" s="97"/>
      <c r="H932" s="97"/>
    </row>
    <row r="933" spans="1:8" ht="14.25" customHeight="1">
      <c r="A933" s="97"/>
      <c r="B933" s="97"/>
      <c r="C933" s="96"/>
      <c r="D933" s="96"/>
      <c r="E933" s="97"/>
      <c r="F933" s="97"/>
      <c r="G933" s="97"/>
      <c r="H933" s="97"/>
    </row>
    <row r="934" spans="1:8" ht="14.25" customHeight="1">
      <c r="A934" s="97"/>
      <c r="B934" s="97"/>
      <c r="C934" s="96"/>
      <c r="D934" s="96"/>
      <c r="E934" s="97"/>
      <c r="F934" s="97"/>
      <c r="G934" s="97"/>
      <c r="H934" s="97"/>
    </row>
    <row r="935" spans="1:8" ht="14.25" customHeight="1">
      <c r="A935" s="97"/>
      <c r="B935" s="97"/>
      <c r="C935" s="96"/>
      <c r="D935" s="96"/>
      <c r="E935" s="97"/>
      <c r="F935" s="97"/>
      <c r="G935" s="97"/>
      <c r="H935" s="97"/>
    </row>
    <row r="936" spans="1:8" ht="14.25" customHeight="1">
      <c r="A936" s="97"/>
      <c r="B936" s="97"/>
      <c r="C936" s="96"/>
      <c r="D936" s="96"/>
      <c r="E936" s="97"/>
      <c r="F936" s="97"/>
      <c r="G936" s="97"/>
      <c r="H936" s="97"/>
    </row>
    <row r="937" spans="1:8" ht="14.25" customHeight="1">
      <c r="A937" s="97"/>
      <c r="B937" s="97"/>
      <c r="C937" s="96"/>
      <c r="D937" s="96"/>
      <c r="E937" s="97"/>
      <c r="F937" s="97"/>
      <c r="G937" s="97"/>
      <c r="H937" s="97"/>
    </row>
    <row r="938" spans="1:8" ht="14.25" customHeight="1">
      <c r="A938" s="97"/>
      <c r="B938" s="97"/>
      <c r="C938" s="96"/>
      <c r="D938" s="96"/>
      <c r="E938" s="97"/>
      <c r="F938" s="97"/>
      <c r="G938" s="97"/>
      <c r="H938" s="97"/>
    </row>
    <row r="939" spans="1:8" ht="14.25" customHeight="1">
      <c r="A939" s="97"/>
      <c r="B939" s="97"/>
      <c r="C939" s="96"/>
      <c r="D939" s="96"/>
      <c r="E939" s="97"/>
      <c r="F939" s="97"/>
      <c r="G939" s="97"/>
      <c r="H939" s="97"/>
    </row>
    <row r="940" spans="1:8" ht="14.25" customHeight="1">
      <c r="A940" s="97"/>
      <c r="B940" s="97"/>
      <c r="C940" s="96"/>
      <c r="D940" s="96"/>
      <c r="E940" s="97"/>
      <c r="F940" s="97"/>
      <c r="G940" s="97"/>
      <c r="H940" s="97"/>
    </row>
    <row r="941" spans="1:8" ht="14.25" customHeight="1">
      <c r="A941" s="97"/>
      <c r="B941" s="97"/>
      <c r="C941" s="96"/>
      <c r="D941" s="96"/>
      <c r="E941" s="97"/>
      <c r="F941" s="97"/>
      <c r="G941" s="97"/>
      <c r="H941" s="97"/>
    </row>
    <row r="942" spans="1:8" ht="14.25" customHeight="1">
      <c r="A942" s="97"/>
      <c r="B942" s="97"/>
      <c r="C942" s="96"/>
      <c r="D942" s="96"/>
      <c r="E942" s="97"/>
      <c r="F942" s="97"/>
      <c r="G942" s="97"/>
      <c r="H942" s="97"/>
    </row>
    <row r="943" spans="1:8" ht="14.25" customHeight="1">
      <c r="A943" s="97"/>
      <c r="B943" s="97"/>
      <c r="C943" s="96"/>
      <c r="D943" s="96"/>
      <c r="E943" s="97"/>
      <c r="F943" s="97"/>
      <c r="G943" s="97"/>
      <c r="H943" s="97"/>
    </row>
    <row r="944" spans="1:8" ht="14.25" customHeight="1">
      <c r="A944" s="97"/>
      <c r="B944" s="97"/>
      <c r="C944" s="96"/>
      <c r="D944" s="96"/>
      <c r="E944" s="97"/>
      <c r="F944" s="97"/>
      <c r="G944" s="97"/>
      <c r="H944" s="97"/>
    </row>
    <row r="945" spans="1:8" ht="14.25" customHeight="1">
      <c r="A945" s="97"/>
      <c r="B945" s="97"/>
      <c r="C945" s="96"/>
      <c r="D945" s="96"/>
      <c r="E945" s="97"/>
      <c r="F945" s="97"/>
      <c r="G945" s="97"/>
      <c r="H945" s="97"/>
    </row>
    <row r="946" spans="1:8" ht="14.25" customHeight="1">
      <c r="A946" s="97"/>
      <c r="B946" s="97"/>
      <c r="C946" s="96"/>
      <c r="D946" s="96"/>
      <c r="E946" s="97"/>
      <c r="F946" s="97"/>
      <c r="G946" s="97"/>
      <c r="H946" s="97"/>
    </row>
    <row r="947" spans="1:8" ht="14.25" customHeight="1">
      <c r="A947" s="97"/>
      <c r="B947" s="97"/>
      <c r="C947" s="96"/>
      <c r="D947" s="96"/>
      <c r="E947" s="97"/>
      <c r="F947" s="97"/>
      <c r="G947" s="97"/>
      <c r="H947" s="97"/>
    </row>
    <row r="948" spans="1:8" ht="14.25" customHeight="1">
      <c r="A948" s="97"/>
      <c r="B948" s="97"/>
      <c r="C948" s="96"/>
      <c r="D948" s="96"/>
      <c r="E948" s="97"/>
      <c r="F948" s="97"/>
      <c r="G948" s="97"/>
      <c r="H948" s="97"/>
    </row>
    <row r="949" spans="1:8" ht="14.25" customHeight="1">
      <c r="A949" s="97"/>
      <c r="B949" s="97"/>
      <c r="C949" s="96"/>
      <c r="D949" s="96"/>
      <c r="E949" s="97"/>
      <c r="F949" s="97"/>
      <c r="G949" s="97"/>
      <c r="H949" s="97"/>
    </row>
    <row r="950" spans="1:8" ht="14.25" customHeight="1">
      <c r="A950" s="97"/>
      <c r="B950" s="97"/>
      <c r="C950" s="96"/>
      <c r="D950" s="96"/>
      <c r="E950" s="97"/>
      <c r="F950" s="97"/>
      <c r="G950" s="97"/>
      <c r="H950" s="97"/>
    </row>
    <row r="951" spans="1:8" ht="14.25" customHeight="1">
      <c r="A951" s="97"/>
      <c r="B951" s="97"/>
      <c r="C951" s="96"/>
      <c r="D951" s="96"/>
      <c r="E951" s="97"/>
      <c r="F951" s="97"/>
      <c r="G951" s="97"/>
      <c r="H951" s="97"/>
    </row>
    <row r="952" spans="1:8" ht="14.25" customHeight="1">
      <c r="A952" s="97"/>
      <c r="B952" s="97"/>
      <c r="C952" s="96"/>
      <c r="D952" s="96"/>
      <c r="E952" s="97"/>
      <c r="F952" s="97"/>
      <c r="G952" s="97"/>
      <c r="H952" s="97"/>
    </row>
    <row r="953" spans="1:8" ht="14.25" customHeight="1">
      <c r="A953" s="97"/>
      <c r="B953" s="97"/>
      <c r="C953" s="96"/>
      <c r="D953" s="96"/>
      <c r="E953" s="97"/>
      <c r="F953" s="97"/>
      <c r="G953" s="97"/>
      <c r="H953" s="97"/>
    </row>
    <row r="954" spans="1:8" ht="14.25" customHeight="1">
      <c r="A954" s="97"/>
      <c r="B954" s="97"/>
      <c r="C954" s="96"/>
      <c r="D954" s="96"/>
      <c r="E954" s="97"/>
      <c r="F954" s="97"/>
      <c r="G954" s="97"/>
      <c r="H954" s="97"/>
    </row>
    <row r="955" spans="1:8" ht="14.25" customHeight="1">
      <c r="A955" s="97"/>
      <c r="B955" s="97"/>
      <c r="C955" s="96"/>
      <c r="D955" s="96"/>
      <c r="E955" s="97"/>
      <c r="F955" s="97"/>
      <c r="G955" s="97"/>
      <c r="H955" s="97"/>
    </row>
    <row r="956" spans="1:8" ht="14.25" customHeight="1">
      <c r="A956" s="97"/>
      <c r="B956" s="97"/>
      <c r="C956" s="96"/>
      <c r="D956" s="96"/>
      <c r="E956" s="97"/>
      <c r="F956" s="97"/>
      <c r="G956" s="97"/>
      <c r="H956" s="97"/>
    </row>
    <row r="957" spans="1:8" ht="14.25" customHeight="1">
      <c r="A957" s="97"/>
      <c r="B957" s="97"/>
      <c r="C957" s="96"/>
      <c r="D957" s="96"/>
      <c r="E957" s="97"/>
      <c r="F957" s="97"/>
      <c r="G957" s="97"/>
      <c r="H957" s="97"/>
    </row>
    <row r="958" spans="1:8" ht="14.25" customHeight="1">
      <c r="A958" s="97"/>
      <c r="B958" s="97"/>
      <c r="C958" s="96"/>
      <c r="D958" s="96"/>
      <c r="E958" s="97"/>
      <c r="F958" s="97"/>
      <c r="G958" s="97"/>
      <c r="H958" s="97"/>
    </row>
    <row r="959" spans="1:8" ht="14.25" customHeight="1">
      <c r="A959" s="97"/>
      <c r="B959" s="97"/>
      <c r="C959" s="96"/>
      <c r="D959" s="96"/>
      <c r="E959" s="97"/>
      <c r="F959" s="97"/>
      <c r="G959" s="97"/>
      <c r="H959" s="97"/>
    </row>
    <row r="960" spans="1:8" ht="14.25" customHeight="1">
      <c r="A960" s="97"/>
      <c r="B960" s="97"/>
      <c r="C960" s="96"/>
      <c r="D960" s="96"/>
      <c r="E960" s="97"/>
      <c r="F960" s="97"/>
      <c r="G960" s="97"/>
      <c r="H960" s="97"/>
    </row>
    <row r="961" spans="1:8" ht="14.25" customHeight="1">
      <c r="A961" s="97"/>
      <c r="B961" s="97"/>
      <c r="C961" s="96"/>
      <c r="D961" s="96"/>
      <c r="E961" s="97"/>
      <c r="F961" s="97"/>
      <c r="G961" s="97"/>
      <c r="H961" s="97"/>
    </row>
    <row r="962" spans="1:8" ht="14.25" customHeight="1">
      <c r="A962" s="97"/>
      <c r="B962" s="97"/>
      <c r="C962" s="96"/>
      <c r="D962" s="96"/>
      <c r="E962" s="97"/>
      <c r="F962" s="97"/>
      <c r="G962" s="97"/>
      <c r="H962" s="97"/>
    </row>
    <row r="963" spans="1:8" ht="14.25" customHeight="1">
      <c r="A963" s="97"/>
      <c r="B963" s="97"/>
      <c r="C963" s="96"/>
      <c r="D963" s="96"/>
      <c r="E963" s="97"/>
      <c r="F963" s="97"/>
      <c r="G963" s="97"/>
      <c r="H963" s="97"/>
    </row>
    <row r="964" spans="1:8" ht="14.25" customHeight="1">
      <c r="A964" s="97"/>
      <c r="B964" s="97"/>
      <c r="C964" s="96"/>
      <c r="D964" s="96"/>
      <c r="E964" s="97"/>
      <c r="F964" s="97"/>
      <c r="G964" s="97"/>
      <c r="H964" s="97"/>
    </row>
    <row r="965" spans="1:8" ht="14.25" customHeight="1">
      <c r="A965" s="97"/>
      <c r="B965" s="97"/>
      <c r="C965" s="96"/>
      <c r="D965" s="96"/>
      <c r="E965" s="97"/>
      <c r="F965" s="97"/>
      <c r="G965" s="97"/>
      <c r="H965" s="97"/>
    </row>
    <row r="966" spans="1:8" ht="14.25" customHeight="1">
      <c r="A966" s="97"/>
      <c r="B966" s="97"/>
      <c r="C966" s="96"/>
      <c r="D966" s="96"/>
      <c r="E966" s="97"/>
      <c r="F966" s="97"/>
      <c r="G966" s="97"/>
      <c r="H966" s="97"/>
    </row>
    <row r="967" spans="1:8" ht="14.25" customHeight="1">
      <c r="A967" s="97"/>
      <c r="B967" s="97"/>
      <c r="C967" s="96"/>
      <c r="D967" s="96"/>
      <c r="E967" s="97"/>
      <c r="F967" s="97"/>
      <c r="G967" s="97"/>
      <c r="H967" s="97"/>
    </row>
    <row r="968" spans="1:8" ht="14.25" customHeight="1">
      <c r="A968" s="97"/>
      <c r="B968" s="97"/>
      <c r="C968" s="96"/>
      <c r="D968" s="96"/>
      <c r="E968" s="97"/>
      <c r="F968" s="97"/>
      <c r="G968" s="97"/>
      <c r="H968" s="97"/>
    </row>
    <row r="969" spans="1:8" ht="14.25" customHeight="1">
      <c r="A969" s="97"/>
      <c r="B969" s="97"/>
      <c r="C969" s="96"/>
      <c r="D969" s="96"/>
      <c r="E969" s="97"/>
      <c r="F969" s="97"/>
      <c r="G969" s="97"/>
      <c r="H969" s="97"/>
    </row>
    <row r="970" spans="1:8" ht="14.25" customHeight="1">
      <c r="A970" s="97"/>
      <c r="B970" s="97"/>
      <c r="C970" s="96"/>
      <c r="D970" s="96"/>
      <c r="E970" s="97"/>
      <c r="F970" s="97"/>
      <c r="G970" s="97"/>
      <c r="H970" s="97"/>
    </row>
    <row r="971" spans="1:8" ht="14.25" customHeight="1">
      <c r="A971" s="97"/>
      <c r="B971" s="97"/>
      <c r="C971" s="96"/>
      <c r="D971" s="96"/>
      <c r="E971" s="97"/>
      <c r="F971" s="97"/>
      <c r="G971" s="97"/>
      <c r="H971" s="97"/>
    </row>
    <row r="972" spans="1:8" ht="14.25" customHeight="1">
      <c r="A972" s="97"/>
      <c r="B972" s="97"/>
      <c r="C972" s="96"/>
      <c r="D972" s="96"/>
      <c r="E972" s="97"/>
      <c r="F972" s="97"/>
      <c r="G972" s="97"/>
      <c r="H972" s="97"/>
    </row>
    <row r="973" spans="1:8" ht="14.25" customHeight="1">
      <c r="A973" s="97"/>
      <c r="B973" s="97"/>
      <c r="C973" s="96"/>
      <c r="D973" s="96"/>
      <c r="E973" s="97"/>
      <c r="F973" s="97"/>
      <c r="G973" s="97"/>
      <c r="H973" s="97"/>
    </row>
    <row r="974" spans="1:8" ht="14.25" customHeight="1">
      <c r="A974" s="97"/>
      <c r="B974" s="97"/>
      <c r="C974" s="96"/>
      <c r="D974" s="96"/>
      <c r="E974" s="97"/>
      <c r="F974" s="97"/>
      <c r="G974" s="97"/>
      <c r="H974" s="97"/>
    </row>
    <row r="975" spans="1:8" ht="14.25" customHeight="1">
      <c r="A975" s="97"/>
      <c r="B975" s="97"/>
      <c r="C975" s="96"/>
      <c r="D975" s="96"/>
      <c r="E975" s="97"/>
      <c r="F975" s="97"/>
      <c r="G975" s="97"/>
      <c r="H975" s="97"/>
    </row>
    <row r="976" spans="1:8" ht="14.25" customHeight="1">
      <c r="A976" s="97"/>
      <c r="B976" s="97"/>
      <c r="C976" s="96"/>
      <c r="D976" s="96"/>
      <c r="E976" s="97"/>
      <c r="F976" s="97"/>
      <c r="G976" s="97"/>
      <c r="H976" s="97"/>
    </row>
    <row r="977" spans="1:8" ht="14.25" customHeight="1">
      <c r="A977" s="97"/>
      <c r="B977" s="97"/>
      <c r="C977" s="96"/>
      <c r="D977" s="96"/>
      <c r="E977" s="97"/>
      <c r="F977" s="97"/>
      <c r="G977" s="97"/>
      <c r="H977" s="97"/>
    </row>
    <row r="978" spans="1:8" ht="14.25" customHeight="1">
      <c r="A978" s="97"/>
      <c r="B978" s="97"/>
      <c r="C978" s="96"/>
      <c r="D978" s="96"/>
      <c r="E978" s="97"/>
      <c r="F978" s="97"/>
      <c r="G978" s="97"/>
      <c r="H978" s="97"/>
    </row>
    <row r="979" spans="1:8" ht="14.25" customHeight="1">
      <c r="A979" s="97"/>
      <c r="B979" s="97"/>
      <c r="C979" s="96"/>
      <c r="D979" s="96"/>
      <c r="E979" s="97"/>
      <c r="F979" s="97"/>
      <c r="G979" s="97"/>
      <c r="H979" s="97"/>
    </row>
    <row r="980" spans="1:8" ht="14.25" customHeight="1">
      <c r="A980" s="97"/>
      <c r="B980" s="97"/>
      <c r="C980" s="96"/>
      <c r="D980" s="96"/>
      <c r="E980" s="97"/>
      <c r="F980" s="97"/>
      <c r="G980" s="97"/>
      <c r="H980" s="97"/>
    </row>
    <row r="981" spans="1:8" ht="14.25" customHeight="1">
      <c r="A981" s="97"/>
      <c r="B981" s="97"/>
      <c r="C981" s="96"/>
      <c r="D981" s="96"/>
      <c r="E981" s="97"/>
      <c r="F981" s="97"/>
      <c r="G981" s="97"/>
      <c r="H981" s="97"/>
    </row>
    <row r="982" spans="1:8" ht="14.25" customHeight="1">
      <c r="A982" s="97"/>
      <c r="B982" s="97"/>
      <c r="C982" s="96"/>
      <c r="D982" s="96"/>
      <c r="E982" s="97"/>
      <c r="F982" s="97"/>
      <c r="G982" s="97"/>
      <c r="H982" s="97"/>
    </row>
    <row r="983" spans="1:8" ht="14.25" customHeight="1">
      <c r="A983" s="97"/>
      <c r="B983" s="97"/>
      <c r="C983" s="96"/>
      <c r="D983" s="96"/>
      <c r="E983" s="97"/>
      <c r="F983" s="97"/>
      <c r="G983" s="97"/>
      <c r="H983" s="97"/>
    </row>
    <row r="984" spans="1:8" ht="14.25" customHeight="1">
      <c r="A984" s="97"/>
      <c r="B984" s="97"/>
      <c r="C984" s="96"/>
      <c r="D984" s="96"/>
      <c r="E984" s="97"/>
      <c r="F984" s="97"/>
      <c r="G984" s="97"/>
      <c r="H984" s="97"/>
    </row>
    <row r="985" spans="1:8" ht="14.25" customHeight="1">
      <c r="A985" s="97"/>
      <c r="B985" s="97"/>
      <c r="C985" s="96"/>
      <c r="D985" s="96"/>
      <c r="E985" s="97"/>
      <c r="F985" s="97"/>
      <c r="G985" s="97"/>
      <c r="H985" s="97"/>
    </row>
    <row r="986" spans="1:8" ht="14.25" customHeight="1">
      <c r="A986" s="97"/>
      <c r="B986" s="97"/>
      <c r="C986" s="96"/>
      <c r="D986" s="96"/>
      <c r="E986" s="97"/>
      <c r="F986" s="97"/>
      <c r="G986" s="97"/>
      <c r="H986" s="97"/>
    </row>
    <row r="987" spans="1:8" ht="14.25" customHeight="1">
      <c r="A987" s="97"/>
      <c r="B987" s="97"/>
      <c r="C987" s="96"/>
      <c r="D987" s="96"/>
      <c r="E987" s="97"/>
      <c r="F987" s="97"/>
      <c r="G987" s="97"/>
      <c r="H987" s="97"/>
    </row>
    <row r="988" spans="1:8" ht="14.25" customHeight="1">
      <c r="A988" s="97"/>
      <c r="B988" s="97"/>
      <c r="C988" s="96"/>
      <c r="D988" s="96"/>
      <c r="E988" s="97"/>
      <c r="F988" s="97"/>
      <c r="G988" s="97"/>
      <c r="H988" s="97"/>
    </row>
    <row r="989" spans="1:8" ht="14.25" customHeight="1">
      <c r="A989" s="97"/>
      <c r="B989" s="97"/>
      <c r="C989" s="96"/>
      <c r="D989" s="96"/>
      <c r="E989" s="97"/>
      <c r="F989" s="97"/>
      <c r="G989" s="97"/>
      <c r="H989" s="97"/>
    </row>
    <row r="990" spans="1:8" ht="14.25" customHeight="1">
      <c r="A990" s="97"/>
      <c r="B990" s="97"/>
      <c r="C990" s="96"/>
      <c r="D990" s="96"/>
      <c r="E990" s="97"/>
      <c r="F990" s="97"/>
      <c r="G990" s="97"/>
      <c r="H990" s="97"/>
    </row>
    <row r="991" spans="1:8" ht="14.25" customHeight="1">
      <c r="A991" s="97"/>
      <c r="B991" s="97"/>
      <c r="C991" s="96"/>
      <c r="D991" s="96"/>
      <c r="E991" s="97"/>
      <c r="F991" s="97"/>
      <c r="G991" s="97"/>
      <c r="H991" s="97"/>
    </row>
    <row r="992" spans="1:8" ht="14.25" customHeight="1">
      <c r="A992" s="97"/>
      <c r="B992" s="97"/>
      <c r="C992" s="96"/>
      <c r="D992" s="96"/>
      <c r="E992" s="97"/>
      <c r="F992" s="97"/>
      <c r="G992" s="97"/>
      <c r="H992" s="97"/>
    </row>
    <row r="993" spans="1:8" ht="14.25" customHeight="1">
      <c r="A993" s="97"/>
      <c r="B993" s="97"/>
      <c r="C993" s="96"/>
      <c r="D993" s="96"/>
      <c r="E993" s="97"/>
      <c r="F993" s="97"/>
      <c r="G993" s="97"/>
      <c r="H993" s="97"/>
    </row>
    <row r="994" spans="1:8" ht="14.25" customHeight="1">
      <c r="A994" s="97"/>
      <c r="B994" s="97"/>
      <c r="C994" s="96"/>
      <c r="D994" s="96"/>
      <c r="E994" s="97"/>
      <c r="F994" s="97"/>
      <c r="G994" s="97"/>
      <c r="H994" s="97"/>
    </row>
    <row r="995" spans="1:8" ht="14.25" customHeight="1">
      <c r="A995" s="97"/>
      <c r="B995" s="97"/>
      <c r="C995" s="96"/>
      <c r="D995" s="96"/>
      <c r="E995" s="97"/>
      <c r="F995" s="97"/>
      <c r="G995" s="97"/>
      <c r="H995" s="97"/>
    </row>
    <row r="996" spans="1:8" ht="14.25" customHeight="1">
      <c r="A996" s="97"/>
      <c r="B996" s="97"/>
      <c r="C996" s="96"/>
      <c r="D996" s="96"/>
      <c r="E996" s="97"/>
      <c r="F996" s="97"/>
      <c r="G996" s="97"/>
      <c r="H996" s="97"/>
    </row>
    <row r="997" spans="1:8" ht="14.25" customHeight="1">
      <c r="A997" s="97"/>
      <c r="B997" s="97"/>
      <c r="C997" s="96"/>
      <c r="D997" s="96"/>
      <c r="E997" s="97"/>
      <c r="F997" s="97"/>
      <c r="G997" s="97"/>
      <c r="H997" s="97"/>
    </row>
    <row r="998" spans="1:8" ht="14.25" customHeight="1">
      <c r="A998" s="97"/>
      <c r="B998" s="97"/>
      <c r="C998" s="96"/>
      <c r="D998" s="96"/>
      <c r="E998" s="97"/>
      <c r="F998" s="97"/>
      <c r="G998" s="97"/>
      <c r="H998" s="97"/>
    </row>
    <row r="999" spans="1:8" ht="14.25" customHeight="1">
      <c r="A999" s="97"/>
      <c r="B999" s="97"/>
      <c r="C999" s="96"/>
      <c r="D999" s="96"/>
      <c r="E999" s="97"/>
      <c r="F999" s="97"/>
      <c r="G999" s="97"/>
      <c r="H999" s="97"/>
    </row>
    <row r="1000" spans="1:8" ht="14.25" customHeight="1">
      <c r="A1000" s="97"/>
      <c r="B1000" s="97"/>
      <c r="C1000" s="96"/>
      <c r="D1000" s="96"/>
      <c r="E1000" s="97"/>
      <c r="F1000" s="97"/>
      <c r="G1000" s="97"/>
      <c r="H1000" s="97"/>
    </row>
  </sheetData>
  <mergeCells count="5">
    <mergeCell ref="D1:H1"/>
    <mergeCell ref="I1:M1"/>
    <mergeCell ref="N1:R1"/>
    <mergeCell ref="S1:W1"/>
    <mergeCell ref="X1:A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NARSINHBHAI</vt:lpstr>
      <vt:lpstr>jaydeepbhai </vt:lpstr>
      <vt:lpstr>Dharmendrabhai</vt:lpstr>
      <vt:lpstr>Ashokbhai</vt:lpstr>
      <vt:lpstr>Sandipbhai</vt:lpstr>
      <vt:lpstr>kutch</vt:lpstr>
      <vt:lpstr>north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23CS025 JAGDISH HADIYAL</cp:lastModifiedBy>
  <dcterms:created xsi:type="dcterms:W3CDTF">2026-01-02T09:12:39Z</dcterms:created>
  <dcterms:modified xsi:type="dcterms:W3CDTF">2026-03-01T10:55:15Z</dcterms:modified>
</cp:coreProperties>
</file>